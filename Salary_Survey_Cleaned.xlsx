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hidePivotFieldList="1"/>
  <mc:AlternateContent xmlns:mc="http://schemas.openxmlformats.org/markup-compatibility/2006">
    <mc:Choice Requires="x15">
      <x15ac:absPath xmlns:x15ac="http://schemas.microsoft.com/office/spreadsheetml/2010/11/ac" url="C:\Users\JANA\OneDrive\Documents\Project Files\Milestone - 1\Janarthanan_M_Milestone_Project_1\"/>
    </mc:Choice>
  </mc:AlternateContent>
  <xr:revisionPtr revIDLastSave="0" documentId="13_ncr:1_{8BFE7F4C-1DD6-4653-B493-D8DE3CB8C6BA}" xr6:coauthVersionLast="47" xr6:coauthVersionMax="47" xr10:uidLastSave="{00000000-0000-0000-0000-000000000000}"/>
  <bookViews>
    <workbookView xWindow="-108" yWindow="-108" windowWidth="23256" windowHeight="13176" activeTab="3" xr2:uid="{00000000-000D-0000-FFFF-FFFF00000000}"/>
  </bookViews>
  <sheets>
    <sheet name="Uncleaned" sheetId="1" r:id="rId1"/>
    <sheet name="Cleaned" sheetId="2" r:id="rId2"/>
    <sheet name="PIVOT" sheetId="3" r:id="rId3"/>
    <sheet name="Dashboard" sheetId="4" r:id="rId4"/>
    <sheet name="Total_Salary_By_Job_Title" sheetId="15" r:id="rId5"/>
    <sheet name="Tot_Sal_By_Exp_Job" sheetId="14" r:id="rId6"/>
    <sheet name="Percetage_By_Gender" sheetId="13" r:id="rId7"/>
    <sheet name="Min_Max_Salary_By_Education" sheetId="12" r:id="rId8"/>
    <sheet name="Mid_Salary_By_Age_Gender" sheetId="11" r:id="rId9"/>
    <sheet name="Highest_Salary_By_Job_Title" sheetId="10" r:id="rId10"/>
    <sheet name="Exp_By_Industry" sheetId="9" r:id="rId11"/>
    <sheet name="AVG_Salary_By_Industry_Gender" sheetId="8" r:id="rId12"/>
    <sheet name="Avg_Sal_By_Edu_Level" sheetId="7" r:id="rId13"/>
    <sheet name="AVG_Sal_By_City_Industry" sheetId="6" r:id="rId14"/>
  </sheets>
  <definedNames>
    <definedName name="ExternalData_1" localSheetId="13" hidden="1">AVG_Sal_By_City_Industry!$A$1:$C$331</definedName>
    <definedName name="ExternalData_1" localSheetId="1" hidden="1">Cleaned!$A$1:$R$990</definedName>
    <definedName name="ExternalData_10" localSheetId="4" hidden="1">Total_Salary_By_Job_Title!$A$1:$B$20</definedName>
    <definedName name="ExternalData_2" localSheetId="12" hidden="1">Avg_Sal_By_Edu_Level!$A$1:$D$255</definedName>
    <definedName name="ExternalData_3" localSheetId="11" hidden="1">AVG_Salary_By_Industry_Gender!$A$1:$C$46</definedName>
    <definedName name="ExternalData_4" localSheetId="10" hidden="1">Exp_By_Industry!$A$1:$C$178</definedName>
    <definedName name="ExternalData_5" localSheetId="9" hidden="1">Highest_Salary_By_Job_Title!$A$1:$C$11</definedName>
    <definedName name="ExternalData_6" localSheetId="8" hidden="1">Mid_Salary_By_Age_Gender!$A$1:$C$26</definedName>
    <definedName name="ExternalData_7" localSheetId="7" hidden="1">Min_Max_Salary_By_Education!$A$1:$D$7</definedName>
    <definedName name="ExternalData_8" localSheetId="6" hidden="1">Percetage_By_Gender!$A$1:$B$6</definedName>
    <definedName name="ExternalData_9" localSheetId="5" hidden="1">Tot_Sal_By_Exp_Job!$A$1:$C$371</definedName>
    <definedName name="Slicer_Age_Range">#N/A</definedName>
    <definedName name="Slicer_Gender">#N/A</definedName>
    <definedName name="Slicer_Industry">#N/A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6" i="2" l="1"/>
  <c r="V7" i="2"/>
  <c r="Q24" i="3"/>
  <c r="H36" i="3"/>
  <c r="G36" i="3"/>
  <c r="V8" i="2" l="1"/>
  <c r="V12" i="2" s="1"/>
  <c r="V13" i="2" l="1"/>
  <c r="S2" i="2" l="1"/>
  <c r="S18" i="2"/>
  <c r="S34" i="2"/>
  <c r="S50" i="2"/>
  <c r="S66" i="2"/>
  <c r="S82" i="2"/>
  <c r="S98" i="2"/>
  <c r="S113" i="2"/>
  <c r="S129" i="2"/>
  <c r="S145" i="2"/>
  <c r="S160" i="2"/>
  <c r="S175" i="2"/>
  <c r="S191" i="2"/>
  <c r="S206" i="2"/>
  <c r="S222" i="2"/>
  <c r="S237" i="2"/>
  <c r="S253" i="2"/>
  <c r="S269" i="2"/>
  <c r="S285" i="2"/>
  <c r="S301" i="2"/>
  <c r="S317" i="2"/>
  <c r="S332" i="2"/>
  <c r="S348" i="2"/>
  <c r="S363" i="2"/>
  <c r="S379" i="2"/>
  <c r="S395" i="2"/>
  <c r="S410" i="2"/>
  <c r="S426" i="2"/>
  <c r="S442" i="2"/>
  <c r="S458" i="2"/>
  <c r="S474" i="2"/>
  <c r="S490" i="2"/>
  <c r="S506" i="2"/>
  <c r="S521" i="2"/>
  <c r="S537" i="2"/>
  <c r="S553" i="2"/>
  <c r="S569" i="2"/>
  <c r="S585" i="2"/>
  <c r="S601" i="2"/>
  <c r="S617" i="2"/>
  <c r="S633" i="2"/>
  <c r="S649" i="2"/>
  <c r="S665" i="2"/>
  <c r="S681" i="2"/>
  <c r="S697" i="2"/>
  <c r="S712" i="2"/>
  <c r="S728" i="2"/>
  <c r="S744" i="2"/>
  <c r="S760" i="2"/>
  <c r="S776" i="2"/>
  <c r="S792" i="2"/>
  <c r="S808" i="2"/>
  <c r="S824" i="2"/>
  <c r="S840" i="2"/>
  <c r="S856" i="2"/>
  <c r="S871" i="2"/>
  <c r="S887" i="2"/>
  <c r="S903" i="2"/>
  <c r="S919" i="2"/>
  <c r="S935" i="2"/>
  <c r="S951" i="2"/>
  <c r="S967" i="2"/>
  <c r="S52" i="2"/>
  <c r="S381" i="2"/>
  <c r="S397" i="2"/>
  <c r="S412" i="2"/>
  <c r="S428" i="2"/>
  <c r="S444" i="2"/>
  <c r="S460" i="2"/>
  <c r="S476" i="2"/>
  <c r="S492" i="2"/>
  <c r="S508" i="2"/>
  <c r="S523" i="2"/>
  <c r="S539" i="2"/>
  <c r="S555" i="2"/>
  <c r="S571" i="2"/>
  <c r="S587" i="2"/>
  <c r="S3" i="2"/>
  <c r="S19" i="2"/>
  <c r="S35" i="2"/>
  <c r="S51" i="2"/>
  <c r="S67" i="2"/>
  <c r="S83" i="2"/>
  <c r="S99" i="2"/>
  <c r="S114" i="2"/>
  <c r="S130" i="2"/>
  <c r="S161" i="2"/>
  <c r="S176" i="2"/>
  <c r="S192" i="2"/>
  <c r="S207" i="2"/>
  <c r="S223" i="2"/>
  <c r="S238" i="2"/>
  <c r="S254" i="2"/>
  <c r="S270" i="2"/>
  <c r="S286" i="2"/>
  <c r="S302" i="2"/>
  <c r="S318" i="2"/>
  <c r="S333" i="2"/>
  <c r="S349" i="2"/>
  <c r="S364" i="2"/>
  <c r="S380" i="2"/>
  <c r="S396" i="2"/>
  <c r="S411" i="2"/>
  <c r="S427" i="2"/>
  <c r="S443" i="2"/>
  <c r="S459" i="2"/>
  <c r="S475" i="2"/>
  <c r="S491" i="2"/>
  <c r="S507" i="2"/>
  <c r="S522" i="2"/>
  <c r="S538" i="2"/>
  <c r="S554" i="2"/>
  <c r="S570" i="2"/>
  <c r="S586" i="2"/>
  <c r="S602" i="2"/>
  <c r="S618" i="2"/>
  <c r="S634" i="2"/>
  <c r="S650" i="2"/>
  <c r="S666" i="2"/>
  <c r="S682" i="2"/>
  <c r="S698" i="2"/>
  <c r="S713" i="2"/>
  <c r="S729" i="2"/>
  <c r="S745" i="2"/>
  <c r="S761" i="2"/>
  <c r="S777" i="2"/>
  <c r="S793" i="2"/>
  <c r="S809" i="2"/>
  <c r="S825" i="2"/>
  <c r="S841" i="2"/>
  <c r="S857" i="2"/>
  <c r="S872" i="2"/>
  <c r="S888" i="2"/>
  <c r="S904" i="2"/>
  <c r="S920" i="2"/>
  <c r="S936" i="2"/>
  <c r="S952" i="2"/>
  <c r="S968" i="2"/>
  <c r="S983" i="2"/>
  <c r="S4" i="2"/>
  <c r="S20" i="2"/>
  <c r="S36" i="2"/>
  <c r="S68" i="2"/>
  <c r="S84" i="2"/>
  <c r="S100" i="2"/>
  <c r="S115" i="2"/>
  <c r="S131" i="2"/>
  <c r="S146" i="2"/>
  <c r="S162" i="2"/>
  <c r="S177" i="2"/>
  <c r="S193" i="2"/>
  <c r="S208" i="2"/>
  <c r="S224" i="2"/>
  <c r="S239" i="2"/>
  <c r="S255" i="2"/>
  <c r="S271" i="2"/>
  <c r="S287" i="2"/>
  <c r="S303" i="2"/>
  <c r="S319" i="2"/>
  <c r="S334" i="2"/>
  <c r="S350" i="2"/>
  <c r="S6" i="2"/>
  <c r="S25" i="2"/>
  <c r="S44" i="2"/>
  <c r="S63" i="2"/>
  <c r="S85" i="2"/>
  <c r="S104" i="2"/>
  <c r="S122" i="2"/>
  <c r="S141" i="2"/>
  <c r="S159" i="2"/>
  <c r="S180" i="2"/>
  <c r="S198" i="2"/>
  <c r="S217" i="2"/>
  <c r="S235" i="2"/>
  <c r="S257" i="2"/>
  <c r="S276" i="2"/>
  <c r="S295" i="2"/>
  <c r="S314" i="2"/>
  <c r="S335" i="2"/>
  <c r="S354" i="2"/>
  <c r="S371" i="2"/>
  <c r="S390" i="2"/>
  <c r="S408" i="2"/>
  <c r="S430" i="2"/>
  <c r="S449" i="2"/>
  <c r="S468" i="2"/>
  <c r="S487" i="2"/>
  <c r="S509" i="2"/>
  <c r="S527" i="2"/>
  <c r="S546" i="2"/>
  <c r="S565" i="2"/>
  <c r="S584" i="2"/>
  <c r="S605" i="2"/>
  <c r="S623" i="2"/>
  <c r="S641" i="2"/>
  <c r="S659" i="2"/>
  <c r="S677" i="2"/>
  <c r="S695" i="2"/>
  <c r="S714" i="2"/>
  <c r="S732" i="2"/>
  <c r="S750" i="2"/>
  <c r="S768" i="2"/>
  <c r="S786" i="2"/>
  <c r="S804" i="2"/>
  <c r="S822" i="2"/>
  <c r="S842" i="2"/>
  <c r="S859" i="2"/>
  <c r="S877" i="2"/>
  <c r="S895" i="2"/>
  <c r="S913" i="2"/>
  <c r="S931" i="2"/>
  <c r="S949" i="2"/>
  <c r="S969" i="2"/>
  <c r="S986" i="2"/>
  <c r="S7" i="2"/>
  <c r="S26" i="2"/>
  <c r="S45" i="2"/>
  <c r="S64" i="2"/>
  <c r="S86" i="2"/>
  <c r="S105" i="2"/>
  <c r="S123" i="2"/>
  <c r="S142" i="2"/>
  <c r="S163" i="2"/>
  <c r="S181" i="2"/>
  <c r="S199" i="2"/>
  <c r="S218" i="2"/>
  <c r="S236" i="2"/>
  <c r="S258" i="2"/>
  <c r="S277" i="2"/>
  <c r="S296" i="2"/>
  <c r="S315" i="2"/>
  <c r="S336" i="2"/>
  <c r="S355" i="2"/>
  <c r="S372" i="2"/>
  <c r="S391" i="2"/>
  <c r="S409" i="2"/>
  <c r="S431" i="2"/>
  <c r="S450" i="2"/>
  <c r="S469" i="2"/>
  <c r="S488" i="2"/>
  <c r="S510" i="2"/>
  <c r="S528" i="2"/>
  <c r="S547" i="2"/>
  <c r="S566" i="2"/>
  <c r="S588" i="2"/>
  <c r="S606" i="2"/>
  <c r="S624" i="2"/>
  <c r="S642" i="2"/>
  <c r="S660" i="2"/>
  <c r="S678" i="2"/>
  <c r="S696" i="2"/>
  <c r="S715" i="2"/>
  <c r="S733" i="2"/>
  <c r="S751" i="2"/>
  <c r="S769" i="2"/>
  <c r="S787" i="2"/>
  <c r="S805" i="2"/>
  <c r="S823" i="2"/>
  <c r="S843" i="2"/>
  <c r="S860" i="2"/>
  <c r="S878" i="2"/>
  <c r="S896" i="2"/>
  <c r="S914" i="2"/>
  <c r="S932" i="2"/>
  <c r="S950" i="2"/>
  <c r="S970" i="2"/>
  <c r="S987" i="2"/>
  <c r="S8" i="2"/>
  <c r="S27" i="2"/>
  <c r="S46" i="2"/>
  <c r="S65" i="2"/>
  <c r="S87" i="2"/>
  <c r="S106" i="2"/>
  <c r="S124" i="2"/>
  <c r="S143" i="2"/>
  <c r="S164" i="2"/>
  <c r="S182" i="2"/>
  <c r="S200" i="2"/>
  <c r="S219" i="2"/>
  <c r="S240" i="2"/>
  <c r="S259" i="2"/>
  <c r="S278" i="2"/>
  <c r="S297" i="2"/>
  <c r="S316" i="2"/>
  <c r="S337" i="2"/>
  <c r="S356" i="2"/>
  <c r="S373" i="2"/>
  <c r="S392" i="2"/>
  <c r="S413" i="2"/>
  <c r="S432" i="2"/>
  <c r="S451" i="2"/>
  <c r="S470" i="2"/>
  <c r="S489" i="2"/>
  <c r="S511" i="2"/>
  <c r="S529" i="2"/>
  <c r="S548" i="2"/>
  <c r="S567" i="2"/>
  <c r="S589" i="2"/>
  <c r="S607" i="2"/>
  <c r="S625" i="2"/>
  <c r="S643" i="2"/>
  <c r="S661" i="2"/>
  <c r="S679" i="2"/>
  <c r="S699" i="2"/>
  <c r="S716" i="2"/>
  <c r="S734" i="2"/>
  <c r="S752" i="2"/>
  <c r="S770" i="2"/>
  <c r="S788" i="2"/>
  <c r="S806" i="2"/>
  <c r="S826" i="2"/>
  <c r="S844" i="2"/>
  <c r="S861" i="2"/>
  <c r="S879" i="2"/>
  <c r="S897" i="2"/>
  <c r="S915" i="2"/>
  <c r="S933" i="2"/>
  <c r="S953" i="2"/>
  <c r="S971" i="2"/>
  <c r="S988" i="2"/>
  <c r="S9" i="2"/>
  <c r="S28" i="2"/>
  <c r="S47" i="2"/>
  <c r="S69" i="2"/>
  <c r="S88" i="2"/>
  <c r="S107" i="2"/>
  <c r="S125" i="2"/>
  <c r="S144" i="2"/>
  <c r="S183" i="2"/>
  <c r="S201" i="2"/>
  <c r="S5" i="2"/>
  <c r="S10" i="2"/>
  <c r="S33" i="2"/>
  <c r="S59" i="2"/>
  <c r="S89" i="2"/>
  <c r="S137" i="2"/>
  <c r="S165" i="2"/>
  <c r="S188" i="2"/>
  <c r="S213" i="2"/>
  <c r="S234" i="2"/>
  <c r="S262" i="2"/>
  <c r="S284" i="2"/>
  <c r="S309" i="2"/>
  <c r="S330" i="2"/>
  <c r="S378" i="2"/>
  <c r="S402" i="2"/>
  <c r="S424" i="2"/>
  <c r="S452" i="2"/>
  <c r="S477" i="2"/>
  <c r="S499" i="2"/>
  <c r="S520" i="2"/>
  <c r="S545" i="2"/>
  <c r="S573" i="2"/>
  <c r="S595" i="2"/>
  <c r="S616" i="2"/>
  <c r="S639" i="2"/>
  <c r="S663" i="2"/>
  <c r="S686" i="2"/>
  <c r="S707" i="2"/>
  <c r="S727" i="2"/>
  <c r="S753" i="2"/>
  <c r="S774" i="2"/>
  <c r="S797" i="2"/>
  <c r="S818" i="2"/>
  <c r="S839" i="2"/>
  <c r="S864" i="2"/>
  <c r="S885" i="2"/>
  <c r="S908" i="2"/>
  <c r="S929" i="2"/>
  <c r="S955" i="2"/>
  <c r="S976" i="2"/>
  <c r="S11" i="2"/>
  <c r="S37" i="2"/>
  <c r="S60" i="2"/>
  <c r="S90" i="2"/>
  <c r="S112" i="2"/>
  <c r="S138" i="2"/>
  <c r="S166" i="2"/>
  <c r="S189" i="2"/>
  <c r="S214" i="2"/>
  <c r="S241" i="2"/>
  <c r="S263" i="2"/>
  <c r="S288" i="2"/>
  <c r="S310" i="2"/>
  <c r="S331" i="2"/>
  <c r="S358" i="2"/>
  <c r="S382" i="2"/>
  <c r="S403" i="2"/>
  <c r="S425" i="2"/>
  <c r="S453" i="2"/>
  <c r="S478" i="2"/>
  <c r="S500" i="2"/>
  <c r="S524" i="2"/>
  <c r="S549" i="2"/>
  <c r="S574" i="2"/>
  <c r="S596" i="2"/>
  <c r="S619" i="2"/>
  <c r="S640" i="2"/>
  <c r="S664" i="2"/>
  <c r="S687" i="2"/>
  <c r="S708" i="2"/>
  <c r="S730" i="2"/>
  <c r="S754" i="2"/>
  <c r="S775" i="2"/>
  <c r="S798" i="2"/>
  <c r="S819" i="2"/>
  <c r="S845" i="2"/>
  <c r="S865" i="2"/>
  <c r="S886" i="2"/>
  <c r="S909" i="2"/>
  <c r="S930" i="2"/>
  <c r="S956" i="2"/>
  <c r="S977" i="2"/>
  <c r="S12" i="2"/>
  <c r="S38" i="2"/>
  <c r="S61" i="2"/>
  <c r="S91" i="2"/>
  <c r="S116" i="2"/>
  <c r="S139" i="2"/>
  <c r="S167" i="2"/>
  <c r="S190" i="2"/>
  <c r="S215" i="2"/>
  <c r="S242" i="2"/>
  <c r="S264" i="2"/>
  <c r="S289" i="2"/>
  <c r="S311" i="2"/>
  <c r="S338" i="2"/>
  <c r="S359" i="2"/>
  <c r="S383" i="2"/>
  <c r="S404" i="2"/>
  <c r="S429" i="2"/>
  <c r="S454" i="2"/>
  <c r="S479" i="2"/>
  <c r="S501" i="2"/>
  <c r="S525" i="2"/>
  <c r="S550" i="2"/>
  <c r="S575" i="2"/>
  <c r="S597" i="2"/>
  <c r="S620" i="2"/>
  <c r="S644" i="2"/>
  <c r="S667" i="2"/>
  <c r="S688" i="2"/>
  <c r="S709" i="2"/>
  <c r="S731" i="2"/>
  <c r="S755" i="2"/>
  <c r="S778" i="2"/>
  <c r="S799" i="2"/>
  <c r="S820" i="2"/>
  <c r="S846" i="2"/>
  <c r="S866" i="2"/>
  <c r="S889" i="2"/>
  <c r="S910" i="2"/>
  <c r="S934" i="2"/>
  <c r="S957" i="2"/>
  <c r="S978" i="2"/>
  <c r="S13" i="2"/>
  <c r="S39" i="2"/>
  <c r="S62" i="2"/>
  <c r="S92" i="2"/>
  <c r="S117" i="2"/>
  <c r="S140" i="2"/>
  <c r="S168" i="2"/>
  <c r="S194" i="2"/>
  <c r="S216" i="2"/>
  <c r="S243" i="2"/>
  <c r="S265" i="2"/>
  <c r="S290" i="2"/>
  <c r="S312" i="2"/>
  <c r="S339" i="2"/>
  <c r="S360" i="2"/>
  <c r="S384" i="2"/>
  <c r="S405" i="2"/>
  <c r="S433" i="2"/>
  <c r="S455" i="2"/>
  <c r="S480" i="2"/>
  <c r="S502" i="2"/>
  <c r="S526" i="2"/>
  <c r="S551" i="2"/>
  <c r="S576" i="2"/>
  <c r="S598" i="2"/>
  <c r="S621" i="2"/>
  <c r="S645" i="2"/>
  <c r="S668" i="2"/>
  <c r="S689" i="2"/>
  <c r="S710" i="2"/>
  <c r="S735" i="2"/>
  <c r="S756" i="2"/>
  <c r="S779" i="2"/>
  <c r="S800" i="2"/>
  <c r="S821" i="2"/>
  <c r="S847" i="2"/>
  <c r="S867" i="2"/>
  <c r="S890" i="2"/>
  <c r="S911" i="2"/>
  <c r="S937" i="2"/>
  <c r="S958" i="2"/>
  <c r="S979" i="2"/>
  <c r="S14" i="2"/>
  <c r="S40" i="2"/>
  <c r="S70" i="2"/>
  <c r="S93" i="2"/>
  <c r="S118" i="2"/>
  <c r="S147" i="2"/>
  <c r="S169" i="2"/>
  <c r="S195" i="2"/>
  <c r="S220" i="2"/>
  <c r="S244" i="2"/>
  <c r="S266" i="2"/>
  <c r="S291" i="2"/>
  <c r="S313" i="2"/>
  <c r="S340" i="2"/>
  <c r="S361" i="2"/>
  <c r="S385" i="2"/>
  <c r="S406" i="2"/>
  <c r="S434" i="2"/>
  <c r="S456" i="2"/>
  <c r="S481" i="2"/>
  <c r="S503" i="2"/>
  <c r="S530" i="2"/>
  <c r="S552" i="2"/>
  <c r="S577" i="2"/>
  <c r="S599" i="2"/>
  <c r="S622" i="2"/>
  <c r="S646" i="2"/>
  <c r="S669" i="2"/>
  <c r="S690" i="2"/>
  <c r="S736" i="2"/>
  <c r="S757" i="2"/>
  <c r="S780" i="2"/>
  <c r="S801" i="2"/>
  <c r="S827" i="2"/>
  <c r="S848" i="2"/>
  <c r="S868" i="2"/>
  <c r="S891" i="2"/>
  <c r="S912" i="2"/>
  <c r="S938" i="2"/>
  <c r="S959" i="2"/>
  <c r="S980" i="2"/>
  <c r="S15" i="2"/>
  <c r="S41" i="2"/>
  <c r="S71" i="2"/>
  <c r="S94" i="2"/>
  <c r="S119" i="2"/>
  <c r="S148" i="2"/>
  <c r="S170" i="2"/>
  <c r="S196" i="2"/>
  <c r="S221" i="2"/>
  <c r="S245" i="2"/>
  <c r="S267" i="2"/>
  <c r="S292" i="2"/>
  <c r="S320" i="2"/>
  <c r="S341" i="2"/>
  <c r="S362" i="2"/>
  <c r="S386" i="2"/>
  <c r="S407" i="2"/>
  <c r="S435" i="2"/>
  <c r="S457" i="2"/>
  <c r="S482" i="2"/>
  <c r="S504" i="2"/>
  <c r="S531" i="2"/>
  <c r="S556" i="2"/>
  <c r="S578" i="2"/>
  <c r="S600" i="2"/>
  <c r="S626" i="2"/>
  <c r="S647" i="2"/>
  <c r="S670" i="2"/>
  <c r="S691" i="2"/>
  <c r="S711" i="2"/>
  <c r="S737" i="2"/>
  <c r="S758" i="2"/>
  <c r="S781" i="2"/>
  <c r="S802" i="2"/>
  <c r="S828" i="2"/>
  <c r="S849" i="2"/>
  <c r="S869" i="2"/>
  <c r="S892" i="2"/>
  <c r="S916" i="2"/>
  <c r="S939" i="2"/>
  <c r="S960" i="2"/>
  <c r="S981" i="2"/>
  <c r="S16" i="2"/>
  <c r="S42" i="2"/>
  <c r="S72" i="2"/>
  <c r="S95" i="2"/>
  <c r="S120" i="2"/>
  <c r="S149" i="2"/>
  <c r="S171" i="2"/>
  <c r="S197" i="2"/>
  <c r="S225" i="2"/>
  <c r="S246" i="2"/>
  <c r="S268" i="2"/>
  <c r="S293" i="2"/>
  <c r="S321" i="2"/>
  <c r="S342" i="2"/>
  <c r="S365" i="2"/>
  <c r="S387" i="2"/>
  <c r="S414" i="2"/>
  <c r="S436" i="2"/>
  <c r="S461" i="2"/>
  <c r="S483" i="2"/>
  <c r="S505" i="2"/>
  <c r="S532" i="2"/>
  <c r="S557" i="2"/>
  <c r="S579" i="2"/>
  <c r="S603" i="2"/>
  <c r="S627" i="2"/>
  <c r="S648" i="2"/>
  <c r="S671" i="2"/>
  <c r="S692" i="2"/>
  <c r="S717" i="2"/>
  <c r="S738" i="2"/>
  <c r="S759" i="2"/>
  <c r="S782" i="2"/>
  <c r="S803" i="2"/>
  <c r="S829" i="2"/>
  <c r="S850" i="2"/>
  <c r="S870" i="2"/>
  <c r="S893" i="2"/>
  <c r="S917" i="2"/>
  <c r="S940" i="2"/>
  <c r="S961" i="2"/>
  <c r="S982" i="2"/>
  <c r="S17" i="2"/>
  <c r="S43" i="2"/>
  <c r="S73" i="2"/>
  <c r="S96" i="2"/>
  <c r="S121" i="2"/>
  <c r="S150" i="2"/>
  <c r="S172" i="2"/>
  <c r="S226" i="2"/>
  <c r="S247" i="2"/>
  <c r="S272" i="2"/>
  <c r="S294" i="2"/>
  <c r="S322" i="2"/>
  <c r="S343" i="2"/>
  <c r="S366" i="2"/>
  <c r="S388" i="2"/>
  <c r="S415" i="2"/>
  <c r="S437" i="2"/>
  <c r="S462" i="2"/>
  <c r="S484" i="2"/>
  <c r="S512" i="2"/>
  <c r="S533" i="2"/>
  <c r="S558" i="2"/>
  <c r="S580" i="2"/>
  <c r="S604" i="2"/>
  <c r="S628" i="2"/>
  <c r="S651" i="2"/>
  <c r="S672" i="2"/>
  <c r="S693" i="2"/>
  <c r="S718" i="2"/>
  <c r="S739" i="2"/>
  <c r="S762" i="2"/>
  <c r="S783" i="2"/>
  <c r="S807" i="2"/>
  <c r="S830" i="2"/>
  <c r="S851" i="2"/>
  <c r="S873" i="2"/>
  <c r="S894" i="2"/>
  <c r="S918" i="2"/>
  <c r="S941" i="2"/>
  <c r="S962" i="2"/>
  <c r="S984" i="2"/>
  <c r="S21" i="2"/>
  <c r="S48" i="2"/>
  <c r="S74" i="2"/>
  <c r="S97" i="2"/>
  <c r="S126" i="2"/>
  <c r="S22" i="2"/>
  <c r="S77" i="2"/>
  <c r="S134" i="2"/>
  <c r="S185" i="2"/>
  <c r="S281" i="2"/>
  <c r="S328" i="2"/>
  <c r="S375" i="2"/>
  <c r="S421" i="2"/>
  <c r="S471" i="2"/>
  <c r="S518" i="2"/>
  <c r="S564" i="2"/>
  <c r="S613" i="2"/>
  <c r="S657" i="2"/>
  <c r="S704" i="2"/>
  <c r="S747" i="2"/>
  <c r="S794" i="2"/>
  <c r="S836" i="2"/>
  <c r="S882" i="2"/>
  <c r="S926" i="2"/>
  <c r="S973" i="2"/>
  <c r="S662" i="2"/>
  <c r="S749" i="2"/>
  <c r="S838" i="2"/>
  <c r="S928" i="2"/>
  <c r="S29" i="2"/>
  <c r="S438" i="2"/>
  <c r="S629" i="2"/>
  <c r="S810" i="2"/>
  <c r="S942" i="2"/>
  <c r="S81" i="2"/>
  <c r="S152" i="2"/>
  <c r="S299" i="2"/>
  <c r="S439" i="2"/>
  <c r="S582" i="2"/>
  <c r="S720" i="2"/>
  <c r="S899" i="2"/>
  <c r="S101" i="2"/>
  <c r="S153" i="2"/>
  <c r="S250" i="2"/>
  <c r="S394" i="2"/>
  <c r="S493" i="2"/>
  <c r="S631" i="2"/>
  <c r="S765" i="2"/>
  <c r="S900" i="2"/>
  <c r="S990" i="2"/>
  <c r="S102" i="2"/>
  <c r="S251" i="2"/>
  <c r="S398" i="2"/>
  <c r="S540" i="2"/>
  <c r="S676" i="2"/>
  <c r="S813" i="2"/>
  <c r="S945" i="2"/>
  <c r="S103" i="2"/>
  <c r="S155" i="2"/>
  <c r="S209" i="2"/>
  <c r="S305" i="2"/>
  <c r="S399" i="2"/>
  <c r="S495" i="2"/>
  <c r="S635" i="2"/>
  <c r="S767" i="2"/>
  <c r="S902" i="2"/>
  <c r="S108" i="2"/>
  <c r="S156" i="2"/>
  <c r="S256" i="2"/>
  <c r="S542" i="2"/>
  <c r="S683" i="2"/>
  <c r="S815" i="2"/>
  <c r="S947" i="2"/>
  <c r="S109" i="2"/>
  <c r="S260" i="2"/>
  <c r="S447" i="2"/>
  <c r="S637" i="2"/>
  <c r="S816" i="2"/>
  <c r="S948" i="2"/>
  <c r="S55" i="2"/>
  <c r="S110" i="2"/>
  <c r="S158" i="2"/>
  <c r="S212" i="2"/>
  <c r="S261" i="2"/>
  <c r="S308" i="2"/>
  <c r="S357" i="2"/>
  <c r="S401" i="2"/>
  <c r="S448" i="2"/>
  <c r="S23" i="2"/>
  <c r="S78" i="2"/>
  <c r="S135" i="2"/>
  <c r="S186" i="2"/>
  <c r="S232" i="2"/>
  <c r="S282" i="2"/>
  <c r="S329" i="2"/>
  <c r="S376" i="2"/>
  <c r="S422" i="2"/>
  <c r="S472" i="2"/>
  <c r="S568" i="2"/>
  <c r="S614" i="2"/>
  <c r="S658" i="2"/>
  <c r="S705" i="2"/>
  <c r="S748" i="2"/>
  <c r="S795" i="2"/>
  <c r="S837" i="2"/>
  <c r="S883" i="2"/>
  <c r="S927" i="2"/>
  <c r="S974" i="2"/>
  <c r="S24" i="2"/>
  <c r="S79" i="2"/>
  <c r="S136" i="2"/>
  <c r="S187" i="2"/>
  <c r="S233" i="2"/>
  <c r="S283" i="2"/>
  <c r="S377" i="2"/>
  <c r="S423" i="2"/>
  <c r="S473" i="2"/>
  <c r="S519" i="2"/>
  <c r="S572" i="2"/>
  <c r="S615" i="2"/>
  <c r="S706" i="2"/>
  <c r="S796" i="2"/>
  <c r="S884" i="2"/>
  <c r="S975" i="2"/>
  <c r="S80" i="2"/>
  <c r="S151" i="2"/>
  <c r="S202" i="2"/>
  <c r="S248" i="2"/>
  <c r="S298" i="2"/>
  <c r="S344" i="2"/>
  <c r="S389" i="2"/>
  <c r="S485" i="2"/>
  <c r="S534" i="2"/>
  <c r="S581" i="2"/>
  <c r="S673" i="2"/>
  <c r="S719" i="2"/>
  <c r="S763" i="2"/>
  <c r="S852" i="2"/>
  <c r="S898" i="2"/>
  <c r="S985" i="2"/>
  <c r="S30" i="2"/>
  <c r="S203" i="2"/>
  <c r="S249" i="2"/>
  <c r="S345" i="2"/>
  <c r="S393" i="2"/>
  <c r="S486" i="2"/>
  <c r="S535" i="2"/>
  <c r="S630" i="2"/>
  <c r="S674" i="2"/>
  <c r="S764" i="2"/>
  <c r="S811" i="2"/>
  <c r="S853" i="2"/>
  <c r="S943" i="2"/>
  <c r="S989" i="2"/>
  <c r="S31" i="2"/>
  <c r="S204" i="2"/>
  <c r="S300" i="2"/>
  <c r="S346" i="2"/>
  <c r="S440" i="2"/>
  <c r="S536" i="2"/>
  <c r="S583" i="2"/>
  <c r="S675" i="2"/>
  <c r="S721" i="2"/>
  <c r="S812" i="2"/>
  <c r="S854" i="2"/>
  <c r="S944" i="2"/>
  <c r="S32" i="2"/>
  <c r="S154" i="2"/>
  <c r="S205" i="2"/>
  <c r="S304" i="2"/>
  <c r="S347" i="2"/>
  <c r="S441" i="2"/>
  <c r="S494" i="2"/>
  <c r="S590" i="2"/>
  <c r="S632" i="2"/>
  <c r="S722" i="2"/>
  <c r="S766" i="2"/>
  <c r="S855" i="2"/>
  <c r="S901" i="2"/>
  <c r="S49" i="2"/>
  <c r="S252" i="2"/>
  <c r="S351" i="2"/>
  <c r="S445" i="2"/>
  <c r="S541" i="2"/>
  <c r="S591" i="2"/>
  <c r="S680" i="2"/>
  <c r="S723" i="2"/>
  <c r="S814" i="2"/>
  <c r="S858" i="2"/>
  <c r="S946" i="2"/>
  <c r="S53" i="2"/>
  <c r="S210" i="2"/>
  <c r="S306" i="2"/>
  <c r="S352" i="2"/>
  <c r="S446" i="2"/>
  <c r="S496" i="2"/>
  <c r="S592" i="2"/>
  <c r="S636" i="2"/>
  <c r="S724" i="2"/>
  <c r="S771" i="2"/>
  <c r="S905" i="2"/>
  <c r="S54" i="2"/>
  <c r="S157" i="2"/>
  <c r="S211" i="2"/>
  <c r="S307" i="2"/>
  <c r="S353" i="2"/>
  <c r="S400" i="2"/>
  <c r="S497" i="2"/>
  <c r="S543" i="2"/>
  <c r="S593" i="2"/>
  <c r="S684" i="2"/>
  <c r="S725" i="2"/>
  <c r="S772" i="2"/>
  <c r="S862" i="2"/>
  <c r="S906" i="2"/>
  <c r="S56" i="2"/>
  <c r="S228" i="2"/>
  <c r="S369" i="2"/>
  <c r="S515" i="2"/>
  <c r="S652" i="2"/>
  <c r="S746" i="2"/>
  <c r="S876" i="2"/>
  <c r="S57" i="2"/>
  <c r="S229" i="2"/>
  <c r="S370" i="2"/>
  <c r="S516" i="2"/>
  <c r="S653" i="2"/>
  <c r="S773" i="2"/>
  <c r="S880" i="2"/>
  <c r="S58" i="2"/>
  <c r="S230" i="2"/>
  <c r="S374" i="2"/>
  <c r="S517" i="2"/>
  <c r="S654" i="2"/>
  <c r="S784" i="2"/>
  <c r="S881" i="2"/>
  <c r="S75" i="2"/>
  <c r="S231" i="2"/>
  <c r="S416" i="2"/>
  <c r="S544" i="2"/>
  <c r="S655" i="2"/>
  <c r="S785" i="2"/>
  <c r="S907" i="2"/>
  <c r="S76" i="2"/>
  <c r="S273" i="2"/>
  <c r="S417" i="2"/>
  <c r="S559" i="2"/>
  <c r="S656" i="2"/>
  <c r="S789" i="2"/>
  <c r="S921" i="2"/>
  <c r="S111" i="2"/>
  <c r="S274" i="2"/>
  <c r="S418" i="2"/>
  <c r="S560" i="2"/>
  <c r="S685" i="2"/>
  <c r="S790" i="2"/>
  <c r="S922" i="2"/>
  <c r="S127" i="2"/>
  <c r="S275" i="2"/>
  <c r="S419" i="2"/>
  <c r="S561" i="2"/>
  <c r="S694" i="2"/>
  <c r="S791" i="2"/>
  <c r="S923" i="2"/>
  <c r="S128" i="2"/>
  <c r="S279" i="2"/>
  <c r="S420" i="2"/>
  <c r="S562" i="2"/>
  <c r="S700" i="2"/>
  <c r="S817" i="2"/>
  <c r="S924" i="2"/>
  <c r="S132" i="2"/>
  <c r="S280" i="2"/>
  <c r="S463" i="2"/>
  <c r="S563" i="2"/>
  <c r="S701" i="2"/>
  <c r="S831" i="2"/>
  <c r="S925" i="2"/>
  <c r="S133" i="2"/>
  <c r="S323" i="2"/>
  <c r="S464" i="2"/>
  <c r="S594" i="2"/>
  <c r="S702" i="2"/>
  <c r="S832" i="2"/>
  <c r="S954" i="2"/>
  <c r="S173" i="2"/>
  <c r="S324" i="2"/>
  <c r="S465" i="2"/>
  <c r="S608" i="2"/>
  <c r="S703" i="2"/>
  <c r="S833" i="2"/>
  <c r="S963" i="2"/>
  <c r="S174" i="2"/>
  <c r="S325" i="2"/>
  <c r="S466" i="2"/>
  <c r="S609" i="2"/>
  <c r="S726" i="2"/>
  <c r="S834" i="2"/>
  <c r="S964" i="2"/>
  <c r="S178" i="2"/>
  <c r="S326" i="2"/>
  <c r="S467" i="2"/>
  <c r="S610" i="2"/>
  <c r="S740" i="2"/>
  <c r="S835" i="2"/>
  <c r="S965" i="2"/>
  <c r="S179" i="2"/>
  <c r="S327" i="2"/>
  <c r="S498" i="2"/>
  <c r="S611" i="2"/>
  <c r="S741" i="2"/>
  <c r="S863" i="2"/>
  <c r="S966" i="2"/>
  <c r="S184" i="2"/>
  <c r="S367" i="2"/>
  <c r="S513" i="2"/>
  <c r="S612" i="2"/>
  <c r="S742" i="2"/>
  <c r="S874" i="2"/>
  <c r="S972" i="2"/>
  <c r="S227" i="2"/>
  <c r="S368" i="2"/>
  <c r="S514" i="2"/>
  <c r="S638" i="2"/>
  <c r="S743" i="2"/>
  <c r="S875" i="2"/>
  <c r="V17"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5F4824-4CDD-4DC4-98F5-9C19D343752D}" keepAlive="1" name="Query - AVG_Sal_By_City_Industry" description="Connection to the 'AVG_Sal_By_City_Industry' query in the workbook." type="5" refreshedVersion="8" background="1" saveData="1">
    <dbPr connection="Provider=Microsoft.Mashup.OleDb.1;Data Source=$Workbook$;Location=AVG_Sal_By_City_Industry;Extended Properties=&quot;&quot;" command="SELECT * FROM [AVG_Sal_By_City_Industry]"/>
  </connection>
  <connection id="2" xr16:uid="{59705D47-B7FB-405A-97F7-359968B73A87}" keepAlive="1" name="Query - Avg_Sal_By_Edu_Level" description="Connection to the 'Avg_Sal_By_Edu_Level' query in the workbook." type="5" refreshedVersion="8" background="1" saveData="1">
    <dbPr connection="Provider=Microsoft.Mashup.OleDb.1;Data Source=$Workbook$;Location=Avg_Sal_By_Edu_Level;Extended Properties=&quot;&quot;" command="SELECT * FROM [Avg_Sal_By_Edu_Level]"/>
  </connection>
  <connection id="3" xr16:uid="{A0800A1D-96CF-4744-9781-2204606EE543}" keepAlive="1" name="Query - AVG_Salary_By_Industry_Gender" description="Connection to the 'AVG_Salary_By_Industry_Gender' query in the workbook." type="5" refreshedVersion="8" background="1" saveData="1">
    <dbPr connection="Provider=Microsoft.Mashup.OleDb.1;Data Source=$Workbook$;Location=AVG_Salary_By_Industry_Gender;Extended Properties=&quot;&quot;" command="SELECT * FROM [AVG_Salary_By_Industry_Gender]"/>
  </connection>
  <connection id="4" xr16:uid="{D5054362-DBCF-454E-BBD1-17C1503C8B62}" keepAlive="1" name="Query - Exp_By_Industry" description="Connection to the 'Exp_By_Industry' query in the workbook." type="5" refreshedVersion="8" background="1" saveData="1">
    <dbPr connection="Provider=Microsoft.Mashup.OleDb.1;Data Source=$Workbook$;Location=Exp_By_Industry;Extended Properties=&quot;&quot;" command="SELECT * FROM [Exp_By_Industry]"/>
  </connection>
  <connection id="5" xr16:uid="{B09A603A-F730-4044-8858-C0BB4DE6162F}" keepAlive="1" name="Query - Highest_Salary_By_Job_Title" description="Connection to the 'Highest_Salary_By_Job_Title' query in the workbook." type="5" refreshedVersion="8" background="1" saveData="1">
    <dbPr connection="Provider=Microsoft.Mashup.OleDb.1;Data Source=$Workbook$;Location=Highest_Salary_By_Job_Title;Extended Properties=&quot;&quot;" command="SELECT * FROM [Highest_Salary_By_Job_Title]"/>
  </connection>
  <connection id="6" xr16:uid="{C92B16D2-2C80-4763-B790-20854D25521D}" keepAlive="1" name="Query - Mid_Salary_By_Age_Gender" description="Connection to the 'Mid_Salary_By_Age_Gender' query in the workbook." type="5" refreshedVersion="8" background="1" saveData="1">
    <dbPr connection="Provider=Microsoft.Mashup.OleDb.1;Data Source=$Workbook$;Location=Mid_Salary_By_Age_Gender;Extended Properties=&quot;&quot;" command="SELECT * FROM [Mid_Salary_By_Age_Gender]"/>
  </connection>
  <connection id="7" xr16:uid="{04B4BB02-BA0D-4E14-B213-447B227E6F40}" keepAlive="1" name="Query - Min_Max_Salary_By_Education" description="Connection to the 'Min_Max_Salary_By_Education' query in the workbook." type="5" refreshedVersion="8" background="1" saveData="1">
    <dbPr connection="Provider=Microsoft.Mashup.OleDb.1;Data Source=$Workbook$;Location=Min_Max_Salary_By_Education;Extended Properties=&quot;&quot;" command="SELECT * FROM [Min_Max_Salary_By_Education]"/>
  </connection>
  <connection id="8" xr16:uid="{85D4602C-0385-4C91-8F7F-D6CA6D78F300}" keepAlive="1" name="Query - Percetage_By_Gender" description="Connection to the 'Percetage_By_Gender' query in the workbook." type="5" refreshedVersion="8" background="1" saveData="1">
    <dbPr connection="Provider=Microsoft.Mashup.OleDb.1;Data Source=$Workbook$;Location=Percetage_By_Gender;Extended Properties=&quot;&quot;" command="SELECT * FROM [Percetage_By_Gender]"/>
  </connection>
  <connection id="9" xr16:uid="{14217396-2681-421D-A59A-03B9817FE435}"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10" xr16:uid="{049D9DA7-13CC-42CC-A678-0F6FB47F12B2}" keepAlive="1" name="Query - Tot_Sal_By_Exp_Job" description="Connection to the 'Tot_Sal_By_Exp_Job' query in the workbook." type="5" refreshedVersion="8" background="1" saveData="1">
    <dbPr connection="Provider=Microsoft.Mashup.OleDb.1;Data Source=$Workbook$;Location=Tot_Sal_By_Exp_Job;Extended Properties=&quot;&quot;" command="SELECT * FROM [Tot_Sal_By_Exp_Job]"/>
  </connection>
  <connection id="11" xr16:uid="{C600C9AE-FD0C-4BA9-9874-243EE3BB676F}" keepAlive="1" name="Query - Total_Salary_By_Job_Title" description="Connection to the 'Total_Salary_By_Job_Title' query in the workbook." type="5" refreshedVersion="8" background="1" saveData="1">
    <dbPr connection="Provider=Microsoft.Mashup.OleDb.1;Data Source=$Workbook$;Location=Total_Salary_By_Job_Title;Extended Properties=&quot;&quot;" command="SELECT * FROM [Total_Salary_By_Job_Title]"/>
  </connection>
</connections>
</file>

<file path=xl/sharedStrings.xml><?xml version="1.0" encoding="utf-8"?>
<sst xmlns="http://schemas.openxmlformats.org/spreadsheetml/2006/main" count="25976" uniqueCount="480">
  <si>
    <t>Age Range</t>
  </si>
  <si>
    <t>Industry</t>
  </si>
  <si>
    <t>Job Title</t>
  </si>
  <si>
    <t>Clarification of Job Title</t>
  </si>
  <si>
    <t>Annual Salary</t>
  </si>
  <si>
    <t>Additional Monetary Compensation</t>
  </si>
  <si>
    <t>Currency</t>
  </si>
  <si>
    <t>Other Currency</t>
  </si>
  <si>
    <t>Income Clarification</t>
  </si>
  <si>
    <t>Country</t>
  </si>
  <si>
    <t>State</t>
  </si>
  <si>
    <t>City</t>
  </si>
  <si>
    <t>Years of Professional Experience Overall</t>
  </si>
  <si>
    <t>Years of Professional Experience in Field</t>
  </si>
  <si>
    <t>Highest Level of Education Completed</t>
  </si>
  <si>
    <t>Gender</t>
  </si>
  <si>
    <t>Name</t>
  </si>
  <si>
    <t>55-64</t>
  </si>
  <si>
    <t>18-24</t>
  </si>
  <si>
    <t>35-44</t>
  </si>
  <si>
    <t>25-34</t>
  </si>
  <si>
    <t>45-54</t>
  </si>
  <si>
    <t>Healthcare</t>
  </si>
  <si>
    <t>Retail</t>
  </si>
  <si>
    <t>Finance</t>
  </si>
  <si>
    <t>IT</t>
  </si>
  <si>
    <t>Health Care</t>
  </si>
  <si>
    <t>Info Tech</t>
  </si>
  <si>
    <t>Manufacturing</t>
  </si>
  <si>
    <t>Education</t>
  </si>
  <si>
    <t>Edu</t>
  </si>
  <si>
    <t>Banking</t>
  </si>
  <si>
    <t>Government</t>
  </si>
  <si>
    <t>Telecom</t>
  </si>
  <si>
    <t>Consulting</t>
  </si>
  <si>
    <t>Information Technology</t>
  </si>
  <si>
    <t>QA Engineer</t>
  </si>
  <si>
    <t>Accountant</t>
  </si>
  <si>
    <t>Software Engineer</t>
  </si>
  <si>
    <t>Developer</t>
  </si>
  <si>
    <t>Data Scientist</t>
  </si>
  <si>
    <t>Sales Executive</t>
  </si>
  <si>
    <t>Teacher</t>
  </si>
  <si>
    <t>Product Manager</t>
  </si>
  <si>
    <t>Business Analyst</t>
  </si>
  <si>
    <t>S/W Engineer</t>
  </si>
  <si>
    <t>Professor</t>
  </si>
  <si>
    <t>Project Manager</t>
  </si>
  <si>
    <t>Nurse</t>
  </si>
  <si>
    <t>Data Analyst</t>
  </si>
  <si>
    <t>DevOps Engineer</t>
  </si>
  <si>
    <t>HR Manager</t>
  </si>
  <si>
    <t>Doctor</t>
  </si>
  <si>
    <t>System Administrator</t>
  </si>
  <si>
    <t>Full-time</t>
  </si>
  <si>
    <t>Part-time</t>
  </si>
  <si>
    <t>Contract</t>
  </si>
  <si>
    <t>Senior</t>
  </si>
  <si>
    <t>Intern</t>
  </si>
  <si>
    <t>On-site</t>
  </si>
  <si>
    <t>Junior</t>
  </si>
  <si>
    <t>Lead</t>
  </si>
  <si>
    <t>Remote</t>
  </si>
  <si>
    <t>EUR</t>
  </si>
  <si>
    <t>AUD</t>
  </si>
  <si>
    <t>CAD</t>
  </si>
  <si>
    <t>INR</t>
  </si>
  <si>
    <t>USD</t>
  </si>
  <si>
    <t>GBP</t>
  </si>
  <si>
    <t>Commission-based</t>
  </si>
  <si>
    <t>Hourly</t>
  </si>
  <si>
    <t>Fixed salary</t>
  </si>
  <si>
    <t>Netherlands</t>
  </si>
  <si>
    <t>Germany</t>
  </si>
  <si>
    <t>Singapore</t>
  </si>
  <si>
    <t>Australia</t>
  </si>
  <si>
    <t>Canada</t>
  </si>
  <si>
    <t>India</t>
  </si>
  <si>
    <t>United States</t>
  </si>
  <si>
    <t>France</t>
  </si>
  <si>
    <t>UAE</t>
  </si>
  <si>
    <t>United Kingdom</t>
  </si>
  <si>
    <t>South Holland</t>
  </si>
  <si>
    <t>Hesse</t>
  </si>
  <si>
    <t>Central Region</t>
  </si>
  <si>
    <t>New South Wales</t>
  </si>
  <si>
    <t>Quebec</t>
  </si>
  <si>
    <t>Tamil Nadu</t>
  </si>
  <si>
    <t>California</t>
  </si>
  <si>
    <t>Delhi</t>
  </si>
  <si>
    <t>Texas</t>
  </si>
  <si>
    <t>Provence-Alpes-Côte d'Azur</t>
  </si>
  <si>
    <t>British Columbia</t>
  </si>
  <si>
    <t>Dubai</t>
  </si>
  <si>
    <t>Scotland</t>
  </si>
  <si>
    <t>North Holland</t>
  </si>
  <si>
    <t>Queensland</t>
  </si>
  <si>
    <t>Telangana</t>
  </si>
  <si>
    <t>Northern Ireland</t>
  </si>
  <si>
    <t>Bavaria</t>
  </si>
  <si>
    <t>Ontario</t>
  </si>
  <si>
    <t>Wales</t>
  </si>
  <si>
    <t>Berlin</t>
  </si>
  <si>
    <t>England</t>
  </si>
  <si>
    <t>Massachusetts</t>
  </si>
  <si>
    <t>New York</t>
  </si>
  <si>
    <t>Abu Dhabi</t>
  </si>
  <si>
    <t>Île-de-France</t>
  </si>
  <si>
    <t>Victoria</t>
  </si>
  <si>
    <t>Washington</t>
  </si>
  <si>
    <t>Maharashtra</t>
  </si>
  <si>
    <t>Karnataka</t>
  </si>
  <si>
    <t>Rotterdam</t>
  </si>
  <si>
    <t>Frankfurt</t>
  </si>
  <si>
    <t>Sydney</t>
  </si>
  <si>
    <t>Montreal</t>
  </si>
  <si>
    <t>Chennai</t>
  </si>
  <si>
    <t>San Jose</t>
  </si>
  <si>
    <t>Nice</t>
  </si>
  <si>
    <t>Vancouver</t>
  </si>
  <si>
    <t>Amsterdam</t>
  </si>
  <si>
    <t>Brisbane</t>
  </si>
  <si>
    <t>Hyderabad</t>
  </si>
  <si>
    <t>Belfast</t>
  </si>
  <si>
    <t>New Delhi</t>
  </si>
  <si>
    <t>Munich</t>
  </si>
  <si>
    <t>Ottawa</t>
  </si>
  <si>
    <t>Cardiff</t>
  </si>
  <si>
    <t>San Francisco</t>
  </si>
  <si>
    <t>Edinburgh</t>
  </si>
  <si>
    <t>Manchester</t>
  </si>
  <si>
    <t>Boston</t>
  </si>
  <si>
    <t>Toronto</t>
  </si>
  <si>
    <t>Buffalo</t>
  </si>
  <si>
    <t>Paris</t>
  </si>
  <si>
    <t>Melbourne</t>
  </si>
  <si>
    <t>Los Angeles</t>
  </si>
  <si>
    <t>Seattle</t>
  </si>
  <si>
    <t>Dallas</t>
  </si>
  <si>
    <t>Mumbai</t>
  </si>
  <si>
    <t>London</t>
  </si>
  <si>
    <t>Bengaluru</t>
  </si>
  <si>
    <t>New York City</t>
  </si>
  <si>
    <t>Madurai</t>
  </si>
  <si>
    <t>Coimbatore</t>
  </si>
  <si>
    <t>Pune</t>
  </si>
  <si>
    <t>Mysore</t>
  </si>
  <si>
    <t>Austin</t>
  </si>
  <si>
    <t>PhD</t>
  </si>
  <si>
    <t>Other</t>
  </si>
  <si>
    <t>Bachelor's</t>
  </si>
  <si>
    <t>Diploma</t>
  </si>
  <si>
    <t>Master's</t>
  </si>
  <si>
    <t>High School</t>
  </si>
  <si>
    <t>Non-binary</t>
  </si>
  <si>
    <t>Female</t>
  </si>
  <si>
    <t>Prefer not to say</t>
  </si>
  <si>
    <t>Male</t>
  </si>
  <si>
    <t>Brittany</t>
  </si>
  <si>
    <t>Kevin</t>
  </si>
  <si>
    <t>Katherine</t>
  </si>
  <si>
    <t>Lori</t>
  </si>
  <si>
    <t>Anita</t>
  </si>
  <si>
    <t>Dustin</t>
  </si>
  <si>
    <t>Dylan</t>
  </si>
  <si>
    <t>Michael</t>
  </si>
  <si>
    <t>Olivia</t>
  </si>
  <si>
    <t>Sneha</t>
  </si>
  <si>
    <t>Kayla</t>
  </si>
  <si>
    <t>Ramesh</t>
  </si>
  <si>
    <t>Joshua</t>
  </si>
  <si>
    <t>Emma</t>
  </si>
  <si>
    <t>Mark</t>
  </si>
  <si>
    <t>Arjun</t>
  </si>
  <si>
    <t>Priya</t>
  </si>
  <si>
    <t>ijphn</t>
  </si>
  <si>
    <t>Daniel</t>
  </si>
  <si>
    <t>Stanley</t>
  </si>
  <si>
    <t>Kavya</t>
  </si>
  <si>
    <t>Linda</t>
  </si>
  <si>
    <t>Alex</t>
  </si>
  <si>
    <t>Liam</t>
  </si>
  <si>
    <t>Tyler</t>
  </si>
  <si>
    <t>Maureen</t>
  </si>
  <si>
    <t>Maria</t>
  </si>
  <si>
    <t>Jeffrey</t>
  </si>
  <si>
    <t>Bradley</t>
  </si>
  <si>
    <t>Lisa</t>
  </si>
  <si>
    <t>Sara</t>
  </si>
  <si>
    <t>Raj</t>
  </si>
  <si>
    <t>Christopher</t>
  </si>
  <si>
    <t>Shawn</t>
  </si>
  <si>
    <t>Corey</t>
  </si>
  <si>
    <t>Matthew</t>
  </si>
  <si>
    <t>Brenda</t>
  </si>
  <si>
    <t>Karen</t>
  </si>
  <si>
    <t>Vincent</t>
  </si>
  <si>
    <t>Brandy</t>
  </si>
  <si>
    <t>Brittney</t>
  </si>
  <si>
    <t>Samuel</t>
  </si>
  <si>
    <t>Sherry</t>
  </si>
  <si>
    <t>Barbara</t>
  </si>
  <si>
    <t>Ryan</t>
  </si>
  <si>
    <t>Carol</t>
  </si>
  <si>
    <t>Cameron</t>
  </si>
  <si>
    <t>Edward</t>
  </si>
  <si>
    <t>Erica</t>
  </si>
  <si>
    <t>Elizabeth</t>
  </si>
  <si>
    <t>Ashley</t>
  </si>
  <si>
    <t>David</t>
  </si>
  <si>
    <t>Jose</t>
  </si>
  <si>
    <t>Frank</t>
  </si>
  <si>
    <t>Noah</t>
  </si>
  <si>
    <t>Patrick</t>
  </si>
  <si>
    <t>Sheri</t>
  </si>
  <si>
    <t>James</t>
  </si>
  <si>
    <t>Andrew</t>
  </si>
  <si>
    <t>Travis</t>
  </si>
  <si>
    <t>Hayden</t>
  </si>
  <si>
    <t>Kenneth</t>
  </si>
  <si>
    <t>Gregg</t>
  </si>
  <si>
    <t>Thomas</t>
  </si>
  <si>
    <t>Amy</t>
  </si>
  <si>
    <t>Jacob</t>
  </si>
  <si>
    <t>Joseph</t>
  </si>
  <si>
    <t>Stacy</t>
  </si>
  <si>
    <t>Morgan</t>
  </si>
  <si>
    <t>Adam</t>
  </si>
  <si>
    <t>Melanie</t>
  </si>
  <si>
    <t>Jennifer</t>
  </si>
  <si>
    <t>Sharon</t>
  </si>
  <si>
    <t>Maxwell</t>
  </si>
  <si>
    <t>Antonio</t>
  </si>
  <si>
    <t>Nicholas</t>
  </si>
  <si>
    <t>Samantha</t>
  </si>
  <si>
    <t>Alyssa</t>
  </si>
  <si>
    <t>Tracy</t>
  </si>
  <si>
    <t>Dennis</t>
  </si>
  <si>
    <t>John</t>
  </si>
  <si>
    <t>Richard</t>
  </si>
  <si>
    <t>William</t>
  </si>
  <si>
    <t>Kyle</t>
  </si>
  <si>
    <t>Wayne</t>
  </si>
  <si>
    <t>Sarah</t>
  </si>
  <si>
    <t>Steven</t>
  </si>
  <si>
    <t>Jonathan</t>
  </si>
  <si>
    <t>Darren</t>
  </si>
  <si>
    <t>Laurie</t>
  </si>
  <si>
    <t>Connie</t>
  </si>
  <si>
    <t>Scott</t>
  </si>
  <si>
    <t>Jessica</t>
  </si>
  <si>
    <t>Margaret</t>
  </si>
  <si>
    <t>Cheryl</t>
  </si>
  <si>
    <t>Allison</t>
  </si>
  <si>
    <t>Kelsey</t>
  </si>
  <si>
    <t>Christina</t>
  </si>
  <si>
    <t>Robert</t>
  </si>
  <si>
    <t>Rachael</t>
  </si>
  <si>
    <t>Judith</t>
  </si>
  <si>
    <t>Brandon</t>
  </si>
  <si>
    <t>Tanya</t>
  </si>
  <si>
    <t>Alexander</t>
  </si>
  <si>
    <t>Veronica</t>
  </si>
  <si>
    <t>Robin</t>
  </si>
  <si>
    <t>Rose</t>
  </si>
  <si>
    <t>Andrea</t>
  </si>
  <si>
    <t>Natalie</t>
  </si>
  <si>
    <t>Tara</t>
  </si>
  <si>
    <t>Desiree</t>
  </si>
  <si>
    <t>Duane</t>
  </si>
  <si>
    <t>Marco</t>
  </si>
  <si>
    <t>Kimberly</t>
  </si>
  <si>
    <t>Debra</t>
  </si>
  <si>
    <t>Bonnie</t>
  </si>
  <si>
    <t>Damon</t>
  </si>
  <si>
    <t>Donna</t>
  </si>
  <si>
    <t>Pamela</t>
  </si>
  <si>
    <t>Gregory</t>
  </si>
  <si>
    <t>Chelsea</t>
  </si>
  <si>
    <t>Bryce</t>
  </si>
  <si>
    <t>Joel</t>
  </si>
  <si>
    <t>Randall</t>
  </si>
  <si>
    <t>Erin</t>
  </si>
  <si>
    <t>Patricia</t>
  </si>
  <si>
    <t>Megan</t>
  </si>
  <si>
    <t>Wesley</t>
  </si>
  <si>
    <t>Frances</t>
  </si>
  <si>
    <t>Carlos</t>
  </si>
  <si>
    <t>Michelle</t>
  </si>
  <si>
    <t>George</t>
  </si>
  <si>
    <t>Beverly</t>
  </si>
  <si>
    <t>Gordon</t>
  </si>
  <si>
    <t>Susan</t>
  </si>
  <si>
    <t>Tyrone</t>
  </si>
  <si>
    <t>Douglas</t>
  </si>
  <si>
    <t>Natasha</t>
  </si>
  <si>
    <t>Laura</t>
  </si>
  <si>
    <t>Rebecca</t>
  </si>
  <si>
    <t>Brian</t>
  </si>
  <si>
    <t>Anthony</t>
  </si>
  <si>
    <t>Teresa</t>
  </si>
  <si>
    <t>Omar</t>
  </si>
  <si>
    <t>Darryl</t>
  </si>
  <si>
    <t>Cassandra</t>
  </si>
  <si>
    <t>Kylie</t>
  </si>
  <si>
    <t>Holly</t>
  </si>
  <si>
    <t>Jacqueline</t>
  </si>
  <si>
    <t>Marie</t>
  </si>
  <si>
    <t>Alice</t>
  </si>
  <si>
    <t>Joy</t>
  </si>
  <si>
    <t>Dwayne</t>
  </si>
  <si>
    <t>Kristen</t>
  </si>
  <si>
    <t>Kelly</t>
  </si>
  <si>
    <t>Suzanne</t>
  </si>
  <si>
    <t>Audrey</t>
  </si>
  <si>
    <t>Rachel</t>
  </si>
  <si>
    <t>Rodney</t>
  </si>
  <si>
    <t>Eric</t>
  </si>
  <si>
    <t>Amanda</t>
  </si>
  <si>
    <t>Jason</t>
  </si>
  <si>
    <t>Greg</t>
  </si>
  <si>
    <t>Connor</t>
  </si>
  <si>
    <t>Lindsey</t>
  </si>
  <si>
    <t>Leslie</t>
  </si>
  <si>
    <t>Stephen</t>
  </si>
  <si>
    <t>Paige</t>
  </si>
  <si>
    <t>Alicia</t>
  </si>
  <si>
    <t>Claudia</t>
  </si>
  <si>
    <t>Tina</t>
  </si>
  <si>
    <t>Gloria</t>
  </si>
  <si>
    <t>Peggy</t>
  </si>
  <si>
    <t>Wendy</t>
  </si>
  <si>
    <t>Dominique</t>
  </si>
  <si>
    <t>Danielle</t>
  </si>
  <si>
    <t>Charles</t>
  </si>
  <si>
    <t>Nicole</t>
  </si>
  <si>
    <t>Tamara</t>
  </si>
  <si>
    <t>Russell</t>
  </si>
  <si>
    <t>Darlene</t>
  </si>
  <si>
    <t>Candice</t>
  </si>
  <si>
    <t>Ronnie</t>
  </si>
  <si>
    <t>Lindsay</t>
  </si>
  <si>
    <t>Kathryn</t>
  </si>
  <si>
    <t>Craig</t>
  </si>
  <si>
    <t>Clifford</t>
  </si>
  <si>
    <t>Fernando</t>
  </si>
  <si>
    <t>Angela</t>
  </si>
  <si>
    <t>Shelby</t>
  </si>
  <si>
    <t>April</t>
  </si>
  <si>
    <t>Troy</t>
  </si>
  <si>
    <t>Derek</t>
  </si>
  <si>
    <t>Ronald</t>
  </si>
  <si>
    <t>Sean</t>
  </si>
  <si>
    <t>Amber</t>
  </si>
  <si>
    <t>Heather</t>
  </si>
  <si>
    <t>Christine</t>
  </si>
  <si>
    <t>Theodore</t>
  </si>
  <si>
    <t>Madison</t>
  </si>
  <si>
    <t>Denise</t>
  </si>
  <si>
    <t>Manuel</t>
  </si>
  <si>
    <t>Michele</t>
  </si>
  <si>
    <t>Tiffany</t>
  </si>
  <si>
    <t>Cynthia</t>
  </si>
  <si>
    <t>Monique</t>
  </si>
  <si>
    <t>Joan</t>
  </si>
  <si>
    <t>Tommy</t>
  </si>
  <si>
    <t>Jocelyn</t>
  </si>
  <si>
    <t>Henry</t>
  </si>
  <si>
    <t>Bruce</t>
  </si>
  <si>
    <t>Stephanie</t>
  </si>
  <si>
    <t>Ian</t>
  </si>
  <si>
    <t>Julia</t>
  </si>
  <si>
    <t>Courtney</t>
  </si>
  <si>
    <t>Melissa</t>
  </si>
  <si>
    <t>Julie</t>
  </si>
  <si>
    <t>Joanna</t>
  </si>
  <si>
    <t>Evelyn</t>
  </si>
  <si>
    <t>Carolyn</t>
  </si>
  <si>
    <t>Grant</t>
  </si>
  <si>
    <t>Becky</t>
  </si>
  <si>
    <t>Roger</t>
  </si>
  <si>
    <t>Valerie</t>
  </si>
  <si>
    <t>Taylor</t>
  </si>
  <si>
    <t>Mary</t>
  </si>
  <si>
    <t>Jesse</t>
  </si>
  <si>
    <t>Kathy</t>
  </si>
  <si>
    <t>Cristian</t>
  </si>
  <si>
    <t>Brandi</t>
  </si>
  <si>
    <t>Terry</t>
  </si>
  <si>
    <t>Dawn</t>
  </si>
  <si>
    <t>Peter</t>
  </si>
  <si>
    <t>Lauren</t>
  </si>
  <si>
    <t>Yvonne</t>
  </si>
  <si>
    <t>Betty</t>
  </si>
  <si>
    <t>Adrian</t>
  </si>
  <si>
    <t>Latasha</t>
  </si>
  <si>
    <t>Erika</t>
  </si>
  <si>
    <t>Tracey</t>
  </si>
  <si>
    <t>Brianna</t>
  </si>
  <si>
    <t>Catherine</t>
  </si>
  <si>
    <t>Tammy</t>
  </si>
  <si>
    <t>Kristi</t>
  </si>
  <si>
    <t>Philip</t>
  </si>
  <si>
    <t>Jeremy</t>
  </si>
  <si>
    <t>Paul</t>
  </si>
  <si>
    <t>Debbie</t>
  </si>
  <si>
    <t>Gabriella</t>
  </si>
  <si>
    <t>Belinda</t>
  </si>
  <si>
    <t>Monica</t>
  </si>
  <si>
    <t>Carla</t>
  </si>
  <si>
    <t>Todd</t>
  </si>
  <si>
    <t>Hector</t>
  </si>
  <si>
    <t>Jenna</t>
  </si>
  <si>
    <t>Benjamin</t>
  </si>
  <si>
    <t>Phillip</t>
  </si>
  <si>
    <t>Louis</t>
  </si>
  <si>
    <t>Colleen</t>
  </si>
  <si>
    <t>Jeffery</t>
  </si>
  <si>
    <t>Toni</t>
  </si>
  <si>
    <t>Cristina</t>
  </si>
  <si>
    <t>Kurt</t>
  </si>
  <si>
    <t>Meagan</t>
  </si>
  <si>
    <t>Mallory</t>
  </si>
  <si>
    <t>Sabrina</t>
  </si>
  <si>
    <t>Diana</t>
  </si>
  <si>
    <t>Marissa</t>
  </si>
  <si>
    <t>Alexis</t>
  </si>
  <si>
    <t>Nathan</t>
  </si>
  <si>
    <t>Sandra</t>
  </si>
  <si>
    <t>Keith</t>
  </si>
  <si>
    <t>Alexa</t>
  </si>
  <si>
    <t>Dana</t>
  </si>
  <si>
    <t>Katrina</t>
  </si>
  <si>
    <t>Emily</t>
  </si>
  <si>
    <t>Anna</t>
  </si>
  <si>
    <t>Casey</t>
  </si>
  <si>
    <t>Katelyn</t>
  </si>
  <si>
    <t>Clayton</t>
  </si>
  <si>
    <t>Alexandra</t>
  </si>
  <si>
    <t>Danny</t>
  </si>
  <si>
    <t>Crystal</t>
  </si>
  <si>
    <t>Kaitlyn</t>
  </si>
  <si>
    <t>Sergio</t>
  </si>
  <si>
    <t>Dorothy</t>
  </si>
  <si>
    <t>Seth</t>
  </si>
  <si>
    <t>Gabriel</t>
  </si>
  <si>
    <t>Nichole</t>
  </si>
  <si>
    <t>Caleb</t>
  </si>
  <si>
    <t>Deborah</t>
  </si>
  <si>
    <t>Exchange Rate</t>
  </si>
  <si>
    <t>Salary_USD</t>
  </si>
  <si>
    <t>Unknown</t>
  </si>
  <si>
    <t>Not Specified</t>
  </si>
  <si>
    <t>Q1</t>
  </si>
  <si>
    <t>Q3</t>
  </si>
  <si>
    <t>IQR</t>
  </si>
  <si>
    <t>Upper Bound</t>
  </si>
  <si>
    <t>Lower Bound</t>
  </si>
  <si>
    <t>Ouliers</t>
  </si>
  <si>
    <t>QUARTILE</t>
  </si>
  <si>
    <t>Outliers Count</t>
  </si>
  <si>
    <t>Grand Total</t>
  </si>
  <si>
    <t>Sum of Salary_USD</t>
  </si>
  <si>
    <t>Average of Salary_USD</t>
  </si>
  <si>
    <t>Average of Years of Professional Experience Overall</t>
  </si>
  <si>
    <t>city</t>
  </si>
  <si>
    <t>industry</t>
  </si>
  <si>
    <t>Average_salary</t>
  </si>
  <si>
    <t>median_salary</t>
  </si>
  <si>
    <t>Education_level</t>
  </si>
  <si>
    <t>average_salary</t>
  </si>
  <si>
    <t>minimum_salary</t>
  </si>
  <si>
    <t>maximum_salary</t>
  </si>
  <si>
    <t>gender</t>
  </si>
  <si>
    <t>percentage</t>
  </si>
  <si>
    <t>Experience</t>
  </si>
  <si>
    <t>total_salary</t>
  </si>
  <si>
    <t>Average_Salary</t>
  </si>
  <si>
    <t>Experience_Years</t>
  </si>
  <si>
    <t>Employee_Count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</si>
</sst>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
    <numFmt numFmtId="165" formatCode="_ * #,##0_ ;_ * \-#,##0_ ;_ * &quot;-&quot;??_ ;_ @_ "/>
    <numFmt numFmtId="166" formatCode="[$$-409]#,##0.00"/>
  </numFmts>
  <fonts count="3" x14ac:knownFonts="1">
    <font>
      <sz val="11"/>
      <color theme="1"/>
      <name val="Century Gothic"/>
      <family val="2"/>
      <scheme val="minor"/>
    </font>
    <font>
      <b/>
      <sz val="11"/>
      <color theme="1"/>
      <name val="Century Gothic"/>
      <family val="2"/>
      <scheme val="minor"/>
    </font>
    <font>
      <sz val="11"/>
      <color theme="1"/>
      <name val="Century Gothic"/>
      <family val="2"/>
      <scheme val="minor"/>
    </font>
  </fonts>
  <fills count="4">
    <fill>
      <patternFill patternType="none"/>
    </fill>
    <fill>
      <patternFill patternType="gray125"/>
    </fill>
    <fill>
      <patternFill patternType="solid">
        <fgColor theme="3" tint="0.39997558519241921"/>
        <bgColor indexed="64"/>
      </patternFill>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2" fillId="0" borderId="0" applyFont="0" applyFill="0" applyBorder="0" applyAlignment="0" applyProtection="0"/>
  </cellStyleXfs>
  <cellXfs count="11">
    <xf numFmtId="0" fontId="0" fillId="0" borderId="0" xfId="0"/>
    <xf numFmtId="0" fontId="1" fillId="0" borderId="1" xfId="0" applyFont="1" applyBorder="1" applyAlignment="1">
      <alignment horizontal="center" vertical="top"/>
    </xf>
    <xf numFmtId="2" fontId="0" fillId="0" borderId="0" xfId="0" applyNumberFormat="1"/>
    <xf numFmtId="0" fontId="0" fillId="2" borderId="1" xfId="0" applyFill="1" applyBorder="1"/>
    <xf numFmtId="0" fontId="0" fillId="0" borderId="0" xfId="0" pivotButton="1"/>
    <xf numFmtId="164" fontId="0" fillId="0" borderId="0" xfId="0" applyNumberFormat="1"/>
    <xf numFmtId="1" fontId="0" fillId="0" borderId="0" xfId="0" applyNumberFormat="1"/>
    <xf numFmtId="165" fontId="0" fillId="0" borderId="0" xfId="1" applyNumberFormat="1" applyFont="1"/>
    <xf numFmtId="0" fontId="0" fillId="3" borderId="0" xfId="0" applyFill="1"/>
    <xf numFmtId="166" fontId="0" fillId="0" borderId="0" xfId="0" applyNumberFormat="1"/>
    <xf numFmtId="0" fontId="0" fillId="2" borderId="1" xfId="0" applyFill="1" applyBorder="1" applyAlignment="1">
      <alignment horizontal="center"/>
    </xf>
  </cellXfs>
  <cellStyles count="2">
    <cellStyle name="Comma" xfId="1" builtinId="3"/>
    <cellStyle name="Normal" xfId="0" builtinId="0"/>
  </cellStyles>
  <dxfs count="2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40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INDUSTRY</a:t>
            </a:r>
            <a:r>
              <a:rPr lang="en-US" b="1" baseline="0">
                <a:solidFill>
                  <a:schemeClr val="tx1">
                    <a:lumMod val="95000"/>
                    <a:lumOff val="5000"/>
                  </a:schemeClr>
                </a:solidFill>
              </a:rPr>
              <a:t> BY AVG_SALARY</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PIVOT!$A$4:$A$16</c:f>
              <c:strCache>
                <c:ptCount val="12"/>
                <c:pt idx="0">
                  <c:v>Banking</c:v>
                </c:pt>
                <c:pt idx="1">
                  <c:v>Consulting</c:v>
                </c:pt>
                <c:pt idx="2">
                  <c:v>Education</c:v>
                </c:pt>
                <c:pt idx="3">
                  <c:v>Finance</c:v>
                </c:pt>
                <c:pt idx="4">
                  <c:v>Government</c:v>
                </c:pt>
                <c:pt idx="5">
                  <c:v>Health Care</c:v>
                </c:pt>
                <c:pt idx="6">
                  <c:v>Healthcare</c:v>
                </c:pt>
                <c:pt idx="7">
                  <c:v>Information Technology</c:v>
                </c:pt>
                <c:pt idx="8">
                  <c:v>Manufacturing</c:v>
                </c:pt>
                <c:pt idx="9">
                  <c:v>Retail</c:v>
                </c:pt>
                <c:pt idx="10">
                  <c:v>Telecom</c:v>
                </c:pt>
                <c:pt idx="11">
                  <c:v>Unknown</c:v>
                </c:pt>
              </c:strCache>
            </c:strRef>
          </c:cat>
          <c:val>
            <c:numRef>
              <c:f>PIVOT!$B$4:$B$16</c:f>
              <c:numCache>
                <c:formatCode>General</c:formatCode>
                <c:ptCount val="12"/>
                <c:pt idx="0">
                  <c:v>62185.19043243242</c:v>
                </c:pt>
                <c:pt idx="1">
                  <c:v>61211.068956521747</c:v>
                </c:pt>
                <c:pt idx="2">
                  <c:v>56174.894967213113</c:v>
                </c:pt>
                <c:pt idx="3">
                  <c:v>60883.649842105253</c:v>
                </c:pt>
                <c:pt idx="4">
                  <c:v>63852.713216216216</c:v>
                </c:pt>
                <c:pt idx="5">
                  <c:v>55094.500830769241</c:v>
                </c:pt>
                <c:pt idx="6">
                  <c:v>63261.624179487175</c:v>
                </c:pt>
                <c:pt idx="7">
                  <c:v>56078.24985585588</c:v>
                </c:pt>
                <c:pt idx="8">
                  <c:v>53666.460642857142</c:v>
                </c:pt>
                <c:pt idx="9">
                  <c:v>63038.154539682546</c:v>
                </c:pt>
                <c:pt idx="10">
                  <c:v>65401.289100000009</c:v>
                </c:pt>
                <c:pt idx="11">
                  <c:v>0</c:v>
                </c:pt>
              </c:numCache>
            </c:numRef>
          </c:val>
          <c:extLst>
            <c:ext xmlns:c16="http://schemas.microsoft.com/office/drawing/2014/chart" uri="{C3380CC4-5D6E-409C-BE32-E72D297353CC}">
              <c16:uniqueId val="{00000000-4E98-47B2-AB92-2C0031D20CCA}"/>
            </c:ext>
          </c:extLst>
        </c:ser>
        <c:dLbls>
          <c:showLegendKey val="0"/>
          <c:showVal val="0"/>
          <c:showCatName val="0"/>
          <c:showSerName val="0"/>
          <c:showPercent val="0"/>
          <c:showBubbleSize val="0"/>
        </c:dLbls>
        <c:gapWidth val="219"/>
        <c:overlap val="-27"/>
        <c:axId val="285306975"/>
        <c:axId val="285306015"/>
      </c:barChart>
      <c:catAx>
        <c:axId val="28530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85306015"/>
        <c:crosses val="autoZero"/>
        <c:auto val="1"/>
        <c:lblAlgn val="ctr"/>
        <c:lblOffset val="100"/>
        <c:noMultiLvlLbl val="0"/>
      </c:catAx>
      <c:valAx>
        <c:axId val="285306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8530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COUNTRY BY AVG_SALARY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PIVOT!$D$4:$D$14</c:f>
              <c:strCache>
                <c:ptCount val="10"/>
                <c:pt idx="0">
                  <c:v>Australia</c:v>
                </c:pt>
                <c:pt idx="1">
                  <c:v>Canada</c:v>
                </c:pt>
                <c:pt idx="2">
                  <c:v>France</c:v>
                </c:pt>
                <c:pt idx="3">
                  <c:v>Germany</c:v>
                </c:pt>
                <c:pt idx="4">
                  <c:v>India</c:v>
                </c:pt>
                <c:pt idx="5">
                  <c:v>Netherlands</c:v>
                </c:pt>
                <c:pt idx="6">
                  <c:v>Singapore</c:v>
                </c:pt>
                <c:pt idx="7">
                  <c:v>UAE</c:v>
                </c:pt>
                <c:pt idx="8">
                  <c:v>United Kingdom</c:v>
                </c:pt>
                <c:pt idx="9">
                  <c:v>United States</c:v>
                </c:pt>
              </c:strCache>
            </c:strRef>
          </c:cat>
          <c:val>
            <c:numRef>
              <c:f>PIVOT!$E$4:$E$14</c:f>
              <c:numCache>
                <c:formatCode>General</c:formatCode>
                <c:ptCount val="10"/>
                <c:pt idx="0">
                  <c:v>55392.546294736843</c:v>
                </c:pt>
                <c:pt idx="1">
                  <c:v>62570.527102040818</c:v>
                </c:pt>
                <c:pt idx="2">
                  <c:v>53922.372549019601</c:v>
                </c:pt>
                <c:pt idx="3">
                  <c:v>58733.48938271607</c:v>
                </c:pt>
                <c:pt idx="4">
                  <c:v>58691.319298969072</c:v>
                </c:pt>
                <c:pt idx="5">
                  <c:v>58884.339280701781</c:v>
                </c:pt>
                <c:pt idx="6">
                  <c:v>58725.306466666669</c:v>
                </c:pt>
                <c:pt idx="7">
                  <c:v>52904.958999999995</c:v>
                </c:pt>
                <c:pt idx="8">
                  <c:v>58673.868424242421</c:v>
                </c:pt>
                <c:pt idx="9">
                  <c:v>57119.729982300873</c:v>
                </c:pt>
              </c:numCache>
            </c:numRef>
          </c:val>
          <c:extLst>
            <c:ext xmlns:c16="http://schemas.microsoft.com/office/drawing/2014/chart" uri="{C3380CC4-5D6E-409C-BE32-E72D297353CC}">
              <c16:uniqueId val="{00000000-EE80-4BD1-BB76-69C8A0EC3091}"/>
            </c:ext>
          </c:extLst>
        </c:ser>
        <c:dLbls>
          <c:dLblPos val="outEnd"/>
          <c:showLegendKey val="0"/>
          <c:showVal val="1"/>
          <c:showCatName val="0"/>
          <c:showSerName val="0"/>
          <c:showPercent val="0"/>
          <c:showBubbleSize val="0"/>
        </c:dLbls>
        <c:gapWidth val="182"/>
        <c:axId val="285313215"/>
        <c:axId val="285316095"/>
      </c:barChart>
      <c:catAx>
        <c:axId val="28531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85316095"/>
        <c:crosses val="autoZero"/>
        <c:auto val="1"/>
        <c:lblAlgn val="ctr"/>
        <c:lblOffset val="100"/>
        <c:noMultiLvlLbl val="0"/>
      </c:catAx>
      <c:valAx>
        <c:axId val="285316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8531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GENDER BY AVG_SALARY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0B-4A8E-8AC3-96FB03E82E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0B-4A8E-8AC3-96FB03E82E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0B-4A8E-8AC3-96FB03E82E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00B-4A8E-8AC3-96FB03E82EC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00B-4A8E-8AC3-96FB03E82E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PIVOT!$G$4:$G$9</c:f>
              <c:strCache>
                <c:ptCount val="5"/>
                <c:pt idx="0">
                  <c:v>Female</c:v>
                </c:pt>
                <c:pt idx="1">
                  <c:v>Male</c:v>
                </c:pt>
                <c:pt idx="2">
                  <c:v>Non-binary</c:v>
                </c:pt>
                <c:pt idx="3">
                  <c:v>Not Specified</c:v>
                </c:pt>
                <c:pt idx="4">
                  <c:v>Prefer not to say</c:v>
                </c:pt>
              </c:strCache>
            </c:strRef>
          </c:cat>
          <c:val>
            <c:numRef>
              <c:f>PIVOT!$H$4:$H$9</c:f>
              <c:numCache>
                <c:formatCode>General</c:formatCode>
                <c:ptCount val="5"/>
                <c:pt idx="0">
                  <c:v>63347.746787878772</c:v>
                </c:pt>
                <c:pt idx="1">
                  <c:v>54814.785951417005</c:v>
                </c:pt>
                <c:pt idx="2">
                  <c:v>59325.389539094635</c:v>
                </c:pt>
                <c:pt idx="3">
                  <c:v>0</c:v>
                </c:pt>
                <c:pt idx="4">
                  <c:v>60117.376016806731</c:v>
                </c:pt>
              </c:numCache>
            </c:numRef>
          </c:val>
          <c:extLst>
            <c:ext xmlns:c16="http://schemas.microsoft.com/office/drawing/2014/chart" uri="{C3380CC4-5D6E-409C-BE32-E72D297353CC}">
              <c16:uniqueId val="{00000000-9D45-49C4-9E2C-81452DE7F78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INDUSTRY, GENDER BY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PIVOT!$M$3</c:f>
              <c:strCache>
                <c:ptCount val="1"/>
                <c:pt idx="0">
                  <c:v>Total</c:v>
                </c:pt>
              </c:strCache>
            </c:strRef>
          </c:tx>
          <c:spPr>
            <a:solidFill>
              <a:schemeClr val="accent1"/>
            </a:solidFill>
            <a:ln>
              <a:noFill/>
            </a:ln>
            <a:effectLst/>
          </c:spPr>
          <c:cat>
            <c:strRef>
              <c:f>PIVOT!$K$4:$L$16</c:f>
              <c:strCache>
                <c:ptCount val="12"/>
                <c:pt idx="0">
                  <c:v>Banking</c:v>
                </c:pt>
                <c:pt idx="1">
                  <c:v>Consulting</c:v>
                </c:pt>
                <c:pt idx="2">
                  <c:v>Education</c:v>
                </c:pt>
                <c:pt idx="3">
                  <c:v>Finance</c:v>
                </c:pt>
                <c:pt idx="4">
                  <c:v>Government</c:v>
                </c:pt>
                <c:pt idx="5">
                  <c:v>Health Care</c:v>
                </c:pt>
                <c:pt idx="6">
                  <c:v>Healthcare</c:v>
                </c:pt>
                <c:pt idx="7">
                  <c:v>Information Technology</c:v>
                </c:pt>
                <c:pt idx="8">
                  <c:v>Manufacturing</c:v>
                </c:pt>
                <c:pt idx="9">
                  <c:v>Retail</c:v>
                </c:pt>
                <c:pt idx="10">
                  <c:v>Telecom</c:v>
                </c:pt>
                <c:pt idx="11">
                  <c:v>Unknown</c:v>
                </c:pt>
              </c:strCache>
            </c:strRef>
          </c:cat>
          <c:val>
            <c:numRef>
              <c:f>PIVOT!$M$4:$M$16</c:f>
              <c:numCache>
                <c:formatCode>General</c:formatCode>
                <c:ptCount val="12"/>
                <c:pt idx="0">
                  <c:v>4601704.0919999992</c:v>
                </c:pt>
                <c:pt idx="1">
                  <c:v>4223563.7580000004</c:v>
                </c:pt>
                <c:pt idx="2">
                  <c:v>6853337.1859999998</c:v>
                </c:pt>
                <c:pt idx="3">
                  <c:v>4627157.3879999993</c:v>
                </c:pt>
                <c:pt idx="4">
                  <c:v>4725100.7779999999</c:v>
                </c:pt>
                <c:pt idx="5">
                  <c:v>3581142.5540000005</c:v>
                </c:pt>
                <c:pt idx="6">
                  <c:v>4934406.6859999998</c:v>
                </c:pt>
                <c:pt idx="7">
                  <c:v>12449371.468000006</c:v>
                </c:pt>
                <c:pt idx="8">
                  <c:v>3005321.7960000001</c:v>
                </c:pt>
                <c:pt idx="9">
                  <c:v>3971403.7360000005</c:v>
                </c:pt>
                <c:pt idx="10">
                  <c:v>3924077.3460000004</c:v>
                </c:pt>
                <c:pt idx="11">
                  <c:v>0</c:v>
                </c:pt>
              </c:numCache>
            </c:numRef>
          </c:val>
          <c:extLst>
            <c:ext xmlns:c16="http://schemas.microsoft.com/office/drawing/2014/chart" uri="{C3380CC4-5D6E-409C-BE32-E72D297353CC}">
              <c16:uniqueId val="{00000000-3C2C-42ED-ABC0-2F47C1B12525}"/>
            </c:ext>
          </c:extLst>
        </c:ser>
        <c:dLbls>
          <c:showLegendKey val="0"/>
          <c:showVal val="0"/>
          <c:showCatName val="0"/>
          <c:showSerName val="0"/>
          <c:showPercent val="0"/>
          <c:showBubbleSize val="0"/>
        </c:dLbls>
        <c:axId val="375721279"/>
        <c:axId val="375710239"/>
      </c:areaChart>
      <c:catAx>
        <c:axId val="375721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375710239"/>
        <c:crosses val="autoZero"/>
        <c:auto val="1"/>
        <c:lblAlgn val="ctr"/>
        <c:lblOffset val="100"/>
        <c:noMultiLvlLbl val="0"/>
      </c:catAx>
      <c:valAx>
        <c:axId val="375710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3757212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EDUCATION LEVEL BY AVG_SALARY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PIVOT!$P$3</c:f>
              <c:strCache>
                <c:ptCount val="1"/>
                <c:pt idx="0">
                  <c:v>Total</c:v>
                </c:pt>
              </c:strCache>
            </c:strRef>
          </c:tx>
          <c:spPr>
            <a:ln w="28575" cap="rnd">
              <a:solidFill>
                <a:schemeClr val="accent1"/>
              </a:solidFill>
              <a:round/>
            </a:ln>
            <a:effectLst/>
          </c:spPr>
          <c:marker>
            <c:symbol val="none"/>
          </c:marker>
          <c:cat>
            <c:strRef>
              <c:f>PIVOT!$O$4:$O$10</c:f>
              <c:strCache>
                <c:ptCount val="6"/>
                <c:pt idx="0">
                  <c:v>Bachelor's</c:v>
                </c:pt>
                <c:pt idx="1">
                  <c:v>Diploma</c:v>
                </c:pt>
                <c:pt idx="2">
                  <c:v>High School</c:v>
                </c:pt>
                <c:pt idx="3">
                  <c:v>Master's</c:v>
                </c:pt>
                <c:pt idx="4">
                  <c:v>Other</c:v>
                </c:pt>
                <c:pt idx="5">
                  <c:v>PhD</c:v>
                </c:pt>
              </c:strCache>
            </c:strRef>
          </c:cat>
          <c:val>
            <c:numRef>
              <c:f>PIVOT!$P$4:$P$10</c:f>
              <c:numCache>
                <c:formatCode>General</c:formatCode>
                <c:ptCount val="6"/>
                <c:pt idx="0">
                  <c:v>58977.991697368481</c:v>
                </c:pt>
                <c:pt idx="1">
                  <c:v>61147.540565517222</c:v>
                </c:pt>
                <c:pt idx="2">
                  <c:v>57553.754037037033</c:v>
                </c:pt>
                <c:pt idx="3">
                  <c:v>56388.044161849735</c:v>
                </c:pt>
                <c:pt idx="4">
                  <c:v>54349.037756613769</c:v>
                </c:pt>
                <c:pt idx="5">
                  <c:v>57825.778202380985</c:v>
                </c:pt>
              </c:numCache>
            </c:numRef>
          </c:val>
          <c:smooth val="0"/>
          <c:extLst>
            <c:ext xmlns:c16="http://schemas.microsoft.com/office/drawing/2014/chart" uri="{C3380CC4-5D6E-409C-BE32-E72D297353CC}">
              <c16:uniqueId val="{00000000-3A72-49DD-BE37-6D65F2DFFBCD}"/>
            </c:ext>
          </c:extLst>
        </c:ser>
        <c:dLbls>
          <c:showLegendKey val="0"/>
          <c:showVal val="0"/>
          <c:showCatName val="0"/>
          <c:showSerName val="0"/>
          <c:showPercent val="0"/>
          <c:showBubbleSize val="0"/>
        </c:dLbls>
        <c:smooth val="0"/>
        <c:axId val="375725599"/>
        <c:axId val="375727519"/>
      </c:lineChart>
      <c:catAx>
        <c:axId val="37572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375727519"/>
        <c:crosses val="autoZero"/>
        <c:auto val="1"/>
        <c:lblAlgn val="ctr"/>
        <c:lblOffset val="100"/>
        <c:noMultiLvlLbl val="0"/>
      </c:catAx>
      <c:valAx>
        <c:axId val="375727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37572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INDUSTRY</a:t>
            </a:r>
            <a:r>
              <a:rPr lang="en-US" b="1" baseline="0">
                <a:solidFill>
                  <a:schemeClr val="tx1">
                    <a:lumMod val="95000"/>
                    <a:lumOff val="5000"/>
                  </a:schemeClr>
                </a:solidFill>
              </a:rPr>
              <a:t> BY AVG_SALARY</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PIVOT!$A$4:$A$16</c:f>
              <c:strCache>
                <c:ptCount val="12"/>
                <c:pt idx="0">
                  <c:v>Banking</c:v>
                </c:pt>
                <c:pt idx="1">
                  <c:v>Consulting</c:v>
                </c:pt>
                <c:pt idx="2">
                  <c:v>Education</c:v>
                </c:pt>
                <c:pt idx="3">
                  <c:v>Finance</c:v>
                </c:pt>
                <c:pt idx="4">
                  <c:v>Government</c:v>
                </c:pt>
                <c:pt idx="5">
                  <c:v>Health Care</c:v>
                </c:pt>
                <c:pt idx="6">
                  <c:v>Healthcare</c:v>
                </c:pt>
                <c:pt idx="7">
                  <c:v>Information Technology</c:v>
                </c:pt>
                <c:pt idx="8">
                  <c:v>Manufacturing</c:v>
                </c:pt>
                <c:pt idx="9">
                  <c:v>Retail</c:v>
                </c:pt>
                <c:pt idx="10">
                  <c:v>Telecom</c:v>
                </c:pt>
                <c:pt idx="11">
                  <c:v>Unknown</c:v>
                </c:pt>
              </c:strCache>
            </c:strRef>
          </c:cat>
          <c:val>
            <c:numRef>
              <c:f>PIVOT!$B$4:$B$16</c:f>
              <c:numCache>
                <c:formatCode>General</c:formatCode>
                <c:ptCount val="12"/>
                <c:pt idx="0">
                  <c:v>62185.19043243242</c:v>
                </c:pt>
                <c:pt idx="1">
                  <c:v>61211.068956521747</c:v>
                </c:pt>
                <c:pt idx="2">
                  <c:v>56174.894967213113</c:v>
                </c:pt>
                <c:pt idx="3">
                  <c:v>60883.649842105253</c:v>
                </c:pt>
                <c:pt idx="4">
                  <c:v>63852.713216216216</c:v>
                </c:pt>
                <c:pt idx="5">
                  <c:v>55094.500830769241</c:v>
                </c:pt>
                <c:pt idx="6">
                  <c:v>63261.624179487175</c:v>
                </c:pt>
                <c:pt idx="7">
                  <c:v>56078.24985585588</c:v>
                </c:pt>
                <c:pt idx="8">
                  <c:v>53666.460642857142</c:v>
                </c:pt>
                <c:pt idx="9">
                  <c:v>63038.154539682546</c:v>
                </c:pt>
                <c:pt idx="10">
                  <c:v>65401.289100000009</c:v>
                </c:pt>
                <c:pt idx="11">
                  <c:v>0</c:v>
                </c:pt>
              </c:numCache>
            </c:numRef>
          </c:val>
          <c:extLst>
            <c:ext xmlns:c16="http://schemas.microsoft.com/office/drawing/2014/chart" uri="{C3380CC4-5D6E-409C-BE32-E72D297353CC}">
              <c16:uniqueId val="{00000000-2AD0-4D5A-ADCF-2AB08D09B449}"/>
            </c:ext>
          </c:extLst>
        </c:ser>
        <c:dLbls>
          <c:showLegendKey val="0"/>
          <c:showVal val="0"/>
          <c:showCatName val="0"/>
          <c:showSerName val="0"/>
          <c:showPercent val="0"/>
          <c:showBubbleSize val="0"/>
        </c:dLbls>
        <c:gapWidth val="219"/>
        <c:overlap val="-27"/>
        <c:axId val="285306975"/>
        <c:axId val="285306015"/>
      </c:barChart>
      <c:catAx>
        <c:axId val="28530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85306015"/>
        <c:crosses val="autoZero"/>
        <c:auto val="1"/>
        <c:lblAlgn val="ctr"/>
        <c:lblOffset val="100"/>
        <c:noMultiLvlLbl val="0"/>
      </c:catAx>
      <c:valAx>
        <c:axId val="285306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8530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COUNTRY BY AVG_SALARY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PIVOT!$D$4:$D$14</c:f>
              <c:strCache>
                <c:ptCount val="10"/>
                <c:pt idx="0">
                  <c:v>Australia</c:v>
                </c:pt>
                <c:pt idx="1">
                  <c:v>Canada</c:v>
                </c:pt>
                <c:pt idx="2">
                  <c:v>France</c:v>
                </c:pt>
                <c:pt idx="3">
                  <c:v>Germany</c:v>
                </c:pt>
                <c:pt idx="4">
                  <c:v>India</c:v>
                </c:pt>
                <c:pt idx="5">
                  <c:v>Netherlands</c:v>
                </c:pt>
                <c:pt idx="6">
                  <c:v>Singapore</c:v>
                </c:pt>
                <c:pt idx="7">
                  <c:v>UAE</c:v>
                </c:pt>
                <c:pt idx="8">
                  <c:v>United Kingdom</c:v>
                </c:pt>
                <c:pt idx="9">
                  <c:v>United States</c:v>
                </c:pt>
              </c:strCache>
            </c:strRef>
          </c:cat>
          <c:val>
            <c:numRef>
              <c:f>PIVOT!$E$4:$E$14</c:f>
              <c:numCache>
                <c:formatCode>General</c:formatCode>
                <c:ptCount val="10"/>
                <c:pt idx="0">
                  <c:v>55392.546294736843</c:v>
                </c:pt>
                <c:pt idx="1">
                  <c:v>62570.527102040818</c:v>
                </c:pt>
                <c:pt idx="2">
                  <c:v>53922.372549019601</c:v>
                </c:pt>
                <c:pt idx="3">
                  <c:v>58733.48938271607</c:v>
                </c:pt>
                <c:pt idx="4">
                  <c:v>58691.319298969072</c:v>
                </c:pt>
                <c:pt idx="5">
                  <c:v>58884.339280701781</c:v>
                </c:pt>
                <c:pt idx="6">
                  <c:v>58725.306466666669</c:v>
                </c:pt>
                <c:pt idx="7">
                  <c:v>52904.958999999995</c:v>
                </c:pt>
                <c:pt idx="8">
                  <c:v>58673.868424242421</c:v>
                </c:pt>
                <c:pt idx="9">
                  <c:v>57119.729982300873</c:v>
                </c:pt>
              </c:numCache>
            </c:numRef>
          </c:val>
          <c:extLst>
            <c:ext xmlns:c16="http://schemas.microsoft.com/office/drawing/2014/chart" uri="{C3380CC4-5D6E-409C-BE32-E72D297353CC}">
              <c16:uniqueId val="{00000000-A83E-45D4-AEC3-9524189EFA2D}"/>
            </c:ext>
          </c:extLst>
        </c:ser>
        <c:dLbls>
          <c:dLblPos val="outEnd"/>
          <c:showLegendKey val="0"/>
          <c:showVal val="1"/>
          <c:showCatName val="0"/>
          <c:showSerName val="0"/>
          <c:showPercent val="0"/>
          <c:showBubbleSize val="0"/>
        </c:dLbls>
        <c:gapWidth val="182"/>
        <c:axId val="285313215"/>
        <c:axId val="285316095"/>
      </c:barChart>
      <c:catAx>
        <c:axId val="28531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85316095"/>
        <c:crosses val="autoZero"/>
        <c:auto val="1"/>
        <c:lblAlgn val="ctr"/>
        <c:lblOffset val="100"/>
        <c:noMultiLvlLbl val="0"/>
      </c:catAx>
      <c:valAx>
        <c:axId val="285316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8531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GENDER BY AVG_SALARY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2A-4E6E-A0F2-BD841C7DDC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2A-4E6E-A0F2-BD841C7DDC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2A-4E6E-A0F2-BD841C7DDC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2A-4E6E-A0F2-BD841C7DDC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42A-4E6E-A0F2-BD841C7DDCB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PIVOT!$G$4:$G$9</c:f>
              <c:strCache>
                <c:ptCount val="5"/>
                <c:pt idx="0">
                  <c:v>Female</c:v>
                </c:pt>
                <c:pt idx="1">
                  <c:v>Male</c:v>
                </c:pt>
                <c:pt idx="2">
                  <c:v>Non-binary</c:v>
                </c:pt>
                <c:pt idx="3">
                  <c:v>Not Specified</c:v>
                </c:pt>
                <c:pt idx="4">
                  <c:v>Prefer not to say</c:v>
                </c:pt>
              </c:strCache>
            </c:strRef>
          </c:cat>
          <c:val>
            <c:numRef>
              <c:f>PIVOT!$H$4:$H$9</c:f>
              <c:numCache>
                <c:formatCode>General</c:formatCode>
                <c:ptCount val="5"/>
                <c:pt idx="0">
                  <c:v>63347.746787878772</c:v>
                </c:pt>
                <c:pt idx="1">
                  <c:v>54814.785951417005</c:v>
                </c:pt>
                <c:pt idx="2">
                  <c:v>59325.389539094635</c:v>
                </c:pt>
                <c:pt idx="3">
                  <c:v>0</c:v>
                </c:pt>
                <c:pt idx="4">
                  <c:v>60117.376016806731</c:v>
                </c:pt>
              </c:numCache>
            </c:numRef>
          </c:val>
          <c:extLst>
            <c:ext xmlns:c16="http://schemas.microsoft.com/office/drawing/2014/chart" uri="{C3380CC4-5D6E-409C-BE32-E72D297353CC}">
              <c16:uniqueId val="{0000000A-242A-4E6E-A0F2-BD841C7DDCB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INDUSTRY, GENDER BY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PIVOT!$M$3</c:f>
              <c:strCache>
                <c:ptCount val="1"/>
                <c:pt idx="0">
                  <c:v>Total</c:v>
                </c:pt>
              </c:strCache>
            </c:strRef>
          </c:tx>
          <c:spPr>
            <a:solidFill>
              <a:schemeClr val="accent1"/>
            </a:solidFill>
            <a:ln>
              <a:noFill/>
            </a:ln>
            <a:effectLst/>
          </c:spPr>
          <c:cat>
            <c:strRef>
              <c:f>PIVOT!$K$4:$L$16</c:f>
              <c:strCache>
                <c:ptCount val="12"/>
                <c:pt idx="0">
                  <c:v>Banking</c:v>
                </c:pt>
                <c:pt idx="1">
                  <c:v>Consulting</c:v>
                </c:pt>
                <c:pt idx="2">
                  <c:v>Education</c:v>
                </c:pt>
                <c:pt idx="3">
                  <c:v>Finance</c:v>
                </c:pt>
                <c:pt idx="4">
                  <c:v>Government</c:v>
                </c:pt>
                <c:pt idx="5">
                  <c:v>Health Care</c:v>
                </c:pt>
                <c:pt idx="6">
                  <c:v>Healthcare</c:v>
                </c:pt>
                <c:pt idx="7">
                  <c:v>Information Technology</c:v>
                </c:pt>
                <c:pt idx="8">
                  <c:v>Manufacturing</c:v>
                </c:pt>
                <c:pt idx="9">
                  <c:v>Retail</c:v>
                </c:pt>
                <c:pt idx="10">
                  <c:v>Telecom</c:v>
                </c:pt>
                <c:pt idx="11">
                  <c:v>Unknown</c:v>
                </c:pt>
              </c:strCache>
            </c:strRef>
          </c:cat>
          <c:val>
            <c:numRef>
              <c:f>PIVOT!$M$4:$M$16</c:f>
              <c:numCache>
                <c:formatCode>General</c:formatCode>
                <c:ptCount val="12"/>
                <c:pt idx="0">
                  <c:v>4601704.0919999992</c:v>
                </c:pt>
                <c:pt idx="1">
                  <c:v>4223563.7580000004</c:v>
                </c:pt>
                <c:pt idx="2">
                  <c:v>6853337.1859999998</c:v>
                </c:pt>
                <c:pt idx="3">
                  <c:v>4627157.3879999993</c:v>
                </c:pt>
                <c:pt idx="4">
                  <c:v>4725100.7779999999</c:v>
                </c:pt>
                <c:pt idx="5">
                  <c:v>3581142.5540000005</c:v>
                </c:pt>
                <c:pt idx="6">
                  <c:v>4934406.6859999998</c:v>
                </c:pt>
                <c:pt idx="7">
                  <c:v>12449371.468000006</c:v>
                </c:pt>
                <c:pt idx="8">
                  <c:v>3005321.7960000001</c:v>
                </c:pt>
                <c:pt idx="9">
                  <c:v>3971403.7360000005</c:v>
                </c:pt>
                <c:pt idx="10">
                  <c:v>3924077.3460000004</c:v>
                </c:pt>
                <c:pt idx="11">
                  <c:v>0</c:v>
                </c:pt>
              </c:numCache>
            </c:numRef>
          </c:val>
          <c:extLst>
            <c:ext xmlns:c16="http://schemas.microsoft.com/office/drawing/2014/chart" uri="{C3380CC4-5D6E-409C-BE32-E72D297353CC}">
              <c16:uniqueId val="{00000000-5338-4F84-9EED-19E764ABB233}"/>
            </c:ext>
          </c:extLst>
        </c:ser>
        <c:dLbls>
          <c:showLegendKey val="0"/>
          <c:showVal val="0"/>
          <c:showCatName val="0"/>
          <c:showSerName val="0"/>
          <c:showPercent val="0"/>
          <c:showBubbleSize val="0"/>
        </c:dLbls>
        <c:axId val="375721279"/>
        <c:axId val="375710239"/>
      </c:areaChart>
      <c:catAx>
        <c:axId val="375721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375710239"/>
        <c:crosses val="autoZero"/>
        <c:auto val="1"/>
        <c:lblAlgn val="ctr"/>
        <c:lblOffset val="100"/>
        <c:noMultiLvlLbl val="0"/>
      </c:catAx>
      <c:valAx>
        <c:axId val="375710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3757212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[Salary_Survey_Cleaned.xlsx]PIVOT!PivotTable5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95000"/>
                    <a:lumOff val="5000"/>
                  </a:schemeClr>
                </a:solidFill>
              </a:rPr>
              <a:t>EDUCATION LEVEL BY AVG_SALARY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PIVOT!$P$3</c:f>
              <c:strCache>
                <c:ptCount val="1"/>
                <c:pt idx="0">
                  <c:v>Total</c:v>
                </c:pt>
              </c:strCache>
            </c:strRef>
          </c:tx>
          <c:spPr>
            <a:ln w="28575" cap="rnd">
              <a:solidFill>
                <a:schemeClr val="accent1"/>
              </a:solidFill>
              <a:round/>
            </a:ln>
            <a:effectLst/>
          </c:spPr>
          <c:marker>
            <c:symbol val="none"/>
          </c:marker>
          <c:cat>
            <c:strRef>
              <c:f>PIVOT!$O$4:$O$10</c:f>
              <c:strCache>
                <c:ptCount val="6"/>
                <c:pt idx="0">
                  <c:v>Bachelor's</c:v>
                </c:pt>
                <c:pt idx="1">
                  <c:v>Diploma</c:v>
                </c:pt>
                <c:pt idx="2">
                  <c:v>High School</c:v>
                </c:pt>
                <c:pt idx="3">
                  <c:v>Master's</c:v>
                </c:pt>
                <c:pt idx="4">
                  <c:v>Other</c:v>
                </c:pt>
                <c:pt idx="5">
                  <c:v>PhD</c:v>
                </c:pt>
              </c:strCache>
            </c:strRef>
          </c:cat>
          <c:val>
            <c:numRef>
              <c:f>PIVOT!$P$4:$P$10</c:f>
              <c:numCache>
                <c:formatCode>General</c:formatCode>
                <c:ptCount val="6"/>
                <c:pt idx="0">
                  <c:v>58977.991697368481</c:v>
                </c:pt>
                <c:pt idx="1">
                  <c:v>61147.540565517222</c:v>
                </c:pt>
                <c:pt idx="2">
                  <c:v>57553.754037037033</c:v>
                </c:pt>
                <c:pt idx="3">
                  <c:v>56388.044161849735</c:v>
                </c:pt>
                <c:pt idx="4">
                  <c:v>54349.037756613769</c:v>
                </c:pt>
                <c:pt idx="5">
                  <c:v>57825.778202380985</c:v>
                </c:pt>
              </c:numCache>
            </c:numRef>
          </c:val>
          <c:smooth val="0"/>
          <c:extLst>
            <c:ext xmlns:c16="http://schemas.microsoft.com/office/drawing/2014/chart" uri="{C3380CC4-5D6E-409C-BE32-E72D297353CC}">
              <c16:uniqueId val="{00000000-12F8-431C-8576-D861C6D0855C}"/>
            </c:ext>
          </c:extLst>
        </c:ser>
        <c:dLbls>
          <c:showLegendKey val="0"/>
          <c:showVal val="0"/>
          <c:showCatName val="0"/>
          <c:showSerName val="0"/>
          <c:showPercent val="0"/>
          <c:showBubbleSize val="0"/>
        </c:dLbls>
        <c:smooth val="0"/>
        <c:axId val="375725599"/>
        <c:axId val="375727519"/>
      </c:lineChart>
      <c:catAx>
        <c:axId val="37572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375727519"/>
        <c:crosses val="autoZero"/>
        <c:auto val="1"/>
        <c:lblAlgn val="ctr"/>
        <c:lblOffset val="100"/>
        <c:noMultiLvlLbl val="0"/>
      </c:catAx>
      <c:valAx>
        <c:axId val="375727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37572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8.xml"/><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10.xml"/><Relationship Id="rId10" Type="http://schemas.openxmlformats.org/officeDocument/2006/relationships/image" Target="../media/image6.png"/><Relationship Id="rId4" Type="http://schemas.openxmlformats.org/officeDocument/2006/relationships/chart" Target="../charts/chart9.xml"/><Relationship Id="rId9"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129540</xdr:rowOff>
    </xdr:from>
    <xdr:to>
      <xdr:col>4</xdr:col>
      <xdr:colOff>175260</xdr:colOff>
      <xdr:row>31</xdr:row>
      <xdr:rowOff>129540</xdr:rowOff>
    </xdr:to>
    <xdr:graphicFrame macro="">
      <xdr:nvGraphicFramePr>
        <xdr:cNvPr id="2" name="Chart 1">
          <a:extLst>
            <a:ext uri="{FF2B5EF4-FFF2-40B4-BE49-F238E27FC236}">
              <a16:creationId xmlns:a16="http://schemas.microsoft.com/office/drawing/2014/main" id="{8402383D-91FC-1F7C-5F11-665A3004D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342900</xdr:colOff>
      <xdr:row>17</xdr:row>
      <xdr:rowOff>30480</xdr:rowOff>
    </xdr:from>
    <xdr:to>
      <xdr:col>8</xdr:col>
      <xdr:colOff>495300</xdr:colOff>
      <xdr:row>32</xdr:row>
      <xdr:rowOff>30480</xdr:rowOff>
    </xdr:to>
    <xdr:graphicFrame macro="">
      <xdr:nvGraphicFramePr>
        <xdr:cNvPr id="3" name="Chart 2">
          <a:extLst>
            <a:ext uri="{FF2B5EF4-FFF2-40B4-BE49-F238E27FC236}">
              <a16:creationId xmlns:a16="http://schemas.microsoft.com/office/drawing/2014/main" id="{8759C8B4-8D6F-C13A-228A-EA038C290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304800</xdr:colOff>
      <xdr:row>18</xdr:row>
      <xdr:rowOff>7620</xdr:rowOff>
    </xdr:from>
    <xdr:to>
      <xdr:col>14</xdr:col>
      <xdr:colOff>403860</xdr:colOff>
      <xdr:row>33</xdr:row>
      <xdr:rowOff>7620</xdr:rowOff>
    </xdr:to>
    <xdr:graphicFrame macro="">
      <xdr:nvGraphicFramePr>
        <xdr:cNvPr id="4" name="Chart 3">
          <a:extLst>
            <a:ext uri="{FF2B5EF4-FFF2-40B4-BE49-F238E27FC236}">
              <a16:creationId xmlns:a16="http://schemas.microsoft.com/office/drawing/2014/main" id="{F36FC212-5CAE-BC47-ED45-7314D9B7D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251460</xdr:colOff>
      <xdr:row>33</xdr:row>
      <xdr:rowOff>99060</xdr:rowOff>
    </xdr:from>
    <xdr:to>
      <xdr:col>14</xdr:col>
      <xdr:colOff>350520</xdr:colOff>
      <xdr:row>48</xdr:row>
      <xdr:rowOff>99060</xdr:rowOff>
    </xdr:to>
    <xdr:graphicFrame macro="">
      <xdr:nvGraphicFramePr>
        <xdr:cNvPr id="5" name="Chart 4">
          <a:extLst>
            <a:ext uri="{FF2B5EF4-FFF2-40B4-BE49-F238E27FC236}">
              <a16:creationId xmlns:a16="http://schemas.microsoft.com/office/drawing/2014/main" id="{6A5F96DA-0994-5B8F-5409-CF552D053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1082040</xdr:colOff>
      <xdr:row>34</xdr:row>
      <xdr:rowOff>22860</xdr:rowOff>
    </xdr:from>
    <xdr:to>
      <xdr:col>4</xdr:col>
      <xdr:colOff>1257300</xdr:colOff>
      <xdr:row>49</xdr:row>
      <xdr:rowOff>22860</xdr:rowOff>
    </xdr:to>
    <xdr:graphicFrame macro="">
      <xdr:nvGraphicFramePr>
        <xdr:cNvPr id="6" name="Chart 5">
          <a:extLst>
            <a:ext uri="{FF2B5EF4-FFF2-40B4-BE49-F238E27FC236}">
              <a16:creationId xmlns:a16="http://schemas.microsoft.com/office/drawing/2014/main" id="{974540BA-82A8-B8BB-6AFC-355F0CC87D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99060</xdr:colOff>
      <xdr:row>51</xdr:row>
      <xdr:rowOff>167640</xdr:rowOff>
    </xdr:from>
    <xdr:to>
      <xdr:col>4</xdr:col>
      <xdr:colOff>868680</xdr:colOff>
      <xdr:row>66</xdr:row>
      <xdr:rowOff>5715</xdr:rowOff>
    </xdr:to>
    <mc:AlternateContent xmlns:mc="http://schemas.openxmlformats.org/markup-compatibility/2006" xmlns:a14="http://schemas.microsoft.com/office/drawing/2010/main">
      <mc:Choice Requires="a14">
        <xdr:graphicFrame macro="">
          <xdr:nvGraphicFramePr>
            <xdr:cNvPr id="7" name="Age Range">
              <a:extLst>
                <a:ext uri="{FF2B5EF4-FFF2-40B4-BE49-F238E27FC236}">
                  <a16:creationId xmlns:a16="http://schemas.microsoft.com/office/drawing/2014/main" id="{9E397542-63FE-F296-6541-774AEB8B850C}"/>
                </a:ext>
              </a:extLst>
            </xdr:cNvPr>
            <xdr:cNvGraphicFramePr/>
          </xdr:nvGraphicFramePr>
          <xdr:xfrm>
            <a:off x="0" y="0"/>
            <a:ext cx="0" cy="0"/>
          </xdr:xfrm>
          <a:graphic>
            <a:graphicData uri="http://schemas.microsoft.com/office/drawing/2010/slicer">
              <sle:slicer xmlns:sle="http://schemas.microsoft.com/office/drawing/2010/slicer" name="Age Range"/>
            </a:graphicData>
          </a:graphic>
        </xdr:graphicFrame>
      </mc:Choice>
      <mc:Fallback xmlns="">
        <xdr:sp macro="" textlink="">
          <xdr:nvSpPr>
            <xdr:cNvPr id="0" name=""/>
            <xdr:cNvSpPr>
              <a:spLocks noTextEdit="1"/>
            </xdr:cNvSpPr>
          </xdr:nvSpPr>
          <xdr:spPr>
            <a:xfrm>
              <a:off x="3901440" y="9105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594360</xdr:colOff>
      <xdr:row>53</xdr:row>
      <xdr:rowOff>68580</xdr:rowOff>
    </xdr:from>
    <xdr:to>
      <xdr:col>7</xdr:col>
      <xdr:colOff>640080</xdr:colOff>
      <xdr:row>67</xdr:row>
      <xdr:rowOff>81915</xdr:rowOff>
    </xdr:to>
    <mc:AlternateContent xmlns:mc="http://schemas.openxmlformats.org/markup-compatibility/2006" xmlns:a14="http://schemas.microsoft.com/office/drawing/2010/main">
      <mc:Choice Requires="a14">
        <xdr:graphicFrame macro="">
          <xdr:nvGraphicFramePr>
            <xdr:cNvPr id="8" name="Industry">
              <a:extLst>
                <a:ext uri="{FF2B5EF4-FFF2-40B4-BE49-F238E27FC236}">
                  <a16:creationId xmlns:a16="http://schemas.microsoft.com/office/drawing/2014/main" id="{359A2D72-F14D-7AE5-559C-2FDADA4C83FA}"/>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7010400" y="9357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99060</xdr:colOff>
      <xdr:row>57</xdr:row>
      <xdr:rowOff>30480</xdr:rowOff>
    </xdr:from>
    <xdr:to>
      <xdr:col>5</xdr:col>
      <xdr:colOff>373380</xdr:colOff>
      <xdr:row>71</xdr:row>
      <xdr:rowOff>43815</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E5C8EFFE-CF37-B45F-CDBA-FF978ADC002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960620" y="10020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0</xdr:row>
      <xdr:rowOff>121895</xdr:rowOff>
    </xdr:from>
    <xdr:to>
      <xdr:col>20</xdr:col>
      <xdr:colOff>601980</xdr:colOff>
      <xdr:row>40</xdr:row>
      <xdr:rowOff>106680</xdr:rowOff>
    </xdr:to>
    <xdr:grpSp>
      <xdr:nvGrpSpPr>
        <xdr:cNvPr id="30" name="Group 29">
          <a:extLst>
            <a:ext uri="{FF2B5EF4-FFF2-40B4-BE49-F238E27FC236}">
              <a16:creationId xmlns:a16="http://schemas.microsoft.com/office/drawing/2014/main" id="{F901F50D-6D63-819D-C3DA-4994A0946B64}"/>
            </a:ext>
          </a:extLst>
        </xdr:cNvPr>
        <xdr:cNvGrpSpPr/>
      </xdr:nvGrpSpPr>
      <xdr:grpSpPr>
        <a:xfrm>
          <a:off x="104775" y="121895"/>
          <a:ext cx="13908405" cy="6995185"/>
          <a:chOff x="104775" y="121887"/>
          <a:chExt cx="13801725" cy="7025674"/>
        </a:xfrm>
      </xdr:grpSpPr>
      <xdr:sp macro="" textlink="">
        <xdr:nvSpPr>
          <xdr:cNvPr id="2" name="Rectangle: Rounded Corners 1">
            <a:extLst>
              <a:ext uri="{FF2B5EF4-FFF2-40B4-BE49-F238E27FC236}">
                <a16:creationId xmlns:a16="http://schemas.microsoft.com/office/drawing/2014/main" id="{E2BE2C9D-9B1A-5AE3-D554-9C075707E989}"/>
              </a:ext>
            </a:extLst>
          </xdr:cNvPr>
          <xdr:cNvSpPr/>
        </xdr:nvSpPr>
        <xdr:spPr>
          <a:xfrm>
            <a:off x="104775" y="133350"/>
            <a:ext cx="7027545" cy="9182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5400" b="1">
                <a:solidFill>
                  <a:schemeClr val="tx1">
                    <a:lumMod val="95000"/>
                    <a:lumOff val="5000"/>
                  </a:schemeClr>
                </a:solidFill>
              </a:rPr>
              <a:t>SALARY SURVEY</a:t>
            </a:r>
          </a:p>
        </xdr:txBody>
      </xdr:sp>
      <xdr:sp macro="" textlink="">
        <xdr:nvSpPr>
          <xdr:cNvPr id="4" name="Rectangle: Rounded Corners 3">
            <a:extLst>
              <a:ext uri="{FF2B5EF4-FFF2-40B4-BE49-F238E27FC236}">
                <a16:creationId xmlns:a16="http://schemas.microsoft.com/office/drawing/2014/main" id="{10242D01-A7B5-40E7-9994-325AB66D441D}"/>
              </a:ext>
            </a:extLst>
          </xdr:cNvPr>
          <xdr:cNvSpPr/>
        </xdr:nvSpPr>
        <xdr:spPr>
          <a:xfrm>
            <a:off x="7258051" y="123825"/>
            <a:ext cx="1893570" cy="93535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5400"/>
          </a:p>
        </xdr:txBody>
      </xdr:sp>
      <xdr:sp macro="" textlink="">
        <xdr:nvSpPr>
          <xdr:cNvPr id="5" name="Rectangle: Rounded Corners 4">
            <a:extLst>
              <a:ext uri="{FF2B5EF4-FFF2-40B4-BE49-F238E27FC236}">
                <a16:creationId xmlns:a16="http://schemas.microsoft.com/office/drawing/2014/main" id="{4D7A3BC4-D17C-4229-A025-4D955572532B}"/>
              </a:ext>
            </a:extLst>
          </xdr:cNvPr>
          <xdr:cNvSpPr/>
        </xdr:nvSpPr>
        <xdr:spPr>
          <a:xfrm>
            <a:off x="9458326" y="123825"/>
            <a:ext cx="1925954" cy="9201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5400"/>
          </a:p>
        </xdr:txBody>
      </xdr:sp>
      <xdr:sp macro="" textlink="">
        <xdr:nvSpPr>
          <xdr:cNvPr id="6" name="Rectangle: Rounded Corners 5">
            <a:extLst>
              <a:ext uri="{FF2B5EF4-FFF2-40B4-BE49-F238E27FC236}">
                <a16:creationId xmlns:a16="http://schemas.microsoft.com/office/drawing/2014/main" id="{B3AFCE84-F37B-41C8-BC9D-C3521C897572}"/>
              </a:ext>
            </a:extLst>
          </xdr:cNvPr>
          <xdr:cNvSpPr/>
        </xdr:nvSpPr>
        <xdr:spPr>
          <a:xfrm>
            <a:off x="11677651" y="123825"/>
            <a:ext cx="1931670" cy="8820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5400"/>
          </a:p>
        </xdr:txBody>
      </xdr:sp>
      <xdr:sp macro="" textlink="">
        <xdr:nvSpPr>
          <xdr:cNvPr id="7" name="TextBox 6">
            <a:extLst>
              <a:ext uri="{FF2B5EF4-FFF2-40B4-BE49-F238E27FC236}">
                <a16:creationId xmlns:a16="http://schemas.microsoft.com/office/drawing/2014/main" id="{5AEBF6C3-3509-12E3-7C1F-C847718ECABE}"/>
              </a:ext>
            </a:extLst>
          </xdr:cNvPr>
          <xdr:cNvSpPr txBox="1"/>
        </xdr:nvSpPr>
        <xdr:spPr>
          <a:xfrm>
            <a:off x="7553325" y="297180"/>
            <a:ext cx="1447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1">
                    <a:lumMod val="95000"/>
                    <a:lumOff val="5000"/>
                  </a:schemeClr>
                </a:solidFill>
              </a:rPr>
              <a:t>TOTAL SALARY</a:t>
            </a:r>
          </a:p>
        </xdr:txBody>
      </xdr:sp>
      <xdr:sp macro="" textlink="">
        <xdr:nvSpPr>
          <xdr:cNvPr id="9" name="TextBox 8">
            <a:extLst>
              <a:ext uri="{FF2B5EF4-FFF2-40B4-BE49-F238E27FC236}">
                <a16:creationId xmlns:a16="http://schemas.microsoft.com/office/drawing/2014/main" id="{A7863962-C063-46CF-9A4F-263F275C3C3D}"/>
              </a:ext>
            </a:extLst>
          </xdr:cNvPr>
          <xdr:cNvSpPr txBox="1"/>
        </xdr:nvSpPr>
        <xdr:spPr>
          <a:xfrm>
            <a:off x="10050108" y="253365"/>
            <a:ext cx="1285464"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1">
                    <a:lumMod val="95000"/>
                    <a:lumOff val="5000"/>
                  </a:schemeClr>
                </a:solidFill>
              </a:rPr>
              <a:t>AVG SALARY</a:t>
            </a:r>
          </a:p>
        </xdr:txBody>
      </xdr:sp>
      <xdr:sp macro="" textlink="">
        <xdr:nvSpPr>
          <xdr:cNvPr id="10" name="TextBox 9">
            <a:extLst>
              <a:ext uri="{FF2B5EF4-FFF2-40B4-BE49-F238E27FC236}">
                <a16:creationId xmlns:a16="http://schemas.microsoft.com/office/drawing/2014/main" id="{ECF9F651-5096-41A6-B926-847C6AD924DE}"/>
              </a:ext>
            </a:extLst>
          </xdr:cNvPr>
          <xdr:cNvSpPr txBox="1"/>
        </xdr:nvSpPr>
        <xdr:spPr>
          <a:xfrm>
            <a:off x="12169140" y="150494"/>
            <a:ext cx="1440179" cy="817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1">
                    <a:lumMod val="95000"/>
                    <a:lumOff val="5000"/>
                  </a:schemeClr>
                </a:solidFill>
              </a:rPr>
              <a:t>AVG</a:t>
            </a:r>
            <a:r>
              <a:rPr lang="en-IN" sz="1400" b="1" baseline="0">
                <a:solidFill>
                  <a:schemeClr val="tx1">
                    <a:lumMod val="95000"/>
                    <a:lumOff val="5000"/>
                  </a:schemeClr>
                </a:solidFill>
              </a:rPr>
              <a:t> YEARS OF EXP</a:t>
            </a:r>
          </a:p>
        </xdr:txBody>
      </xdr:sp>
      <xdr:sp macro="" textlink="PIVOT!H36">
        <xdr:nvSpPr>
          <xdr:cNvPr id="11" name="TextBox 10">
            <a:extLst>
              <a:ext uri="{FF2B5EF4-FFF2-40B4-BE49-F238E27FC236}">
                <a16:creationId xmlns:a16="http://schemas.microsoft.com/office/drawing/2014/main" id="{D3C6BB22-D08C-437F-A6FC-5B42961028B2}"/>
              </a:ext>
            </a:extLst>
          </xdr:cNvPr>
          <xdr:cNvSpPr txBox="1"/>
        </xdr:nvSpPr>
        <xdr:spPr>
          <a:xfrm>
            <a:off x="7581900" y="653415"/>
            <a:ext cx="1447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5AF998E-40A0-48AB-9FAE-4CCAF9B48A80}" type="TxLink">
              <a:rPr lang="en-US" sz="1800" b="1" i="0" u="none" strike="noStrike">
                <a:solidFill>
                  <a:srgbClr val="000000"/>
                </a:solidFill>
                <a:latin typeface="Calibri"/>
                <a:ea typeface="Calibri"/>
                <a:cs typeface="Calibri"/>
              </a:rPr>
              <a:pPr algn="ctr"/>
              <a:t> 5,68,96,587 </a:t>
            </a:fld>
            <a:endParaRPr lang="en-IN" sz="1800" b="1">
              <a:solidFill>
                <a:schemeClr val="tx1">
                  <a:lumMod val="95000"/>
                  <a:lumOff val="5000"/>
                </a:schemeClr>
              </a:solidFill>
            </a:endParaRPr>
          </a:p>
        </xdr:txBody>
      </xdr:sp>
      <xdr:sp macro="" textlink="PIVOT!$G$36">
        <xdr:nvSpPr>
          <xdr:cNvPr id="12" name="TextBox 11">
            <a:extLst>
              <a:ext uri="{FF2B5EF4-FFF2-40B4-BE49-F238E27FC236}">
                <a16:creationId xmlns:a16="http://schemas.microsoft.com/office/drawing/2014/main" id="{12CAF538-5D88-4CDF-B88A-B53570A0BFCA}"/>
              </a:ext>
            </a:extLst>
          </xdr:cNvPr>
          <xdr:cNvSpPr txBox="1"/>
        </xdr:nvSpPr>
        <xdr:spPr>
          <a:xfrm>
            <a:off x="9820275" y="567690"/>
            <a:ext cx="1447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9513F5-D98F-4D95-B940-929C66F7D227}" type="TxLink">
              <a:rPr lang="en-US" sz="2400" b="1" i="0" u="none" strike="noStrike">
                <a:solidFill>
                  <a:srgbClr val="000000"/>
                </a:solidFill>
                <a:latin typeface="Calibri"/>
                <a:ea typeface="Calibri"/>
                <a:cs typeface="Calibri"/>
              </a:rPr>
              <a:pPr algn="ctr"/>
              <a:t>57529</a:t>
            </a:fld>
            <a:endParaRPr lang="en-IN" sz="2400" b="1">
              <a:solidFill>
                <a:schemeClr val="tx1">
                  <a:lumMod val="95000"/>
                  <a:lumOff val="5000"/>
                </a:schemeClr>
              </a:solidFill>
            </a:endParaRPr>
          </a:p>
        </xdr:txBody>
      </xdr:sp>
      <xdr:sp macro="" textlink="PIVOT!$Q$24">
        <xdr:nvSpPr>
          <xdr:cNvPr id="13" name="TextBox 12">
            <a:extLst>
              <a:ext uri="{FF2B5EF4-FFF2-40B4-BE49-F238E27FC236}">
                <a16:creationId xmlns:a16="http://schemas.microsoft.com/office/drawing/2014/main" id="{EFF2DEBC-E211-437A-8597-D073C9C0E211}"/>
              </a:ext>
            </a:extLst>
          </xdr:cNvPr>
          <xdr:cNvSpPr txBox="1"/>
        </xdr:nvSpPr>
        <xdr:spPr>
          <a:xfrm>
            <a:off x="12174855" y="546735"/>
            <a:ext cx="1447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9E77FCE-F611-4878-903E-9E947CF6D04E}" type="TxLink">
              <a:rPr lang="en-US" sz="2400" b="1" i="0" u="none" strike="noStrike">
                <a:solidFill>
                  <a:srgbClr val="000000"/>
                </a:solidFill>
                <a:latin typeface="Calibri"/>
                <a:ea typeface="Calibri"/>
                <a:cs typeface="Calibri"/>
              </a:rPr>
              <a:pPr algn="ctr"/>
              <a:t>9.1</a:t>
            </a:fld>
            <a:endParaRPr lang="en-IN" sz="2400" b="1">
              <a:solidFill>
                <a:schemeClr val="tx1">
                  <a:lumMod val="95000"/>
                  <a:lumOff val="5000"/>
                </a:schemeClr>
              </a:solidFill>
            </a:endParaRPr>
          </a:p>
        </xdr:txBody>
      </xdr:sp>
      <mc:AlternateContent xmlns:mc="http://schemas.openxmlformats.org/markup-compatibility/2006" xmlns:a14="http://schemas.microsoft.com/office/drawing/2010/main">
        <mc:Choice Requires="a14">
          <xdr:graphicFrame macro="">
            <xdr:nvGraphicFramePr>
              <xdr:cNvPr id="14" name="Age Range 1">
                <a:extLst>
                  <a:ext uri="{FF2B5EF4-FFF2-40B4-BE49-F238E27FC236}">
                    <a16:creationId xmlns:a16="http://schemas.microsoft.com/office/drawing/2014/main" id="{1A4C900A-8728-4063-A666-E84607CEED59}"/>
                  </a:ext>
                </a:extLst>
              </xdr:cNvPr>
              <xdr:cNvGraphicFramePr/>
            </xdr:nvGraphicFramePr>
            <xdr:xfrm>
              <a:off x="140970" y="1095376"/>
              <a:ext cx="1828800" cy="1693545"/>
            </xdr:xfrm>
            <a:graphic>
              <a:graphicData uri="http://schemas.microsoft.com/office/drawing/2010/slicer">
                <sle:slicer xmlns:sle="http://schemas.microsoft.com/office/drawing/2010/slicer" name="Age Range 1"/>
              </a:graphicData>
            </a:graphic>
          </xdr:graphicFrame>
        </mc:Choice>
        <mc:Fallback xmlns="">
          <xdr:sp macro="" textlink="">
            <xdr:nvSpPr>
              <xdr:cNvPr id="0" name=""/>
              <xdr:cNvSpPr>
                <a:spLocks noTextEdit="1"/>
              </xdr:cNvSpPr>
            </xdr:nvSpPr>
            <xdr:spPr>
              <a:xfrm>
                <a:off x="141250" y="1091159"/>
                <a:ext cx="1842936" cy="1686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Industry 1">
                <a:extLst>
                  <a:ext uri="{FF2B5EF4-FFF2-40B4-BE49-F238E27FC236}">
                    <a16:creationId xmlns:a16="http://schemas.microsoft.com/office/drawing/2014/main" id="{F154D482-32CE-4736-8B93-D0E6D4E23BD6}"/>
                  </a:ext>
                </a:extLst>
              </xdr:cNvPr>
              <xdr:cNvGraphicFramePr/>
            </xdr:nvGraphicFramePr>
            <xdr:xfrm>
              <a:off x="131445" y="4627245"/>
              <a:ext cx="1828800" cy="2520316"/>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131651" y="4607701"/>
                <a:ext cx="1842936" cy="2509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6" name="Gender 1">
                <a:extLst>
                  <a:ext uri="{FF2B5EF4-FFF2-40B4-BE49-F238E27FC236}">
                    <a16:creationId xmlns:a16="http://schemas.microsoft.com/office/drawing/2014/main" id="{109711E0-9446-4495-BC08-7B21B2F50ED3}"/>
                  </a:ext>
                </a:extLst>
              </xdr:cNvPr>
              <xdr:cNvGraphicFramePr/>
            </xdr:nvGraphicFramePr>
            <xdr:xfrm>
              <a:off x="139065" y="2855595"/>
              <a:ext cx="1828800" cy="1724024"/>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9330" y="2843740"/>
                <a:ext cx="1842936" cy="1716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7" name="Chart 16">
            <a:extLst>
              <a:ext uri="{FF2B5EF4-FFF2-40B4-BE49-F238E27FC236}">
                <a16:creationId xmlns:a16="http://schemas.microsoft.com/office/drawing/2014/main" id="{1F344915-CE8C-4022-9B9E-84BA1CC19B12}"/>
              </a:ext>
            </a:extLst>
          </xdr:cNvPr>
          <xdr:cNvGraphicFramePr>
            <a:graphicFrameLocks/>
          </xdr:cNvGraphicFramePr>
        </xdr:nvGraphicFramePr>
        <xdr:xfrm>
          <a:off x="2053590" y="1070611"/>
          <a:ext cx="4149090" cy="240097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8" name="Chart 17">
            <a:extLst>
              <a:ext uri="{FF2B5EF4-FFF2-40B4-BE49-F238E27FC236}">
                <a16:creationId xmlns:a16="http://schemas.microsoft.com/office/drawing/2014/main" id="{109DD802-F17B-4FBE-8EC1-70BE5F413A4A}"/>
              </a:ext>
            </a:extLst>
          </xdr:cNvPr>
          <xdr:cNvGraphicFramePr>
            <a:graphicFrameLocks/>
          </xdr:cNvGraphicFramePr>
        </xdr:nvGraphicFramePr>
        <xdr:xfrm>
          <a:off x="5840730" y="1087756"/>
          <a:ext cx="4038600" cy="244411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9" name="Chart 18">
            <a:extLst>
              <a:ext uri="{FF2B5EF4-FFF2-40B4-BE49-F238E27FC236}">
                <a16:creationId xmlns:a16="http://schemas.microsoft.com/office/drawing/2014/main" id="{AF6F49B3-8865-4981-8A41-1D010F96AFF2}"/>
              </a:ext>
            </a:extLst>
          </xdr:cNvPr>
          <xdr:cNvGraphicFramePr>
            <a:graphicFrameLocks/>
          </xdr:cNvGraphicFramePr>
        </xdr:nvGraphicFramePr>
        <xdr:xfrm>
          <a:off x="2076450" y="3874770"/>
          <a:ext cx="5947410" cy="318135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0" name="Chart 19">
            <a:extLst>
              <a:ext uri="{FF2B5EF4-FFF2-40B4-BE49-F238E27FC236}">
                <a16:creationId xmlns:a16="http://schemas.microsoft.com/office/drawing/2014/main" id="{40EAE6A6-6E06-4A62-8730-BFDF7A8AABBF}"/>
              </a:ext>
            </a:extLst>
          </xdr:cNvPr>
          <xdr:cNvGraphicFramePr>
            <a:graphicFrameLocks/>
          </xdr:cNvGraphicFramePr>
        </xdr:nvGraphicFramePr>
        <xdr:xfrm>
          <a:off x="8564880" y="3901440"/>
          <a:ext cx="5341620" cy="313944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1" name="Chart 20">
            <a:extLst>
              <a:ext uri="{FF2B5EF4-FFF2-40B4-BE49-F238E27FC236}">
                <a16:creationId xmlns:a16="http://schemas.microsoft.com/office/drawing/2014/main" id="{A38F3021-7E2E-421C-A2EA-B968088A5702}"/>
              </a:ext>
            </a:extLst>
          </xdr:cNvPr>
          <xdr:cNvGraphicFramePr>
            <a:graphicFrameLocks/>
          </xdr:cNvGraphicFramePr>
        </xdr:nvGraphicFramePr>
        <xdr:xfrm>
          <a:off x="10020300" y="1127760"/>
          <a:ext cx="3825240" cy="2346960"/>
        </xdr:xfrm>
        <a:graphic>
          <a:graphicData uri="http://schemas.openxmlformats.org/drawingml/2006/chart">
            <c:chart xmlns:c="http://schemas.openxmlformats.org/drawingml/2006/chart" xmlns:r="http://schemas.openxmlformats.org/officeDocument/2006/relationships" r:id="rId5"/>
          </a:graphicData>
        </a:graphic>
      </xdr:graphicFrame>
      <xdr:pic>
        <xdr:nvPicPr>
          <xdr:cNvPr id="23" name="Graphic 22" descr="Bank with solid fill">
            <a:extLst>
              <a:ext uri="{FF2B5EF4-FFF2-40B4-BE49-F238E27FC236}">
                <a16:creationId xmlns:a16="http://schemas.microsoft.com/office/drawing/2014/main" id="{3B370D1C-B740-8C74-43CF-1A79E0BCFD9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99406" y="121887"/>
            <a:ext cx="914400" cy="914400"/>
          </a:xfrm>
          <a:prstGeom prst="rect">
            <a:avLst/>
          </a:prstGeom>
        </xdr:spPr>
      </xdr:pic>
      <xdr:pic>
        <xdr:nvPicPr>
          <xdr:cNvPr id="25" name="Graphic 24" descr="Dollar with solid fill">
            <a:extLst>
              <a:ext uri="{FF2B5EF4-FFF2-40B4-BE49-F238E27FC236}">
                <a16:creationId xmlns:a16="http://schemas.microsoft.com/office/drawing/2014/main" id="{A129B9E5-7F8B-32BC-3706-F6EAF25F36F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139940" y="243840"/>
            <a:ext cx="716280" cy="716280"/>
          </a:xfrm>
          <a:prstGeom prst="rect">
            <a:avLst/>
          </a:prstGeom>
        </xdr:spPr>
      </xdr:pic>
      <xdr:pic>
        <xdr:nvPicPr>
          <xdr:cNvPr id="27" name="Graphic 26" descr="Group brainstorm with solid fill">
            <a:extLst>
              <a:ext uri="{FF2B5EF4-FFF2-40B4-BE49-F238E27FC236}">
                <a16:creationId xmlns:a16="http://schemas.microsoft.com/office/drawing/2014/main" id="{FC0EC092-040A-A384-83D7-896180D1FAC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666220" y="205740"/>
            <a:ext cx="769620" cy="769620"/>
          </a:xfrm>
          <a:prstGeom prst="rect">
            <a:avLst/>
          </a:prstGeom>
        </xdr:spPr>
      </xdr:pic>
      <xdr:pic>
        <xdr:nvPicPr>
          <xdr:cNvPr id="29" name="Graphic 28" descr="Bar chart with solid fill">
            <a:extLst>
              <a:ext uri="{FF2B5EF4-FFF2-40B4-BE49-F238E27FC236}">
                <a16:creationId xmlns:a16="http://schemas.microsoft.com/office/drawing/2014/main" id="{F2EC0EC7-29F8-AD2B-EA4A-175D458307A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433560" y="198120"/>
            <a:ext cx="746760" cy="74676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 refreshedDate="45971.686830787039" createdVersion="8" refreshedVersion="8" minRefreshableVersion="3" recordCount="989" xr:uid="{5F0757FD-4B7C-49A2-AC76-A2D3E4591C0A}">
  <cacheSource type="worksheet">
    <worksheetSource name="Sheet1"/>
  </cacheSource>
  <cacheFields count="19">
    <cacheField name="Age Range" numFmtId="0">
      <sharedItems count="5">
        <s v="55-64"/>
        <s v="18-24"/>
        <s v="35-44"/>
        <s v="25-34"/>
        <s v="45-54"/>
      </sharedItems>
    </cacheField>
    <cacheField name="Industry" numFmtId="0">
      <sharedItems count="12">
        <s v="Healthcare"/>
        <s v="Retail"/>
        <s v="Finance"/>
        <s v="Information Technology"/>
        <s v="Health Care"/>
        <s v="Manufacturing"/>
        <s v="Education"/>
        <s v="Unknown"/>
        <s v="Banking"/>
        <s v="Government"/>
        <s v="Telecom"/>
        <s v="Consulting"/>
      </sharedItems>
    </cacheField>
    <cacheField name="Job Title" numFmtId="0">
      <sharedItems/>
    </cacheField>
    <cacheField name="Clarification of Job Title" numFmtId="0">
      <sharedItems/>
    </cacheField>
    <cacheField name="Annual Salary" numFmtId="2">
      <sharedItems containsSemiMixedTypes="0" containsString="0" containsNumber="1" containsInteger="1" minValue="0" maxValue="7189350"/>
    </cacheField>
    <cacheField name="Additional Monetary Compensation" numFmtId="2">
      <sharedItems containsSemiMixedTypes="0" containsString="0" containsNumber="1" containsInteger="1" minValue="0" maxValue="321317"/>
    </cacheField>
    <cacheField name="Currency" numFmtId="0">
      <sharedItems/>
    </cacheField>
    <cacheField name="Income Clarification" numFmtId="0">
      <sharedItems/>
    </cacheField>
    <cacheField name="Country" numFmtId="0">
      <sharedItems count="10">
        <s v="Netherlands"/>
        <s v="Germany"/>
        <s v="Singapore"/>
        <s v="Australia"/>
        <s v="Canada"/>
        <s v="India"/>
        <s v="United States"/>
        <s v="France"/>
        <s v="UAE"/>
        <s v="United Kingdom"/>
      </sharedItems>
    </cacheField>
    <cacheField name="State" numFmtId="0">
      <sharedItems/>
    </cacheField>
    <cacheField name="City" numFmtId="0">
      <sharedItems/>
    </cacheField>
    <cacheField name="Years of Professional Experience Overall" numFmtId="0">
      <sharedItems containsSemiMixedTypes="0" containsString="0" containsNumber="1" containsInteger="1" minValue="0" maxValue="25"/>
    </cacheField>
    <cacheField name="Years of Professional Experience in Field" numFmtId="0">
      <sharedItems containsSemiMixedTypes="0" containsString="0" containsNumber="1" containsInteger="1" minValue="0" maxValue="25"/>
    </cacheField>
    <cacheField name="Highest Level of Education Completed" numFmtId="0">
      <sharedItems count="6">
        <s v="PhD"/>
        <s v="Other"/>
        <s v="Bachelor's"/>
        <s v="Diploma"/>
        <s v="Master's"/>
        <s v="High School"/>
      </sharedItems>
    </cacheField>
    <cacheField name="Gender" numFmtId="0">
      <sharedItems count="5">
        <s v="Non-binary"/>
        <s v="Female"/>
        <s v="Prefer not to say"/>
        <s v="Male"/>
        <s v="Not Specified"/>
      </sharedItems>
    </cacheField>
    <cacheField name="Name" numFmtId="0">
      <sharedItems/>
    </cacheField>
    <cacheField name="Exchange Rate" numFmtId="0">
      <sharedItems containsSemiMixedTypes="0" containsString="0" containsNumber="1" minValue="1.2E-2" maxValue="1.25"/>
    </cacheField>
    <cacheField name="Salary_USD" numFmtId="0">
      <sharedItems containsSemiMixedTypes="0" containsString="0" containsNumber="1" minValue="0" maxValue="168589"/>
    </cacheField>
    <cacheField name="Ouliers" numFmtId="0">
      <sharedItems/>
    </cacheField>
  </cacheFields>
  <extLst>
    <ext xmlns:x14="http://schemas.microsoft.com/office/spreadsheetml/2009/9/main" uri="{725AE2AE-9491-48be-B2B4-4EB974FC3084}">
      <x14:pivotCacheDefinition pivotCacheId="9986769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9">
  <r>
    <x v="0"/>
    <x v="0"/>
    <s v="QA Engineer"/>
    <s v="Full-time"/>
    <n v="87117"/>
    <n v="2983"/>
    <s v="EUR"/>
    <s v="Commission-based"/>
    <x v="0"/>
    <s v="South Holland"/>
    <s v="Rotterdam"/>
    <n v="8"/>
    <n v="8"/>
    <x v="0"/>
    <x v="0"/>
    <s v="Brittany"/>
    <n v="1.1000000000000001"/>
    <n v="95828.700000000012"/>
    <s v="Normal"/>
  </r>
  <r>
    <x v="1"/>
    <x v="1"/>
    <s v="Accountant"/>
    <s v="Part-time"/>
    <n v="111088"/>
    <n v="1346"/>
    <s v="AUD"/>
    <s v="Contract"/>
    <x v="1"/>
    <s v="Hesse"/>
    <s v="Frankfurt"/>
    <n v="1"/>
    <n v="1"/>
    <x v="1"/>
    <x v="1"/>
    <s v="Kevin"/>
    <n v="0.65"/>
    <n v="72207.199999999997"/>
    <s v="Normal"/>
  </r>
  <r>
    <x v="0"/>
    <x v="2"/>
    <s v="Software Engineer"/>
    <s v="Contract"/>
    <n v="31173"/>
    <n v="5738"/>
    <s v="CAD"/>
    <s v="Hourly"/>
    <x v="2"/>
    <s v="Central Region"/>
    <s v="Singapore"/>
    <n v="15"/>
    <n v="14"/>
    <x v="2"/>
    <x v="2"/>
    <s v="Katherine"/>
    <n v="0.73"/>
    <n v="22756.29"/>
    <s v="Normal"/>
  </r>
  <r>
    <x v="2"/>
    <x v="3"/>
    <s v="Software Engineer"/>
    <s v="Unknown"/>
    <n v="1540911"/>
    <n v="141287"/>
    <s v="INR"/>
    <s v="Hourly"/>
    <x v="3"/>
    <s v="New South Wales"/>
    <s v="Sydney"/>
    <n v="2"/>
    <n v="1"/>
    <x v="1"/>
    <x v="1"/>
    <s v="Lori"/>
    <n v="1.2E-2"/>
    <n v="18490.932000000001"/>
    <s v="Normal"/>
  </r>
  <r>
    <x v="3"/>
    <x v="4"/>
    <s v="Developer"/>
    <s v="Senior"/>
    <n v="94375"/>
    <n v="6989"/>
    <s v="USD"/>
    <s v="Fixed salary"/>
    <x v="4"/>
    <s v="Quebec"/>
    <s v="Montreal"/>
    <n v="6"/>
    <n v="3"/>
    <x v="3"/>
    <x v="0"/>
    <s v="Anita"/>
    <n v="1"/>
    <n v="94375"/>
    <s v="Normal"/>
  </r>
  <r>
    <x v="2"/>
    <x v="3"/>
    <s v="Data Scientist"/>
    <s v="Full-time"/>
    <n v="92446"/>
    <n v="12875"/>
    <s v="AUD"/>
    <s v="Commission-based"/>
    <x v="5"/>
    <s v="Tamil Nadu"/>
    <s v="Chennai"/>
    <n v="20"/>
    <n v="20"/>
    <x v="3"/>
    <x v="1"/>
    <s v="Dustin"/>
    <n v="0.65"/>
    <n v="60089.9"/>
    <s v="Normal"/>
  </r>
  <r>
    <x v="3"/>
    <x v="5"/>
    <s v="Data Scientist"/>
    <s v="Intern"/>
    <n v="30865"/>
    <n v="569"/>
    <s v="EUR"/>
    <s v="Hourly"/>
    <x v="6"/>
    <s v="California"/>
    <s v="San Jose"/>
    <n v="1"/>
    <n v="0"/>
    <x v="4"/>
    <x v="1"/>
    <s v="Dylan"/>
    <n v="1.1000000000000001"/>
    <n v="33951.5"/>
    <s v="Normal"/>
  </r>
  <r>
    <x v="4"/>
    <x v="6"/>
    <s v="Software Engineer"/>
    <s v="Full-time"/>
    <n v="82247"/>
    <n v="8234"/>
    <s v="EUR"/>
    <s v="Hourly"/>
    <x v="0"/>
    <s v="South Holland"/>
    <s v="Rotterdam"/>
    <n v="25"/>
    <n v="25"/>
    <x v="1"/>
    <x v="3"/>
    <s v="Michael"/>
    <n v="1.1000000000000001"/>
    <n v="90471.700000000012"/>
    <s v="Normal"/>
  </r>
  <r>
    <x v="3"/>
    <x v="7"/>
    <s v="Unknown"/>
    <s v="Intern"/>
    <n v="0"/>
    <n v="5948"/>
    <s v="USD"/>
    <s v="Unknown"/>
    <x v="5"/>
    <s v="Delhi"/>
    <s v="Unknown"/>
    <n v="0"/>
    <n v="0"/>
    <x v="2"/>
    <x v="4"/>
    <s v="Olivia"/>
    <n v="1"/>
    <n v="0"/>
    <s v="Normal"/>
  </r>
  <r>
    <x v="3"/>
    <x v="7"/>
    <s v="Unknown"/>
    <s v="On-site"/>
    <n v="0"/>
    <n v="23628"/>
    <s v="INR"/>
    <s v="Unknown"/>
    <x v="6"/>
    <s v="Texas"/>
    <s v="Unknown"/>
    <n v="0"/>
    <n v="5"/>
    <x v="1"/>
    <x v="4"/>
    <s v="Sneha"/>
    <n v="1.2E-2"/>
    <n v="0"/>
    <s v="Normal"/>
  </r>
  <r>
    <x v="4"/>
    <x v="6"/>
    <s v="Sales Executive"/>
    <s v="Junior"/>
    <n v="13876"/>
    <n v="1556"/>
    <s v="EUR"/>
    <s v="Contract"/>
    <x v="7"/>
    <s v="Provence-Alpes-Côte d'Azur"/>
    <s v="Nice"/>
    <n v="25"/>
    <n v="22"/>
    <x v="0"/>
    <x v="0"/>
    <s v="Kayla"/>
    <n v="1.1000000000000001"/>
    <n v="15263.6"/>
    <s v="Normal"/>
  </r>
  <r>
    <x v="0"/>
    <x v="1"/>
    <s v="Data Scientist"/>
    <s v="Senior"/>
    <n v="95841"/>
    <n v="1133"/>
    <s v="AUD"/>
    <s v="Fixed salary"/>
    <x v="4"/>
    <s v="British Columbia"/>
    <s v="Vancouver"/>
    <n v="20"/>
    <n v="20"/>
    <x v="4"/>
    <x v="1"/>
    <s v="Ramesh"/>
    <n v="0.65"/>
    <n v="62296.65"/>
    <s v="Normal"/>
  </r>
  <r>
    <x v="2"/>
    <x v="3"/>
    <s v="Teacher"/>
    <s v="Junior"/>
    <n v="58887"/>
    <n v="226"/>
    <s v="USD"/>
    <s v="Fixed salary"/>
    <x v="8"/>
    <s v="Dubai"/>
    <s v="Dubai"/>
    <n v="18"/>
    <n v="18"/>
    <x v="0"/>
    <x v="1"/>
    <s v="Joshua"/>
    <n v="1"/>
    <n v="58887"/>
    <s v="Normal"/>
  </r>
  <r>
    <x v="2"/>
    <x v="7"/>
    <s v="Unknown"/>
    <s v="Unknown"/>
    <n v="0"/>
    <n v="3542"/>
    <s v="GBP"/>
    <s v="Contract"/>
    <x v="9"/>
    <s v="Scotland"/>
    <s v="Unknown"/>
    <n v="0"/>
    <n v="6"/>
    <x v="1"/>
    <x v="4"/>
    <s v="Emma"/>
    <n v="1.25"/>
    <n v="0"/>
    <s v="Normal"/>
  </r>
  <r>
    <x v="1"/>
    <x v="8"/>
    <s v="Teacher"/>
    <s v="Contract"/>
    <n v="121464"/>
    <n v="345"/>
    <s v="CAD"/>
    <s v="Hourly"/>
    <x v="0"/>
    <s v="North Holland"/>
    <s v="Amsterdam"/>
    <n v="0"/>
    <n v="0"/>
    <x v="0"/>
    <x v="3"/>
    <s v="Michael"/>
    <n v="0.73"/>
    <n v="88668.72"/>
    <s v="Normal"/>
  </r>
  <r>
    <x v="2"/>
    <x v="8"/>
    <s v="Product Manager"/>
    <s v="Intern"/>
    <n v="24304"/>
    <n v="3388"/>
    <s v="EUR"/>
    <s v="Contract"/>
    <x v="0"/>
    <s v="South Holland"/>
    <s v="Rotterdam"/>
    <n v="9"/>
    <n v="9"/>
    <x v="3"/>
    <x v="2"/>
    <s v="Michael"/>
    <n v="1.1000000000000001"/>
    <n v="26734.400000000001"/>
    <s v="Normal"/>
  </r>
  <r>
    <x v="3"/>
    <x v="3"/>
    <s v="QA Engineer"/>
    <s v="Full-time"/>
    <n v="112825"/>
    <n v="6839"/>
    <s v="CAD"/>
    <s v="Unknown"/>
    <x v="3"/>
    <s v="Queensland"/>
    <s v="Brisbane"/>
    <n v="6"/>
    <n v="3"/>
    <x v="1"/>
    <x v="3"/>
    <s v="Mark"/>
    <n v="0.73"/>
    <n v="82362.25"/>
    <s v="Normal"/>
  </r>
  <r>
    <x v="3"/>
    <x v="1"/>
    <s v="Business Analyst"/>
    <s v="Unknown"/>
    <n v="1051851"/>
    <n v="0"/>
    <s v="INR"/>
    <s v="Commission-based"/>
    <x v="4"/>
    <s v="British Columbia"/>
    <s v="Vancouver"/>
    <n v="5"/>
    <n v="5"/>
    <x v="3"/>
    <x v="1"/>
    <s v="Arjun"/>
    <n v="1.2E-2"/>
    <n v="12622.212"/>
    <s v="Normal"/>
  </r>
  <r>
    <x v="0"/>
    <x v="6"/>
    <s v="S/W Engineer"/>
    <s v="Full-time"/>
    <n v="100851"/>
    <n v="4474"/>
    <s v="GBP"/>
    <s v="Contract"/>
    <x v="5"/>
    <s v="Telangana"/>
    <s v="Hyderabad"/>
    <n v="12"/>
    <n v="12"/>
    <x v="4"/>
    <x v="0"/>
    <s v="Priya"/>
    <n v="1.25"/>
    <n v="126063.75"/>
    <s v="Normal"/>
  </r>
  <r>
    <x v="2"/>
    <x v="5"/>
    <s v="S/W Engineer"/>
    <s v="Junior"/>
    <n v="115815"/>
    <n v="21278"/>
    <s v="USD"/>
    <s v="Commission-based"/>
    <x v="9"/>
    <s v="Northern Ireland"/>
    <s v="Belfast"/>
    <n v="5"/>
    <n v="5"/>
    <x v="5"/>
    <x v="3"/>
    <s v="ijphn"/>
    <n v="1"/>
    <n v="115815"/>
    <s v="Normal"/>
  </r>
  <r>
    <x v="2"/>
    <x v="9"/>
    <s v="Professor"/>
    <s v="Senior"/>
    <n v="88883"/>
    <n v="4601"/>
    <s v="CAD"/>
    <s v="Fixed salary"/>
    <x v="5"/>
    <s v="Delhi"/>
    <s v="New Delhi"/>
    <n v="7"/>
    <n v="4"/>
    <x v="0"/>
    <x v="1"/>
    <s v="Daniel"/>
    <n v="0.73"/>
    <n v="64884.59"/>
    <s v="Normal"/>
  </r>
  <r>
    <x v="2"/>
    <x v="6"/>
    <s v="Product Manager"/>
    <s v="Intern"/>
    <n v="91060"/>
    <n v="4970"/>
    <s v="CAD"/>
    <s v="Commission-based"/>
    <x v="1"/>
    <s v="Bavaria"/>
    <s v="Munich"/>
    <n v="3"/>
    <n v="0"/>
    <x v="1"/>
    <x v="0"/>
    <s v="Stanley"/>
    <n v="0.73"/>
    <n v="66473.8"/>
    <s v="Normal"/>
  </r>
  <r>
    <x v="4"/>
    <x v="6"/>
    <s v="S/W Engineer"/>
    <s v="Senior"/>
    <n v="429227"/>
    <n v="0"/>
    <s v="INR"/>
    <s v="Unknown"/>
    <x v="0"/>
    <s v="South Holland"/>
    <s v="Rotterdam"/>
    <n v="12"/>
    <n v="9"/>
    <x v="0"/>
    <x v="3"/>
    <s v="Kavya"/>
    <n v="1.2E-2"/>
    <n v="5150.7240000000002"/>
    <s v="Normal"/>
  </r>
  <r>
    <x v="3"/>
    <x v="6"/>
    <s v="Data Scientist"/>
    <s v="Contract"/>
    <n v="102436"/>
    <n v="10083"/>
    <s v="USD"/>
    <s v="Contract"/>
    <x v="3"/>
    <s v="Queensland"/>
    <s v="Brisbane"/>
    <n v="6"/>
    <n v="6"/>
    <x v="1"/>
    <x v="0"/>
    <s v="Linda"/>
    <n v="1"/>
    <n v="102436"/>
    <s v="Normal"/>
  </r>
  <r>
    <x v="2"/>
    <x v="9"/>
    <s v="Project Manager"/>
    <s v="Unknown"/>
    <n v="100388"/>
    <n v="11896"/>
    <s v="USD"/>
    <s v="Fixed salary"/>
    <x v="3"/>
    <s v="Queensland"/>
    <s v="Brisbane"/>
    <n v="7"/>
    <n v="7"/>
    <x v="3"/>
    <x v="3"/>
    <s v="Arjun"/>
    <n v="1"/>
    <n v="100388"/>
    <s v="Normal"/>
  </r>
  <r>
    <x v="0"/>
    <x v="9"/>
    <s v="Business Analyst"/>
    <s v="Contract"/>
    <n v="97793"/>
    <n v="107"/>
    <s v="CAD"/>
    <s v="Commission-based"/>
    <x v="0"/>
    <s v="South Holland"/>
    <s v="Rotterdam"/>
    <n v="20"/>
    <n v="20"/>
    <x v="0"/>
    <x v="3"/>
    <s v="Alex"/>
    <n v="0.73"/>
    <n v="71388.89"/>
    <s v="Normal"/>
  </r>
  <r>
    <x v="2"/>
    <x v="10"/>
    <s v="Accountant"/>
    <s v="Lead"/>
    <n v="110982"/>
    <n v="21677"/>
    <s v="GBP"/>
    <s v="Commission-based"/>
    <x v="6"/>
    <s v="California"/>
    <s v="San Jose"/>
    <n v="3"/>
    <n v="3"/>
    <x v="3"/>
    <x v="3"/>
    <s v="Liam"/>
    <n v="1.25"/>
    <n v="138727.5"/>
    <s v="Normal"/>
  </r>
  <r>
    <x v="0"/>
    <x v="5"/>
    <s v="QA Engineer"/>
    <s v="Remote"/>
    <n v="63332"/>
    <n v="3570"/>
    <s v="GBP"/>
    <s v="Hourly"/>
    <x v="4"/>
    <s v="Quebec"/>
    <s v="Montreal"/>
    <n v="10"/>
    <n v="10"/>
    <x v="4"/>
    <x v="3"/>
    <s v="Tyler"/>
    <n v="1.25"/>
    <n v="79165"/>
    <s v="Normal"/>
  </r>
  <r>
    <x v="2"/>
    <x v="10"/>
    <s v="Nurse"/>
    <s v="Intern"/>
    <n v="85456"/>
    <n v="3902"/>
    <s v="GBP"/>
    <s v="Contract"/>
    <x v="4"/>
    <s v="Ontario"/>
    <s v="Ottawa"/>
    <n v="10"/>
    <n v="10"/>
    <x v="1"/>
    <x v="0"/>
    <s v="Maureen"/>
    <n v="1.25"/>
    <n v="106820"/>
    <s v="Normal"/>
  </r>
  <r>
    <x v="2"/>
    <x v="9"/>
    <s v="Business Analyst"/>
    <s v="Intern"/>
    <n v="94234"/>
    <n v="0"/>
    <s v="AUD"/>
    <s v="Fixed salary"/>
    <x v="9"/>
    <s v="Wales"/>
    <s v="Cardiff"/>
    <n v="7"/>
    <n v="5"/>
    <x v="1"/>
    <x v="2"/>
    <s v="Maria"/>
    <n v="0.65"/>
    <n v="61252.1"/>
    <s v="Normal"/>
  </r>
  <r>
    <x v="1"/>
    <x v="6"/>
    <s v="Teacher"/>
    <s v="Contract"/>
    <n v="64137"/>
    <n v="18602"/>
    <s v="USD"/>
    <s v="Contract"/>
    <x v="3"/>
    <s v="New South Wales"/>
    <s v="Sydney"/>
    <n v="1"/>
    <n v="0"/>
    <x v="1"/>
    <x v="1"/>
    <s v="Jeffrey"/>
    <n v="1"/>
    <n v="64137"/>
    <s v="Normal"/>
  </r>
  <r>
    <x v="2"/>
    <x v="2"/>
    <s v="Accountant"/>
    <s v="Unknown"/>
    <n v="98478"/>
    <n v="3910"/>
    <s v="CAD"/>
    <s v="Commission-based"/>
    <x v="2"/>
    <s v="Central Region"/>
    <s v="Singapore"/>
    <n v="4"/>
    <n v="4"/>
    <x v="5"/>
    <x v="1"/>
    <s v="Bradley"/>
    <n v="0.73"/>
    <n v="71888.94"/>
    <s v="Normal"/>
  </r>
  <r>
    <x v="0"/>
    <x v="10"/>
    <s v="S/W Engineer"/>
    <s v="Full-time"/>
    <n v="134691"/>
    <n v="12547"/>
    <s v="USD"/>
    <s v="Unknown"/>
    <x v="6"/>
    <s v="California"/>
    <s v="San Francisco"/>
    <n v="12"/>
    <n v="12"/>
    <x v="2"/>
    <x v="1"/>
    <s v="Lisa"/>
    <n v="1"/>
    <n v="134691"/>
    <s v="Normal"/>
  </r>
  <r>
    <x v="4"/>
    <x v="4"/>
    <s v="Data Analyst"/>
    <s v="Part-time"/>
    <n v="43161"/>
    <n v="11937"/>
    <s v="EUR"/>
    <s v="Commission-based"/>
    <x v="7"/>
    <s v="Provence-Alpes-Côte d'Azur"/>
    <s v="Nice"/>
    <n v="8"/>
    <n v="6"/>
    <x v="3"/>
    <x v="0"/>
    <s v="Sara"/>
    <n v="1.1000000000000001"/>
    <n v="47477.100000000006"/>
    <s v="Normal"/>
  </r>
  <r>
    <x v="2"/>
    <x v="9"/>
    <s v="Business Analyst"/>
    <s v="Part-time"/>
    <n v="848118"/>
    <n v="111998"/>
    <s v="INR"/>
    <s v="Unknown"/>
    <x v="9"/>
    <s v="Scotland"/>
    <s v="Edinburgh"/>
    <n v="5"/>
    <n v="5"/>
    <x v="5"/>
    <x v="0"/>
    <s v="Raj"/>
    <n v="1.2E-2"/>
    <n v="10177.416000000001"/>
    <s v="Normal"/>
  </r>
  <r>
    <x v="4"/>
    <x v="7"/>
    <s v="Unknown"/>
    <s v="Remote"/>
    <n v="0"/>
    <n v="918"/>
    <s v="GBP"/>
    <s v="Hourly"/>
    <x v="9"/>
    <s v="Northern Ireland"/>
    <s v="Unknown"/>
    <n v="0"/>
    <n v="11"/>
    <x v="0"/>
    <x v="4"/>
    <s v="Christopher"/>
    <n v="1.25"/>
    <n v="0"/>
    <s v="Normal"/>
  </r>
  <r>
    <x v="2"/>
    <x v="0"/>
    <s v="Developer"/>
    <s v="Lead"/>
    <n v="1060556"/>
    <n v="23114"/>
    <s v="INR"/>
    <s v="Unknown"/>
    <x v="1"/>
    <s v="Berlin"/>
    <s v="Berlin"/>
    <n v="3"/>
    <n v="3"/>
    <x v="0"/>
    <x v="0"/>
    <s v="Shawn"/>
    <n v="1.2E-2"/>
    <n v="12726.672"/>
    <s v="Normal"/>
  </r>
  <r>
    <x v="3"/>
    <x v="8"/>
    <s v="DevOps Engineer"/>
    <s v="Senior"/>
    <n v="44317"/>
    <n v="2490"/>
    <s v="EUR"/>
    <s v="Unknown"/>
    <x v="9"/>
    <s v="Scotland"/>
    <s v="Edinburgh"/>
    <n v="6"/>
    <n v="4"/>
    <x v="3"/>
    <x v="2"/>
    <s v="Daniel"/>
    <n v="1.1000000000000001"/>
    <n v="48748.700000000004"/>
    <s v="Normal"/>
  </r>
  <r>
    <x v="2"/>
    <x v="9"/>
    <s v="Data Scientist"/>
    <s v="On-site"/>
    <n v="639511"/>
    <n v="4336"/>
    <s v="INR"/>
    <s v="Hourly"/>
    <x v="2"/>
    <s v="Central Region"/>
    <s v="Singapore"/>
    <n v="3"/>
    <n v="3"/>
    <x v="2"/>
    <x v="3"/>
    <s v="Corey"/>
    <n v="1.2E-2"/>
    <n v="7674.1320000000005"/>
    <s v="Normal"/>
  </r>
  <r>
    <x v="2"/>
    <x v="2"/>
    <s v="Business Analyst"/>
    <s v="Full-time"/>
    <n v="342811"/>
    <n v="4747"/>
    <s v="INR"/>
    <s v="Commission-based"/>
    <x v="9"/>
    <s v="England"/>
    <s v="Manchester"/>
    <n v="2"/>
    <n v="2"/>
    <x v="1"/>
    <x v="3"/>
    <s v="Matthew"/>
    <n v="1.2E-2"/>
    <n v="4113.732"/>
    <s v="Normal"/>
  </r>
  <r>
    <x v="2"/>
    <x v="7"/>
    <s v="Unknown"/>
    <s v="Unknown"/>
    <n v="0"/>
    <n v="32069"/>
    <s v="AUD"/>
    <s v="Hourly"/>
    <x v="9"/>
    <s v="Scotland"/>
    <s v="Unknown"/>
    <n v="0"/>
    <n v="4"/>
    <x v="1"/>
    <x v="4"/>
    <s v="Liam"/>
    <n v="0.65"/>
    <n v="0"/>
    <s v="Normal"/>
  </r>
  <r>
    <x v="3"/>
    <x v="10"/>
    <s v="S/W Engineer"/>
    <s v="Senior"/>
    <n v="92228"/>
    <n v="5507"/>
    <s v="USD"/>
    <s v="Contract"/>
    <x v="6"/>
    <s v="Massachusetts"/>
    <s v="Boston"/>
    <n v="5"/>
    <n v="4"/>
    <x v="2"/>
    <x v="0"/>
    <s v="Alex"/>
    <n v="1"/>
    <n v="92228"/>
    <s v="Normal"/>
  </r>
  <r>
    <x v="3"/>
    <x v="6"/>
    <s v="Nurse"/>
    <s v="Unknown"/>
    <n v="73192"/>
    <n v="9636"/>
    <s v="USD"/>
    <s v="Contract"/>
    <x v="4"/>
    <s v="Quebec"/>
    <s v="Montreal"/>
    <n v="5"/>
    <n v="4"/>
    <x v="0"/>
    <x v="0"/>
    <s v="Brenda"/>
    <n v="1"/>
    <n v="73192"/>
    <s v="Normal"/>
  </r>
  <r>
    <x v="2"/>
    <x v="11"/>
    <s v="Professor"/>
    <s v="Intern"/>
    <n v="1143063"/>
    <n v="141574"/>
    <s v="INR"/>
    <s v="Unknown"/>
    <x v="4"/>
    <s v="British Columbia"/>
    <s v="Vancouver"/>
    <n v="3"/>
    <n v="1"/>
    <x v="5"/>
    <x v="2"/>
    <s v="Ramesh"/>
    <n v="1.2E-2"/>
    <n v="13716.755999999999"/>
    <s v="Normal"/>
  </r>
  <r>
    <x v="0"/>
    <x v="1"/>
    <s v="Business Analyst"/>
    <s v="Remote"/>
    <n v="103850"/>
    <n v="16630"/>
    <s v="AUD"/>
    <s v="Fixed salary"/>
    <x v="2"/>
    <s v="Central Region"/>
    <s v="Singapore"/>
    <n v="12"/>
    <n v="11"/>
    <x v="2"/>
    <x v="3"/>
    <s v="Karen"/>
    <n v="0.65"/>
    <n v="67502.5"/>
    <s v="Normal"/>
  </r>
  <r>
    <x v="0"/>
    <x v="11"/>
    <s v="S/W Engineer"/>
    <s v="Lead"/>
    <n v="92763"/>
    <n v="5240"/>
    <s v="CAD"/>
    <s v="Commission-based"/>
    <x v="8"/>
    <s v="Dubai"/>
    <s v="Dubai"/>
    <n v="15"/>
    <n v="14"/>
    <x v="5"/>
    <x v="0"/>
    <s v="Vincent"/>
    <n v="0.73"/>
    <n v="67716.990000000005"/>
    <s v="Normal"/>
  </r>
  <r>
    <x v="4"/>
    <x v="4"/>
    <s v="Business Analyst"/>
    <s v="Senior"/>
    <n v="40049"/>
    <n v="3929"/>
    <s v="EUR"/>
    <s v="Unknown"/>
    <x v="4"/>
    <s v="Ontario"/>
    <s v="Toronto"/>
    <n v="18"/>
    <n v="18"/>
    <x v="4"/>
    <x v="2"/>
    <s v="Brandy"/>
    <n v="1.1000000000000001"/>
    <n v="44053.9"/>
    <s v="Normal"/>
  </r>
  <r>
    <x v="0"/>
    <x v="1"/>
    <s v="Project Manager"/>
    <s v="On-site"/>
    <n v="41988"/>
    <n v="529"/>
    <s v="USD"/>
    <s v="Hourly"/>
    <x v="5"/>
    <s v="Delhi"/>
    <s v="New Delhi"/>
    <n v="9"/>
    <n v="6"/>
    <x v="1"/>
    <x v="0"/>
    <s v="Brittney"/>
    <n v="1"/>
    <n v="41988"/>
    <s v="Normal"/>
  </r>
  <r>
    <x v="0"/>
    <x v="11"/>
    <s v="Accountant"/>
    <s v="Remote"/>
    <n v="65446"/>
    <n v="2828"/>
    <s v="EUR"/>
    <s v="Unknown"/>
    <x v="2"/>
    <s v="Central Region"/>
    <s v="Singapore"/>
    <n v="12"/>
    <n v="12"/>
    <x v="3"/>
    <x v="1"/>
    <s v="Raj"/>
    <n v="1.1000000000000001"/>
    <n v="71990.600000000006"/>
    <s v="Normal"/>
  </r>
  <r>
    <x v="2"/>
    <x v="2"/>
    <s v="Teacher"/>
    <s v="Junior"/>
    <n v="66319"/>
    <n v="4666"/>
    <s v="AUD"/>
    <s v="Hourly"/>
    <x v="6"/>
    <s v="New York"/>
    <s v="Buffalo"/>
    <n v="9"/>
    <n v="7"/>
    <x v="2"/>
    <x v="0"/>
    <s v="Mark"/>
    <n v="0.65"/>
    <n v="43107.35"/>
    <s v="Normal"/>
  </r>
  <r>
    <x v="4"/>
    <x v="4"/>
    <s v="QA Engineer"/>
    <s v="Senior"/>
    <n v="56671"/>
    <n v="3210"/>
    <s v="EUR"/>
    <s v="Hourly"/>
    <x v="8"/>
    <s v="Abu Dhabi"/>
    <s v="Abu Dhabi"/>
    <n v="25"/>
    <n v="24"/>
    <x v="3"/>
    <x v="2"/>
    <s v="Michael"/>
    <n v="1.1000000000000001"/>
    <n v="62338.100000000006"/>
    <s v="Normal"/>
  </r>
  <r>
    <x v="2"/>
    <x v="7"/>
    <s v="Unknown"/>
    <s v="Remote"/>
    <n v="0"/>
    <n v="0"/>
    <s v="INR"/>
    <s v="Commission-based"/>
    <x v="7"/>
    <s v="Provence-Alpes-Côte d'Azur"/>
    <s v="Unknown"/>
    <n v="0"/>
    <n v="12"/>
    <x v="4"/>
    <x v="4"/>
    <s v="Arjun"/>
    <n v="1.2E-2"/>
    <n v="0"/>
    <s v="Normal"/>
  </r>
  <r>
    <x v="2"/>
    <x v="3"/>
    <s v="HR Manager"/>
    <s v="Senior"/>
    <n v="94266"/>
    <n v="0"/>
    <s v="GBP"/>
    <s v="Hourly"/>
    <x v="5"/>
    <s v="Telangana"/>
    <s v="Hyderabad"/>
    <n v="4"/>
    <n v="3"/>
    <x v="3"/>
    <x v="0"/>
    <s v="Samuel"/>
    <n v="1.25"/>
    <n v="117832.5"/>
    <s v="Normal"/>
  </r>
  <r>
    <x v="3"/>
    <x v="0"/>
    <s v="Product Manager"/>
    <s v="Lead"/>
    <n v="141460"/>
    <n v="387"/>
    <s v="AUD"/>
    <s v="Unknown"/>
    <x v="0"/>
    <s v="South Holland"/>
    <s v="Rotterdam"/>
    <n v="3"/>
    <n v="0"/>
    <x v="0"/>
    <x v="2"/>
    <s v="Sara"/>
    <n v="0.65"/>
    <n v="91949"/>
    <s v="Normal"/>
  </r>
  <r>
    <x v="3"/>
    <x v="3"/>
    <s v="DevOps Engineer"/>
    <s v="Intern"/>
    <n v="79724"/>
    <n v="201"/>
    <s v="EUR"/>
    <s v="Commission-based"/>
    <x v="7"/>
    <s v="Île-de-France"/>
    <s v="Paris"/>
    <n v="6"/>
    <n v="5"/>
    <x v="4"/>
    <x v="0"/>
    <s v="Sherry"/>
    <n v="1.1000000000000001"/>
    <n v="87696.400000000009"/>
    <s v="Normal"/>
  </r>
  <r>
    <x v="2"/>
    <x v="3"/>
    <s v="QA Engineer"/>
    <s v="Senior"/>
    <n v="66097"/>
    <n v="424"/>
    <s v="CAD"/>
    <s v="Contract"/>
    <x v="4"/>
    <s v="British Columbia"/>
    <s v="Vancouver"/>
    <n v="25"/>
    <n v="23"/>
    <x v="4"/>
    <x v="2"/>
    <s v="Olivia"/>
    <n v="0.73"/>
    <n v="48250.81"/>
    <s v="Normal"/>
  </r>
  <r>
    <x v="0"/>
    <x v="5"/>
    <s v="Data Analyst"/>
    <s v="Contract"/>
    <n v="85593"/>
    <n v="7514"/>
    <s v="CAD"/>
    <s v="Commission-based"/>
    <x v="8"/>
    <s v="Dubai"/>
    <s v="Dubai"/>
    <n v="8"/>
    <n v="7"/>
    <x v="0"/>
    <x v="2"/>
    <s v="Alex"/>
    <n v="0.73"/>
    <n v="62482.89"/>
    <s v="Normal"/>
  </r>
  <r>
    <x v="2"/>
    <x v="9"/>
    <s v="Doctor"/>
    <s v="On-site"/>
    <n v="441098"/>
    <n v="0"/>
    <s v="INR"/>
    <s v="Hourly"/>
    <x v="3"/>
    <s v="New South Wales"/>
    <s v="Sydney"/>
    <n v="6"/>
    <n v="5"/>
    <x v="0"/>
    <x v="1"/>
    <s v="Sara"/>
    <n v="1.2E-2"/>
    <n v="5293.1760000000004"/>
    <s v="Normal"/>
  </r>
  <r>
    <x v="4"/>
    <x v="3"/>
    <s v="Doctor"/>
    <s v="Contract"/>
    <n v="1042403"/>
    <n v="0"/>
    <s v="INR"/>
    <s v="Hourly"/>
    <x v="8"/>
    <s v="Dubai"/>
    <s v="Dubai"/>
    <n v="12"/>
    <n v="12"/>
    <x v="5"/>
    <x v="2"/>
    <s v="Priya"/>
    <n v="1.2E-2"/>
    <n v="12508.836000000001"/>
    <s v="Normal"/>
  </r>
  <r>
    <x v="1"/>
    <x v="3"/>
    <s v="Data Scientist"/>
    <s v="On-site"/>
    <n v="112462"/>
    <n v="1173"/>
    <s v="AUD"/>
    <s v="Fixed salary"/>
    <x v="1"/>
    <s v="Berlin"/>
    <s v="Berlin"/>
    <n v="0"/>
    <n v="0"/>
    <x v="0"/>
    <x v="2"/>
    <s v="Barbara"/>
    <n v="0.65"/>
    <n v="73100.3"/>
    <s v="Normal"/>
  </r>
  <r>
    <x v="4"/>
    <x v="11"/>
    <s v="System Administrator"/>
    <s v="Remote"/>
    <n v="615089"/>
    <n v="1588"/>
    <s v="INR"/>
    <s v="Commission-based"/>
    <x v="3"/>
    <s v="Victoria"/>
    <s v="Melbourne"/>
    <n v="25"/>
    <n v="22"/>
    <x v="4"/>
    <x v="3"/>
    <s v="Ryan"/>
    <n v="1.2E-2"/>
    <n v="7381.0680000000002"/>
    <s v="Normal"/>
  </r>
  <r>
    <x v="2"/>
    <x v="7"/>
    <s v="Unknown"/>
    <s v="Part-time"/>
    <n v="0"/>
    <n v="5754"/>
    <s v="EUR"/>
    <s v="Hourly"/>
    <x v="8"/>
    <s v="Dubai"/>
    <s v="Unknown"/>
    <n v="0"/>
    <n v="23"/>
    <x v="4"/>
    <x v="4"/>
    <s v="Carol"/>
    <n v="1.1000000000000001"/>
    <n v="0"/>
    <s v="Normal"/>
  </r>
  <r>
    <x v="4"/>
    <x v="6"/>
    <s v="Doctor"/>
    <s v="Full-time"/>
    <n v="123016"/>
    <n v="23538"/>
    <s v="USD"/>
    <s v="Fixed salary"/>
    <x v="6"/>
    <s v="Massachusetts"/>
    <s v="Boston"/>
    <n v="8"/>
    <n v="5"/>
    <x v="0"/>
    <x v="2"/>
    <s v="Cameron"/>
    <n v="1"/>
    <n v="123016"/>
    <s v="Normal"/>
  </r>
  <r>
    <x v="0"/>
    <x v="9"/>
    <s v="Software Engineer"/>
    <s v="Remote"/>
    <n v="520109"/>
    <n v="29887"/>
    <s v="INR"/>
    <s v="Contract"/>
    <x v="6"/>
    <s v="California"/>
    <s v="Los Angeles"/>
    <n v="9"/>
    <n v="9"/>
    <x v="5"/>
    <x v="3"/>
    <s v="Olivia"/>
    <n v="1.2E-2"/>
    <n v="6241.308"/>
    <s v="Normal"/>
  </r>
  <r>
    <x v="3"/>
    <x v="3"/>
    <s v="Teacher"/>
    <s v="Lead"/>
    <n v="605854"/>
    <n v="16955"/>
    <s v="INR"/>
    <s v="Hourly"/>
    <x v="5"/>
    <s v="Delhi"/>
    <s v="New Delhi"/>
    <n v="4"/>
    <n v="4"/>
    <x v="1"/>
    <x v="0"/>
    <s v="Michael"/>
    <n v="1.2E-2"/>
    <n v="7270.2480000000005"/>
    <s v="Normal"/>
  </r>
  <r>
    <x v="3"/>
    <x v="6"/>
    <s v="Sales Executive"/>
    <s v="Lead"/>
    <n v="61948"/>
    <n v="7375"/>
    <s v="CAD"/>
    <s v="Commission-based"/>
    <x v="7"/>
    <s v="Provence-Alpes-Côte d'Azur"/>
    <s v="Nice"/>
    <n v="5"/>
    <n v="2"/>
    <x v="4"/>
    <x v="0"/>
    <s v="Ramesh"/>
    <n v="0.73"/>
    <n v="45222.04"/>
    <s v="Normal"/>
  </r>
  <r>
    <x v="1"/>
    <x v="11"/>
    <s v="Data Scientist"/>
    <s v="Unknown"/>
    <n v="73908"/>
    <n v="47"/>
    <s v="CAD"/>
    <s v="Contract"/>
    <x v="0"/>
    <s v="South Holland"/>
    <s v="Rotterdam"/>
    <n v="0"/>
    <n v="0"/>
    <x v="0"/>
    <x v="2"/>
    <s v="Edward"/>
    <n v="0.73"/>
    <n v="53952.84"/>
    <s v="Normal"/>
  </r>
  <r>
    <x v="3"/>
    <x v="3"/>
    <s v="Data Analyst"/>
    <s v="Unknown"/>
    <n v="63614"/>
    <n v="0"/>
    <s v="AUD"/>
    <s v="Unknown"/>
    <x v="6"/>
    <s v="Washington"/>
    <s v="Seattle"/>
    <n v="2"/>
    <n v="2"/>
    <x v="1"/>
    <x v="3"/>
    <s v="ijphn"/>
    <n v="0.65"/>
    <n v="41349.1"/>
    <s v="Normal"/>
  </r>
  <r>
    <x v="3"/>
    <x v="4"/>
    <s v="DevOps Engineer"/>
    <s v="Remote"/>
    <n v="95929"/>
    <n v="1157"/>
    <s v="GBP"/>
    <s v="Unknown"/>
    <x v="0"/>
    <s v="South Holland"/>
    <s v="Rotterdam"/>
    <n v="1"/>
    <n v="0"/>
    <x v="3"/>
    <x v="0"/>
    <s v="Priya"/>
    <n v="1.25"/>
    <n v="119911.25"/>
    <s v="Normal"/>
  </r>
  <r>
    <x v="3"/>
    <x v="3"/>
    <s v="S/W Engineer"/>
    <s v="Contract"/>
    <n v="27257"/>
    <n v="0"/>
    <s v="EUR"/>
    <s v="Contract"/>
    <x v="2"/>
    <s v="Central Region"/>
    <s v="Singapore"/>
    <n v="6"/>
    <n v="3"/>
    <x v="1"/>
    <x v="3"/>
    <s v="Erica"/>
    <n v="1.1000000000000001"/>
    <n v="29982.7"/>
    <s v="Normal"/>
  </r>
  <r>
    <x v="2"/>
    <x v="5"/>
    <s v="S/W Engineer"/>
    <s v="Senior"/>
    <n v="123007"/>
    <n v="0"/>
    <s v="AUD"/>
    <s v="Hourly"/>
    <x v="3"/>
    <s v="Queensland"/>
    <s v="Brisbane"/>
    <n v="3"/>
    <n v="2"/>
    <x v="0"/>
    <x v="3"/>
    <s v="Elizabeth"/>
    <n v="0.65"/>
    <n v="79954.55"/>
    <s v="Normal"/>
  </r>
  <r>
    <x v="0"/>
    <x v="3"/>
    <s v="Developer"/>
    <s v="Junior"/>
    <n v="774928"/>
    <n v="36779"/>
    <s v="INR"/>
    <s v="Hourly"/>
    <x v="9"/>
    <s v="Northern Ireland"/>
    <s v="Belfast"/>
    <n v="10"/>
    <n v="10"/>
    <x v="0"/>
    <x v="3"/>
    <s v="ijphn"/>
    <n v="1.2E-2"/>
    <n v="9299.1360000000004"/>
    <s v="Normal"/>
  </r>
  <r>
    <x v="2"/>
    <x v="5"/>
    <s v="Product Manager"/>
    <s v="Senior"/>
    <n v="15092"/>
    <n v="10318"/>
    <s v="USD"/>
    <s v="Hourly"/>
    <x v="2"/>
    <s v="Central Region"/>
    <s v="Singapore"/>
    <n v="9"/>
    <n v="9"/>
    <x v="5"/>
    <x v="2"/>
    <s v="Ashley"/>
    <n v="1"/>
    <n v="15092"/>
    <s v="Normal"/>
  </r>
  <r>
    <x v="3"/>
    <x v="3"/>
    <s v="Data Scientist"/>
    <s v="Lead"/>
    <n v="492880"/>
    <n v="15157"/>
    <s v="INR"/>
    <s v="Commission-based"/>
    <x v="7"/>
    <s v="Île-de-France"/>
    <s v="Paris"/>
    <n v="5"/>
    <n v="5"/>
    <x v="0"/>
    <x v="3"/>
    <s v="Brittany"/>
    <n v="1.2E-2"/>
    <n v="5914.56"/>
    <s v="Normal"/>
  </r>
  <r>
    <x v="2"/>
    <x v="3"/>
    <s v="Business Analyst"/>
    <s v="Unknown"/>
    <n v="105033"/>
    <n v="13302"/>
    <s v="EUR"/>
    <s v="Fixed salary"/>
    <x v="3"/>
    <s v="Queensland"/>
    <s v="Brisbane"/>
    <n v="18"/>
    <n v="18"/>
    <x v="1"/>
    <x v="2"/>
    <s v="David"/>
    <n v="1.1000000000000001"/>
    <n v="115536.3"/>
    <s v="Normal"/>
  </r>
  <r>
    <x v="4"/>
    <x v="5"/>
    <s v="S/W Engineer"/>
    <s v="Senior"/>
    <n v="46301"/>
    <n v="2565"/>
    <s v="AUD"/>
    <s v="Hourly"/>
    <x v="4"/>
    <s v="Ontario"/>
    <s v="Toronto"/>
    <n v="25"/>
    <n v="25"/>
    <x v="1"/>
    <x v="1"/>
    <s v="Jose"/>
    <n v="0.65"/>
    <n v="30095.65"/>
    <s v="Normal"/>
  </r>
  <r>
    <x v="3"/>
    <x v="4"/>
    <s v="Nurse"/>
    <s v="Unknown"/>
    <n v="79337"/>
    <n v="6379"/>
    <s v="EUR"/>
    <s v="Fixed salary"/>
    <x v="0"/>
    <s v="North Holland"/>
    <s v="Amsterdam"/>
    <n v="7"/>
    <n v="5"/>
    <x v="1"/>
    <x v="3"/>
    <s v="Frank"/>
    <n v="1.1000000000000001"/>
    <n v="87270.700000000012"/>
    <s v="Normal"/>
  </r>
  <r>
    <x v="0"/>
    <x v="5"/>
    <s v="Sales Executive"/>
    <s v="Intern"/>
    <n v="80281"/>
    <n v="4220"/>
    <s v="EUR"/>
    <s v="Hourly"/>
    <x v="1"/>
    <s v="Hesse"/>
    <s v="Frankfurt"/>
    <n v="9"/>
    <n v="9"/>
    <x v="2"/>
    <x v="1"/>
    <s v="Sara"/>
    <n v="1.1000000000000001"/>
    <n v="88309.1"/>
    <s v="Normal"/>
  </r>
  <r>
    <x v="2"/>
    <x v="3"/>
    <s v="Sales Executive"/>
    <s v="Junior"/>
    <n v="786898"/>
    <n v="22413"/>
    <s v="INR"/>
    <s v="Commission-based"/>
    <x v="0"/>
    <s v="North Holland"/>
    <s v="Amsterdam"/>
    <n v="5"/>
    <n v="2"/>
    <x v="5"/>
    <x v="0"/>
    <s v="Sara"/>
    <n v="1.2E-2"/>
    <n v="9442.7759999999998"/>
    <s v="Normal"/>
  </r>
  <r>
    <x v="2"/>
    <x v="8"/>
    <s v="Teacher"/>
    <s v="Intern"/>
    <n v="839732"/>
    <n v="34799"/>
    <s v="INR"/>
    <s v="Commission-based"/>
    <x v="3"/>
    <s v="Queensland"/>
    <s v="Brisbane"/>
    <n v="2"/>
    <n v="0"/>
    <x v="2"/>
    <x v="1"/>
    <s v="Noah"/>
    <n v="1.2E-2"/>
    <n v="10076.784"/>
    <s v="Normal"/>
  </r>
  <r>
    <x v="2"/>
    <x v="3"/>
    <s v="Business Analyst"/>
    <s v="Junior"/>
    <n v="89281"/>
    <n v="1714"/>
    <s v="EUR"/>
    <s v="Unknown"/>
    <x v="6"/>
    <s v="Texas"/>
    <s v="Dallas"/>
    <n v="8"/>
    <n v="6"/>
    <x v="0"/>
    <x v="0"/>
    <s v="Sara"/>
    <n v="1.1000000000000001"/>
    <n v="98209.1"/>
    <s v="Normal"/>
  </r>
  <r>
    <x v="1"/>
    <x v="1"/>
    <s v="Accountant"/>
    <s v="Remote"/>
    <n v="108312"/>
    <n v="5107"/>
    <s v="GBP"/>
    <s v="Contract"/>
    <x v="1"/>
    <s v="Hesse"/>
    <s v="Frankfurt"/>
    <n v="0"/>
    <n v="0"/>
    <x v="0"/>
    <x v="1"/>
    <s v="Patrick"/>
    <n v="1.25"/>
    <n v="135390"/>
    <s v="Normal"/>
  </r>
  <r>
    <x v="2"/>
    <x v="5"/>
    <s v="Nurse"/>
    <s v="Senior"/>
    <n v="8781"/>
    <n v="10240"/>
    <s v="GBP"/>
    <s v="Commission-based"/>
    <x v="2"/>
    <s v="Central Region"/>
    <s v="Singapore"/>
    <n v="8"/>
    <n v="5"/>
    <x v="4"/>
    <x v="3"/>
    <s v="Ryan"/>
    <n v="1.25"/>
    <n v="10976.25"/>
    <s v="Normal"/>
  </r>
  <r>
    <x v="2"/>
    <x v="5"/>
    <s v="Data Scientist"/>
    <s v="Contract"/>
    <n v="18665"/>
    <n v="0"/>
    <s v="AUD"/>
    <s v="Contract"/>
    <x v="5"/>
    <s v="Maharashtra"/>
    <s v="Mumbai"/>
    <n v="12"/>
    <n v="12"/>
    <x v="0"/>
    <x v="2"/>
    <s v="Sheri"/>
    <n v="0.65"/>
    <n v="12132.25"/>
    <s v="Normal"/>
  </r>
  <r>
    <x v="4"/>
    <x v="2"/>
    <s v="Business Analyst"/>
    <s v="Junior"/>
    <n v="47693"/>
    <n v="0"/>
    <s v="GBP"/>
    <s v="Contract"/>
    <x v="5"/>
    <s v="Delhi"/>
    <s v="New Delhi"/>
    <n v="10"/>
    <n v="9"/>
    <x v="5"/>
    <x v="3"/>
    <s v="Kavya"/>
    <n v="1.25"/>
    <n v="59616.25"/>
    <s v="Normal"/>
  </r>
  <r>
    <x v="2"/>
    <x v="2"/>
    <s v="Accountant"/>
    <s v="Remote"/>
    <n v="120358"/>
    <n v="10790"/>
    <s v="USD"/>
    <s v="Hourly"/>
    <x v="9"/>
    <s v="England"/>
    <s v="London"/>
    <n v="5"/>
    <n v="5"/>
    <x v="0"/>
    <x v="1"/>
    <s v="Kavya"/>
    <n v="1"/>
    <n v="120358"/>
    <s v="Normal"/>
  </r>
  <r>
    <x v="2"/>
    <x v="7"/>
    <s v="Unknown"/>
    <s v="Junior"/>
    <n v="0"/>
    <n v="7811"/>
    <s v="EUR"/>
    <s v="Contract"/>
    <x v="7"/>
    <s v="Provence-Alpes-Côte d'Azur"/>
    <s v="Unknown"/>
    <n v="0"/>
    <n v="4"/>
    <x v="2"/>
    <x v="4"/>
    <s v="James"/>
    <n v="1.1000000000000001"/>
    <n v="0"/>
    <s v="Normal"/>
  </r>
  <r>
    <x v="3"/>
    <x v="1"/>
    <s v="Developer"/>
    <s v="Contract"/>
    <n v="67864"/>
    <n v="4878"/>
    <s v="AUD"/>
    <s v="Commission-based"/>
    <x v="5"/>
    <s v="Telangana"/>
    <s v="Hyderabad"/>
    <n v="6"/>
    <n v="6"/>
    <x v="1"/>
    <x v="0"/>
    <s v="Noah"/>
    <n v="0.65"/>
    <n v="44111.6"/>
    <s v="Normal"/>
  </r>
  <r>
    <x v="3"/>
    <x v="6"/>
    <s v="Professor"/>
    <s v="Lead"/>
    <n v="91974"/>
    <n v="0"/>
    <s v="CAD"/>
    <s v="Contract"/>
    <x v="5"/>
    <s v="Maharashtra"/>
    <s v="Mumbai"/>
    <n v="6"/>
    <n v="4"/>
    <x v="5"/>
    <x v="0"/>
    <s v="Sneha"/>
    <n v="0.73"/>
    <n v="67141.02"/>
    <s v="Normal"/>
  </r>
  <r>
    <x v="3"/>
    <x v="1"/>
    <s v="Doctor"/>
    <s v="Lead"/>
    <n v="130119"/>
    <n v="13404"/>
    <s v="AUD"/>
    <s v="Fixed salary"/>
    <x v="7"/>
    <s v="Île-de-France"/>
    <s v="Paris"/>
    <n v="3"/>
    <n v="2"/>
    <x v="5"/>
    <x v="1"/>
    <s v="Kavya"/>
    <n v="0.65"/>
    <n v="84577.35"/>
    <s v="Normal"/>
  </r>
  <r>
    <x v="3"/>
    <x v="2"/>
    <s v="HR Manager"/>
    <s v="Senior"/>
    <n v="90905"/>
    <n v="0"/>
    <s v="AUD"/>
    <s v="Commission-based"/>
    <x v="5"/>
    <s v="Telangana"/>
    <s v="Hyderabad"/>
    <n v="7"/>
    <n v="7"/>
    <x v="3"/>
    <x v="1"/>
    <s v="Andrew"/>
    <n v="0.65"/>
    <n v="59088.25"/>
    <s v="Normal"/>
  </r>
  <r>
    <x v="2"/>
    <x v="3"/>
    <s v="Teacher"/>
    <s v="Unknown"/>
    <n v="71493"/>
    <n v="0"/>
    <s v="GBP"/>
    <s v="Fixed salary"/>
    <x v="7"/>
    <s v="Provence-Alpes-Côte d'Azur"/>
    <s v="Nice"/>
    <n v="25"/>
    <n v="25"/>
    <x v="5"/>
    <x v="1"/>
    <s v="Sara"/>
    <n v="1.25"/>
    <n v="89366.25"/>
    <s v="Normal"/>
  </r>
  <r>
    <x v="3"/>
    <x v="10"/>
    <s v="Product Manager"/>
    <s v="On-site"/>
    <n v="1409249"/>
    <n v="102411"/>
    <s v="INR"/>
    <s v="Fixed salary"/>
    <x v="7"/>
    <s v="Île-de-France"/>
    <s v="Paris"/>
    <n v="6"/>
    <n v="5"/>
    <x v="0"/>
    <x v="1"/>
    <s v="Priya"/>
    <n v="1.2E-2"/>
    <n v="16910.988000000001"/>
    <s v="Normal"/>
  </r>
  <r>
    <x v="3"/>
    <x v="11"/>
    <s v="Accountant"/>
    <s v="Contract"/>
    <n v="38301"/>
    <n v="0"/>
    <s v="AUD"/>
    <s v="Hourly"/>
    <x v="3"/>
    <s v="New South Wales"/>
    <s v="Sydney"/>
    <n v="4"/>
    <n v="1"/>
    <x v="1"/>
    <x v="3"/>
    <s v="Raj"/>
    <n v="0.65"/>
    <n v="24895.65"/>
    <s v="Normal"/>
  </r>
  <r>
    <x v="0"/>
    <x v="3"/>
    <s v="DevOps Engineer"/>
    <s v="Unknown"/>
    <n v="162037"/>
    <n v="7892"/>
    <s v="USD"/>
    <s v="Unknown"/>
    <x v="8"/>
    <s v="Dubai"/>
    <s v="Dubai"/>
    <n v="8"/>
    <n v="8"/>
    <x v="3"/>
    <x v="1"/>
    <s v="Raj"/>
    <n v="1"/>
    <n v="162037"/>
    <s v="Normal"/>
  </r>
  <r>
    <x v="2"/>
    <x v="6"/>
    <s v="Business Analyst"/>
    <s v="On-site"/>
    <n v="82839"/>
    <n v="704"/>
    <s v="AUD"/>
    <s v="Contract"/>
    <x v="7"/>
    <s v="Île-de-France"/>
    <s v="Paris"/>
    <n v="2"/>
    <n v="0"/>
    <x v="3"/>
    <x v="1"/>
    <s v="Travis"/>
    <n v="0.65"/>
    <n v="53845.35"/>
    <s v="Normal"/>
  </r>
  <r>
    <x v="2"/>
    <x v="3"/>
    <s v="Project Manager"/>
    <s v="On-site"/>
    <n v="90710"/>
    <n v="23735"/>
    <s v="CAD"/>
    <s v="Hourly"/>
    <x v="9"/>
    <s v="Scotland"/>
    <s v="Edinburgh"/>
    <n v="4"/>
    <n v="1"/>
    <x v="4"/>
    <x v="3"/>
    <s v="Emma"/>
    <n v="0.73"/>
    <n v="66218.3"/>
    <s v="Normal"/>
  </r>
  <r>
    <x v="0"/>
    <x v="1"/>
    <s v="Nurse"/>
    <s v="Intern"/>
    <n v="100105"/>
    <n v="282"/>
    <s v="EUR"/>
    <s v="Hourly"/>
    <x v="9"/>
    <s v="Scotland"/>
    <s v="Edinburgh"/>
    <n v="20"/>
    <n v="20"/>
    <x v="3"/>
    <x v="1"/>
    <s v="Sneha"/>
    <n v="1.1000000000000001"/>
    <n v="110115.50000000001"/>
    <s v="Normal"/>
  </r>
  <r>
    <x v="2"/>
    <x v="1"/>
    <s v="System Administrator"/>
    <s v="Junior"/>
    <n v="134782"/>
    <n v="28438"/>
    <s v="USD"/>
    <s v="Contract"/>
    <x v="7"/>
    <s v="Provence-Alpes-Côte d'Azur"/>
    <s v="Nice"/>
    <n v="5"/>
    <n v="3"/>
    <x v="2"/>
    <x v="2"/>
    <s v="David"/>
    <n v="1"/>
    <n v="134782"/>
    <s v="Normal"/>
  </r>
  <r>
    <x v="4"/>
    <x v="6"/>
    <s v="Project Manager"/>
    <s v="Unknown"/>
    <n v="114964"/>
    <n v="12307"/>
    <s v="USD"/>
    <s v="Commission-based"/>
    <x v="0"/>
    <s v="North Holland"/>
    <s v="Amsterdam"/>
    <n v="10"/>
    <n v="9"/>
    <x v="3"/>
    <x v="0"/>
    <s v="Hayden"/>
    <n v="1"/>
    <n v="114964"/>
    <s v="Normal"/>
  </r>
  <r>
    <x v="4"/>
    <x v="4"/>
    <s v="Project Manager"/>
    <s v="Junior"/>
    <n v="42718"/>
    <n v="2889"/>
    <s v="EUR"/>
    <s v="Fixed salary"/>
    <x v="6"/>
    <s v="Massachusetts"/>
    <s v="Boston"/>
    <n v="9"/>
    <n v="9"/>
    <x v="2"/>
    <x v="0"/>
    <s v="Anita"/>
    <n v="1.1000000000000001"/>
    <n v="46989.8"/>
    <s v="Normal"/>
  </r>
  <r>
    <x v="3"/>
    <x v="3"/>
    <s v="Data Analyst"/>
    <s v="Intern"/>
    <n v="85237"/>
    <n v="280"/>
    <s v="CAD"/>
    <s v="Contract"/>
    <x v="4"/>
    <s v="Quebec"/>
    <s v="Montreal"/>
    <n v="7"/>
    <n v="4"/>
    <x v="4"/>
    <x v="2"/>
    <s v="ijphn"/>
    <n v="0.73"/>
    <n v="62223.01"/>
    <s v="Normal"/>
  </r>
  <r>
    <x v="3"/>
    <x v="4"/>
    <s v="Product Manager"/>
    <s v="On-site"/>
    <n v="63568"/>
    <n v="1035"/>
    <s v="GBP"/>
    <s v="Contract"/>
    <x v="6"/>
    <s v="Texas"/>
    <s v="Dallas"/>
    <n v="4"/>
    <n v="4"/>
    <x v="5"/>
    <x v="3"/>
    <s v="Kenneth"/>
    <n v="1.25"/>
    <n v="79460"/>
    <s v="Normal"/>
  </r>
  <r>
    <x v="3"/>
    <x v="9"/>
    <s v="S/W Engineer"/>
    <s v="On-site"/>
    <n v="26557"/>
    <n v="215"/>
    <s v="EUR"/>
    <s v="Commission-based"/>
    <x v="2"/>
    <s v="Central Region"/>
    <s v="Singapore"/>
    <n v="2"/>
    <n v="2"/>
    <x v="2"/>
    <x v="3"/>
    <s v="Kavya"/>
    <n v="1.1000000000000001"/>
    <n v="29212.7"/>
    <s v="Normal"/>
  </r>
  <r>
    <x v="0"/>
    <x v="3"/>
    <s v="Teacher"/>
    <s v="On-site"/>
    <n v="109385"/>
    <n v="0"/>
    <s v="AUD"/>
    <s v="Hourly"/>
    <x v="4"/>
    <s v="Ontario"/>
    <s v="Toronto"/>
    <n v="18"/>
    <n v="18"/>
    <x v="5"/>
    <x v="2"/>
    <s v="Gregg"/>
    <n v="0.65"/>
    <n v="71100.25"/>
    <s v="Normal"/>
  </r>
  <r>
    <x v="2"/>
    <x v="3"/>
    <s v="DevOps Engineer"/>
    <s v="Remote"/>
    <n v="198742"/>
    <n v="3691"/>
    <s v="INR"/>
    <s v="Hourly"/>
    <x v="7"/>
    <s v="Provence-Alpes-Côte d'Azur"/>
    <s v="Nice"/>
    <n v="25"/>
    <n v="25"/>
    <x v="1"/>
    <x v="0"/>
    <s v="Emma"/>
    <n v="1.2E-2"/>
    <n v="2384.904"/>
    <s v="Normal"/>
  </r>
  <r>
    <x v="3"/>
    <x v="3"/>
    <s v="Product Manager"/>
    <s v="Remote"/>
    <n v="47252"/>
    <n v="3784"/>
    <s v="GBP"/>
    <s v="Commission-based"/>
    <x v="4"/>
    <s v="Quebec"/>
    <s v="Montreal"/>
    <n v="1"/>
    <n v="1"/>
    <x v="1"/>
    <x v="3"/>
    <s v="Ramesh"/>
    <n v="1.25"/>
    <n v="59065"/>
    <s v="Normal"/>
  </r>
  <r>
    <x v="0"/>
    <x v="10"/>
    <s v="Sales Executive"/>
    <s v="Junior"/>
    <n v="1368201"/>
    <n v="59189"/>
    <s v="INR"/>
    <s v="Contract"/>
    <x v="0"/>
    <s v="South Holland"/>
    <s v="Rotterdam"/>
    <n v="10"/>
    <n v="9"/>
    <x v="2"/>
    <x v="3"/>
    <s v="Joshua"/>
    <n v="1.2E-2"/>
    <n v="16418.412"/>
    <s v="Normal"/>
  </r>
  <r>
    <x v="4"/>
    <x v="10"/>
    <s v="Teacher"/>
    <s v="Remote"/>
    <n v="563042"/>
    <n v="37620"/>
    <s v="INR"/>
    <s v="Hourly"/>
    <x v="9"/>
    <s v="Wales"/>
    <s v="Cardiff"/>
    <n v="15"/>
    <n v="14"/>
    <x v="3"/>
    <x v="2"/>
    <s v="Ramesh"/>
    <n v="1.2E-2"/>
    <n v="6756.5039999999999"/>
    <s v="Normal"/>
  </r>
  <r>
    <x v="0"/>
    <x v="10"/>
    <s v="Nurse"/>
    <s v="On-site"/>
    <n v="106987"/>
    <n v="3719"/>
    <s v="CAD"/>
    <s v="Fixed salary"/>
    <x v="6"/>
    <s v="Massachusetts"/>
    <s v="Boston"/>
    <n v="15"/>
    <n v="15"/>
    <x v="1"/>
    <x v="3"/>
    <s v="Thomas"/>
    <n v="0.73"/>
    <n v="78100.509999999995"/>
    <s v="Normal"/>
  </r>
  <r>
    <x v="2"/>
    <x v="3"/>
    <s v="S/W Engineer"/>
    <s v="Senior"/>
    <n v="72350"/>
    <n v="742"/>
    <s v="CAD"/>
    <s v="Hourly"/>
    <x v="3"/>
    <s v="Queensland"/>
    <s v="Brisbane"/>
    <n v="18"/>
    <n v="18"/>
    <x v="2"/>
    <x v="3"/>
    <s v="Emma"/>
    <n v="0.73"/>
    <n v="52815.5"/>
    <s v="Normal"/>
  </r>
  <r>
    <x v="3"/>
    <x v="3"/>
    <s v="Data Scientist"/>
    <s v="Senior"/>
    <n v="27538"/>
    <n v="0"/>
    <s v="EUR"/>
    <s v="Commission-based"/>
    <x v="0"/>
    <s v="North Holland"/>
    <s v="Amsterdam"/>
    <n v="1"/>
    <n v="0"/>
    <x v="3"/>
    <x v="1"/>
    <s v="Amy"/>
    <n v="1.1000000000000001"/>
    <n v="30291.800000000003"/>
    <s v="Normal"/>
  </r>
  <r>
    <x v="2"/>
    <x v="8"/>
    <s v="Nurse"/>
    <s v="Lead"/>
    <n v="64107"/>
    <n v="0"/>
    <s v="CAD"/>
    <s v="Commission-based"/>
    <x v="7"/>
    <s v="Provence-Alpes-Côte d'Azur"/>
    <s v="Nice"/>
    <n v="3"/>
    <n v="3"/>
    <x v="3"/>
    <x v="0"/>
    <s v="Alex"/>
    <n v="0.73"/>
    <n v="46798.11"/>
    <s v="Normal"/>
  </r>
  <r>
    <x v="3"/>
    <x v="10"/>
    <s v="Sales Executive"/>
    <s v="Senior"/>
    <n v="44113"/>
    <n v="101"/>
    <s v="CAD"/>
    <s v="Fixed salary"/>
    <x v="9"/>
    <s v="Wales"/>
    <s v="Cardiff"/>
    <n v="4"/>
    <n v="3"/>
    <x v="5"/>
    <x v="2"/>
    <s v="James"/>
    <n v="0.73"/>
    <n v="32202.489999999998"/>
    <s v="Normal"/>
  </r>
  <r>
    <x v="2"/>
    <x v="4"/>
    <s v="S/W Engineer"/>
    <s v="On-site"/>
    <n v="105296"/>
    <n v="7706"/>
    <s v="USD"/>
    <s v="Commission-based"/>
    <x v="5"/>
    <s v="Delhi"/>
    <s v="New Delhi"/>
    <n v="15"/>
    <n v="15"/>
    <x v="5"/>
    <x v="3"/>
    <s v="Anita"/>
    <n v="1"/>
    <n v="105296"/>
    <s v="Normal"/>
  </r>
  <r>
    <x v="4"/>
    <x v="0"/>
    <s v="Teacher"/>
    <s v="Unknown"/>
    <n v="1036261"/>
    <n v="19136"/>
    <s v="INR"/>
    <s v="Unknown"/>
    <x v="7"/>
    <s v="Provence-Alpes-Côte d'Azur"/>
    <s v="Nice"/>
    <n v="15"/>
    <n v="15"/>
    <x v="1"/>
    <x v="1"/>
    <s v="Jacob"/>
    <n v="1.2E-2"/>
    <n v="12435.132"/>
    <s v="Normal"/>
  </r>
  <r>
    <x v="3"/>
    <x v="9"/>
    <s v="Developer"/>
    <s v="On-site"/>
    <n v="307654"/>
    <n v="45451"/>
    <s v="INR"/>
    <s v="Hourly"/>
    <x v="3"/>
    <s v="Queensland"/>
    <s v="Brisbane"/>
    <n v="1"/>
    <n v="1"/>
    <x v="2"/>
    <x v="3"/>
    <s v="Joseph"/>
    <n v="1.2E-2"/>
    <n v="3691.848"/>
    <s v="Normal"/>
  </r>
  <r>
    <x v="0"/>
    <x v="3"/>
    <s v="System Administrator"/>
    <s v="On-site"/>
    <n v="873934"/>
    <n v="162867"/>
    <s v="INR"/>
    <s v="Fixed salary"/>
    <x v="6"/>
    <s v="New York"/>
    <s v="Buffalo"/>
    <n v="9"/>
    <n v="8"/>
    <x v="5"/>
    <x v="3"/>
    <s v="Stacy"/>
    <n v="1.2E-2"/>
    <n v="10487.208000000001"/>
    <s v="Normal"/>
  </r>
  <r>
    <x v="0"/>
    <x v="9"/>
    <s v="Professor"/>
    <s v="Lead"/>
    <n v="83876"/>
    <n v="1084"/>
    <s v="CAD"/>
    <s v="Commission-based"/>
    <x v="9"/>
    <s v="Northern Ireland"/>
    <s v="Belfast"/>
    <n v="10"/>
    <n v="9"/>
    <x v="1"/>
    <x v="2"/>
    <s v="Morgan"/>
    <n v="0.73"/>
    <n v="61229.479999999996"/>
    <s v="Normal"/>
  </r>
  <r>
    <x v="2"/>
    <x v="8"/>
    <s v="Project Manager"/>
    <s v="Full-time"/>
    <n v="43516"/>
    <n v="4984"/>
    <s v="AUD"/>
    <s v="Unknown"/>
    <x v="8"/>
    <s v="Abu Dhabi"/>
    <s v="Abu Dhabi"/>
    <n v="4"/>
    <n v="2"/>
    <x v="5"/>
    <x v="1"/>
    <s v="Michael"/>
    <n v="0.65"/>
    <n v="28285.4"/>
    <s v="Normal"/>
  </r>
  <r>
    <x v="4"/>
    <x v="0"/>
    <s v="Data Scientist"/>
    <s v="Intern"/>
    <n v="83192"/>
    <n v="10176"/>
    <s v="CAD"/>
    <s v="Contract"/>
    <x v="2"/>
    <s v="Central Region"/>
    <s v="Singapore"/>
    <n v="9"/>
    <n v="9"/>
    <x v="2"/>
    <x v="1"/>
    <s v="Arjun"/>
    <n v="0.73"/>
    <n v="60730.159999999996"/>
    <s v="Normal"/>
  </r>
  <r>
    <x v="4"/>
    <x v="6"/>
    <s v="S/W Engineer"/>
    <s v="Intern"/>
    <n v="97274"/>
    <n v="0"/>
    <s v="USD"/>
    <s v="Hourly"/>
    <x v="9"/>
    <s v="Wales"/>
    <s v="Cardiff"/>
    <n v="20"/>
    <n v="19"/>
    <x v="1"/>
    <x v="2"/>
    <s v="Noah"/>
    <n v="1"/>
    <n v="97274"/>
    <s v="Normal"/>
  </r>
  <r>
    <x v="2"/>
    <x v="2"/>
    <s v="HR Manager"/>
    <s v="Senior"/>
    <n v="77766"/>
    <n v="17653"/>
    <s v="CAD"/>
    <s v="Hourly"/>
    <x v="5"/>
    <s v="Maharashtra"/>
    <s v="Mumbai"/>
    <n v="4"/>
    <n v="4"/>
    <x v="3"/>
    <x v="0"/>
    <s v="Liam"/>
    <n v="0.73"/>
    <n v="56769.18"/>
    <s v="Normal"/>
  </r>
  <r>
    <x v="4"/>
    <x v="10"/>
    <s v="Doctor"/>
    <s v="Senior"/>
    <n v="103236"/>
    <n v="0"/>
    <s v="AUD"/>
    <s v="Commission-based"/>
    <x v="2"/>
    <s v="Central Region"/>
    <s v="Singapore"/>
    <n v="10"/>
    <n v="8"/>
    <x v="1"/>
    <x v="1"/>
    <s v="Adam"/>
    <n v="0.65"/>
    <n v="67103.400000000009"/>
    <s v="Normal"/>
  </r>
  <r>
    <x v="3"/>
    <x v="6"/>
    <s v="Doctor"/>
    <s v="Lead"/>
    <n v="1539582"/>
    <n v="65597"/>
    <s v="INR"/>
    <s v="Unknown"/>
    <x v="5"/>
    <s v="Delhi"/>
    <s v="New Delhi"/>
    <n v="1"/>
    <n v="0"/>
    <x v="1"/>
    <x v="3"/>
    <s v="Melanie"/>
    <n v="1.2E-2"/>
    <n v="18474.984"/>
    <s v="Normal"/>
  </r>
  <r>
    <x v="4"/>
    <x v="6"/>
    <s v="Teacher"/>
    <s v="Senior"/>
    <n v="43669"/>
    <n v="722"/>
    <s v="CAD"/>
    <s v="Fixed salary"/>
    <x v="0"/>
    <s v="North Holland"/>
    <s v="Amsterdam"/>
    <n v="12"/>
    <n v="10"/>
    <x v="5"/>
    <x v="1"/>
    <s v="Raj"/>
    <n v="0.73"/>
    <n v="31878.37"/>
    <s v="Normal"/>
  </r>
  <r>
    <x v="2"/>
    <x v="3"/>
    <s v="Software Engineer"/>
    <s v="Part-time"/>
    <n v="85090"/>
    <n v="4032"/>
    <s v="GBP"/>
    <s v="Hourly"/>
    <x v="2"/>
    <s v="Central Region"/>
    <s v="Singapore"/>
    <n v="10"/>
    <n v="10"/>
    <x v="1"/>
    <x v="0"/>
    <s v="Jennifer"/>
    <n v="1.25"/>
    <n v="106362.5"/>
    <s v="Normal"/>
  </r>
  <r>
    <x v="3"/>
    <x v="11"/>
    <s v="Product Manager"/>
    <s v="Part-time"/>
    <n v="141303"/>
    <n v="90"/>
    <s v="AUD"/>
    <s v="Contract"/>
    <x v="1"/>
    <s v="Bavaria"/>
    <s v="Munich"/>
    <n v="5"/>
    <n v="4"/>
    <x v="5"/>
    <x v="3"/>
    <s v="Sharon"/>
    <n v="0.65"/>
    <n v="91846.95"/>
    <s v="Normal"/>
  </r>
  <r>
    <x v="2"/>
    <x v="7"/>
    <s v="Unknown"/>
    <s v="Junior"/>
    <n v="0"/>
    <n v="0"/>
    <s v="EUR"/>
    <s v="Commission-based"/>
    <x v="8"/>
    <s v="Abu Dhabi"/>
    <s v="Unknown"/>
    <n v="0"/>
    <n v="2"/>
    <x v="1"/>
    <x v="4"/>
    <s v="Thomas"/>
    <n v="1.1000000000000001"/>
    <n v="0"/>
    <s v="Normal"/>
  </r>
  <r>
    <x v="2"/>
    <x v="7"/>
    <s v="Unknown"/>
    <s v="Unknown"/>
    <n v="0"/>
    <n v="3198"/>
    <s v="EUR"/>
    <s v="Contract"/>
    <x v="7"/>
    <s v="Île-de-France"/>
    <s v="Unknown"/>
    <n v="0"/>
    <n v="1"/>
    <x v="4"/>
    <x v="4"/>
    <s v="Arjun"/>
    <n v="1.1000000000000001"/>
    <n v="0"/>
    <s v="Normal"/>
  </r>
  <r>
    <x v="2"/>
    <x v="9"/>
    <s v="Sales Executive"/>
    <s v="Junior"/>
    <n v="47696"/>
    <n v="156"/>
    <s v="GBP"/>
    <s v="Hourly"/>
    <x v="4"/>
    <s v="Ontario"/>
    <s v="Ottawa"/>
    <n v="5"/>
    <n v="5"/>
    <x v="0"/>
    <x v="2"/>
    <s v="Priya"/>
    <n v="1.25"/>
    <n v="59620"/>
    <s v="Normal"/>
  </r>
  <r>
    <x v="2"/>
    <x v="1"/>
    <s v="System Administrator"/>
    <s v="Lead"/>
    <n v="1221456"/>
    <n v="59986"/>
    <s v="INR"/>
    <s v="Contract"/>
    <x v="0"/>
    <s v="South Holland"/>
    <s v="Rotterdam"/>
    <n v="9"/>
    <n v="9"/>
    <x v="1"/>
    <x v="1"/>
    <s v="Maxwell"/>
    <n v="1.2E-2"/>
    <n v="14657.472"/>
    <s v="Normal"/>
  </r>
  <r>
    <x v="2"/>
    <x v="4"/>
    <s v="Teacher"/>
    <s v="Remote"/>
    <n v="29260"/>
    <n v="432"/>
    <s v="GBP"/>
    <s v="Unknown"/>
    <x v="2"/>
    <s v="Central Region"/>
    <s v="Singapore"/>
    <n v="25"/>
    <n v="25"/>
    <x v="4"/>
    <x v="0"/>
    <s v="Antonio"/>
    <n v="1.25"/>
    <n v="36575"/>
    <s v="Normal"/>
  </r>
  <r>
    <x v="3"/>
    <x v="4"/>
    <s v="Accountant"/>
    <s v="Full-time"/>
    <n v="78469"/>
    <n v="4772"/>
    <s v="AUD"/>
    <s v="Contract"/>
    <x v="5"/>
    <s v="Karnataka"/>
    <s v="Bengaluru"/>
    <n v="6"/>
    <n v="4"/>
    <x v="1"/>
    <x v="3"/>
    <s v="Ramesh"/>
    <n v="0.65"/>
    <n v="51004.85"/>
    <s v="Normal"/>
  </r>
  <r>
    <x v="2"/>
    <x v="9"/>
    <s v="Accountant"/>
    <s v="Remote"/>
    <n v="121666"/>
    <n v="0"/>
    <s v="USD"/>
    <s v="Fixed salary"/>
    <x v="2"/>
    <s v="Central Region"/>
    <s v="Singapore"/>
    <n v="4"/>
    <n v="4"/>
    <x v="4"/>
    <x v="1"/>
    <s v="Nicholas"/>
    <n v="1"/>
    <n v="121666"/>
    <s v="Normal"/>
  </r>
  <r>
    <x v="3"/>
    <x v="1"/>
    <s v="Developer"/>
    <s v="Intern"/>
    <n v="88730"/>
    <n v="13771"/>
    <s v="GBP"/>
    <s v="Unknown"/>
    <x v="6"/>
    <s v="New York"/>
    <s v="Buffalo"/>
    <n v="4"/>
    <n v="2"/>
    <x v="2"/>
    <x v="2"/>
    <s v="Brittany"/>
    <n v="1.25"/>
    <n v="110912.5"/>
    <s v="Normal"/>
  </r>
  <r>
    <x v="1"/>
    <x v="1"/>
    <s v="Business Analyst"/>
    <s v="Part-time"/>
    <n v="49938"/>
    <n v="617"/>
    <s v="GBP"/>
    <s v="Fixed salary"/>
    <x v="0"/>
    <s v="North Holland"/>
    <s v="Amsterdam"/>
    <n v="0"/>
    <n v="0"/>
    <x v="4"/>
    <x v="2"/>
    <s v="Samantha"/>
    <n v="1.25"/>
    <n v="62422.5"/>
    <s v="Normal"/>
  </r>
  <r>
    <x v="0"/>
    <x v="3"/>
    <s v="S/W Engineer"/>
    <s v="Contract"/>
    <n v="24418"/>
    <n v="2665"/>
    <s v="EUR"/>
    <s v="Fixed salary"/>
    <x v="2"/>
    <s v="Central Region"/>
    <s v="Singapore"/>
    <n v="10"/>
    <n v="9"/>
    <x v="2"/>
    <x v="0"/>
    <s v="Alyssa"/>
    <n v="1.1000000000000001"/>
    <n v="26859.800000000003"/>
    <s v="Normal"/>
  </r>
  <r>
    <x v="0"/>
    <x v="11"/>
    <s v="Doctor"/>
    <s v="Lead"/>
    <n v="93863"/>
    <n v="0"/>
    <s v="CAD"/>
    <s v="Commission-based"/>
    <x v="3"/>
    <s v="New South Wales"/>
    <s v="Sydney"/>
    <n v="20"/>
    <n v="20"/>
    <x v="1"/>
    <x v="1"/>
    <s v="Sharon"/>
    <n v="0.73"/>
    <n v="68519.990000000005"/>
    <s v="Normal"/>
  </r>
  <r>
    <x v="4"/>
    <x v="9"/>
    <s v="System Administrator"/>
    <s v="Intern"/>
    <n v="73199"/>
    <n v="0"/>
    <s v="AUD"/>
    <s v="Unknown"/>
    <x v="3"/>
    <s v="Victoria"/>
    <s v="Melbourne"/>
    <n v="10"/>
    <n v="8"/>
    <x v="5"/>
    <x v="0"/>
    <s v="Tracy"/>
    <n v="0.65"/>
    <n v="47579.35"/>
    <s v="Normal"/>
  </r>
  <r>
    <x v="3"/>
    <x v="1"/>
    <s v="Data Scientist"/>
    <s v="Full-time"/>
    <n v="81061"/>
    <n v="1237"/>
    <s v="USD"/>
    <s v="Contract"/>
    <x v="9"/>
    <s v="Wales"/>
    <s v="Cardiff"/>
    <n v="5"/>
    <n v="5"/>
    <x v="3"/>
    <x v="2"/>
    <s v="Dennis"/>
    <n v="1"/>
    <n v="81061"/>
    <s v="Normal"/>
  </r>
  <r>
    <x v="3"/>
    <x v="3"/>
    <s v="Business Analyst"/>
    <s v="Intern"/>
    <n v="83983"/>
    <n v="4621"/>
    <s v="GBP"/>
    <s v="Contract"/>
    <x v="9"/>
    <s v="Northern Ireland"/>
    <s v="Belfast"/>
    <n v="3"/>
    <n v="2"/>
    <x v="2"/>
    <x v="1"/>
    <s v="John"/>
    <n v="1.25"/>
    <n v="104978.75"/>
    <s v="Normal"/>
  </r>
  <r>
    <x v="3"/>
    <x v="7"/>
    <s v="Unknown"/>
    <s v="Full-time"/>
    <n v="0"/>
    <n v="165208"/>
    <s v="INR"/>
    <s v="Fixed salary"/>
    <x v="8"/>
    <s v="Abu Dhabi"/>
    <s v="Unknown"/>
    <n v="0"/>
    <n v="5"/>
    <x v="3"/>
    <x v="4"/>
    <s v="Richard"/>
    <n v="1.2E-2"/>
    <n v="0"/>
    <s v="Normal"/>
  </r>
  <r>
    <x v="4"/>
    <x v="10"/>
    <s v="Software Engineer"/>
    <s v="Contract"/>
    <n v="59986"/>
    <n v="8094"/>
    <s v="GBP"/>
    <s v="Hourly"/>
    <x v="7"/>
    <s v="Provence-Alpes-Côte d'Azur"/>
    <s v="Nice"/>
    <n v="8"/>
    <n v="8"/>
    <x v="1"/>
    <x v="0"/>
    <s v="Kavya"/>
    <n v="1.25"/>
    <n v="74982.5"/>
    <s v="Normal"/>
  </r>
  <r>
    <x v="0"/>
    <x v="0"/>
    <s v="Teacher"/>
    <s v="Remote"/>
    <n v="57638"/>
    <n v="1605"/>
    <s v="GBP"/>
    <s v="Unknown"/>
    <x v="3"/>
    <s v="Victoria"/>
    <s v="Melbourne"/>
    <n v="15"/>
    <n v="15"/>
    <x v="4"/>
    <x v="1"/>
    <s v="Sneha"/>
    <n v="1.25"/>
    <n v="72047.5"/>
    <s v="Normal"/>
  </r>
  <r>
    <x v="3"/>
    <x v="2"/>
    <s v="HR Manager"/>
    <s v="Contract"/>
    <n v="914346"/>
    <n v="6861"/>
    <s v="INR"/>
    <s v="Contract"/>
    <x v="7"/>
    <s v="Île-de-France"/>
    <s v="Paris"/>
    <n v="3"/>
    <n v="0"/>
    <x v="4"/>
    <x v="2"/>
    <s v="William"/>
    <n v="1.2E-2"/>
    <n v="10972.152"/>
    <s v="Normal"/>
  </r>
  <r>
    <x v="3"/>
    <x v="7"/>
    <s v="Unknown"/>
    <s v="On-site"/>
    <n v="0"/>
    <n v="12468"/>
    <s v="CAD"/>
    <s v="Unknown"/>
    <x v="1"/>
    <s v="Berlin"/>
    <s v="Unknown"/>
    <n v="0"/>
    <n v="0"/>
    <x v="0"/>
    <x v="4"/>
    <s v="Kyle"/>
    <n v="0.73"/>
    <n v="0"/>
    <s v="Normal"/>
  </r>
  <r>
    <x v="3"/>
    <x v="6"/>
    <s v="Business Analyst"/>
    <s v="Part-time"/>
    <n v="88470"/>
    <n v="0"/>
    <s v="AUD"/>
    <s v="Fixed salary"/>
    <x v="8"/>
    <s v="Dubai"/>
    <s v="Dubai"/>
    <n v="0"/>
    <n v="0"/>
    <x v="5"/>
    <x v="0"/>
    <s v="Wayne"/>
    <n v="0.65"/>
    <n v="57505.5"/>
    <s v="Normal"/>
  </r>
  <r>
    <x v="3"/>
    <x v="3"/>
    <s v="Business Analyst"/>
    <s v="Full-time"/>
    <n v="36108"/>
    <n v="5099"/>
    <s v="EUR"/>
    <s v="Contract"/>
    <x v="7"/>
    <s v="Île-de-France"/>
    <s v="Paris"/>
    <n v="3"/>
    <n v="3"/>
    <x v="2"/>
    <x v="1"/>
    <s v="Sarah"/>
    <n v="1.1000000000000001"/>
    <n v="39718.800000000003"/>
    <s v="Normal"/>
  </r>
  <r>
    <x v="2"/>
    <x v="9"/>
    <s v="Nurse"/>
    <s v="On-site"/>
    <n v="127251"/>
    <n v="2993"/>
    <s v="USD"/>
    <s v="Unknown"/>
    <x v="4"/>
    <s v="British Columbia"/>
    <s v="Vancouver"/>
    <n v="20"/>
    <n v="20"/>
    <x v="3"/>
    <x v="2"/>
    <s v="Mark"/>
    <n v="1"/>
    <n v="127251"/>
    <s v="Normal"/>
  </r>
  <r>
    <x v="3"/>
    <x v="3"/>
    <s v="Professor"/>
    <s v="Contract"/>
    <n v="103504"/>
    <n v="19416"/>
    <s v="USD"/>
    <s v="Commission-based"/>
    <x v="6"/>
    <s v="New York"/>
    <s v="New York City"/>
    <n v="0"/>
    <n v="0"/>
    <x v="5"/>
    <x v="0"/>
    <s v="Steven"/>
    <n v="1"/>
    <n v="103504"/>
    <s v="Normal"/>
  </r>
  <r>
    <x v="3"/>
    <x v="10"/>
    <s v="QA Engineer"/>
    <s v="Lead"/>
    <n v="844369"/>
    <n v="44286"/>
    <s v="INR"/>
    <s v="Fixed salary"/>
    <x v="6"/>
    <s v="Washington"/>
    <s v="Seattle"/>
    <n v="7"/>
    <n v="7"/>
    <x v="1"/>
    <x v="1"/>
    <s v="Jonathan"/>
    <n v="1.2E-2"/>
    <n v="10132.428"/>
    <s v="Normal"/>
  </r>
  <r>
    <x v="4"/>
    <x v="9"/>
    <s v="HR Manager"/>
    <s v="Part-time"/>
    <n v="78925"/>
    <n v="712"/>
    <s v="CAD"/>
    <s v="Fixed salary"/>
    <x v="0"/>
    <s v="North Holland"/>
    <s v="Amsterdam"/>
    <n v="15"/>
    <n v="15"/>
    <x v="3"/>
    <x v="3"/>
    <s v="Dennis"/>
    <n v="0.73"/>
    <n v="57615.25"/>
    <s v="Normal"/>
  </r>
  <r>
    <x v="0"/>
    <x v="6"/>
    <s v="Project Manager"/>
    <s v="Unknown"/>
    <n v="100188"/>
    <n v="1228"/>
    <s v="EUR"/>
    <s v="Contract"/>
    <x v="5"/>
    <s v="Tamil Nadu"/>
    <s v="Madurai"/>
    <n v="20"/>
    <n v="20"/>
    <x v="3"/>
    <x v="0"/>
    <s v="Darren"/>
    <n v="1.1000000000000001"/>
    <n v="110206.8"/>
    <s v="Normal"/>
  </r>
  <r>
    <x v="2"/>
    <x v="6"/>
    <s v="Product Manager"/>
    <s v="Full-time"/>
    <n v="25644"/>
    <n v="717"/>
    <s v="EUR"/>
    <s v="Commission-based"/>
    <x v="0"/>
    <s v="South Holland"/>
    <s v="Rotterdam"/>
    <n v="8"/>
    <n v="6"/>
    <x v="3"/>
    <x v="1"/>
    <s v="Ramesh"/>
    <n v="1.1000000000000001"/>
    <n v="28208.400000000001"/>
    <s v="Normal"/>
  </r>
  <r>
    <x v="0"/>
    <x v="8"/>
    <s v="Teacher"/>
    <s v="Junior"/>
    <n v="74289"/>
    <n v="0"/>
    <s v="CAD"/>
    <s v="Commission-based"/>
    <x v="2"/>
    <s v="Central Region"/>
    <s v="Singapore"/>
    <n v="8"/>
    <n v="8"/>
    <x v="0"/>
    <x v="0"/>
    <s v="Samantha"/>
    <n v="0.73"/>
    <n v="54230.97"/>
    <s v="Normal"/>
  </r>
  <r>
    <x v="0"/>
    <x v="6"/>
    <s v="Teacher"/>
    <s v="Lead"/>
    <n v="86746"/>
    <n v="3939"/>
    <s v="AUD"/>
    <s v="Unknown"/>
    <x v="2"/>
    <s v="Central Region"/>
    <s v="Singapore"/>
    <n v="18"/>
    <n v="16"/>
    <x v="0"/>
    <x v="1"/>
    <s v="Ramesh"/>
    <n v="0.65"/>
    <n v="56384.9"/>
    <s v="Normal"/>
  </r>
  <r>
    <x v="2"/>
    <x v="2"/>
    <s v="Developer"/>
    <s v="Unknown"/>
    <n v="97333"/>
    <n v="14508"/>
    <s v="USD"/>
    <s v="Contract"/>
    <x v="9"/>
    <s v="England"/>
    <s v="Manchester"/>
    <n v="5"/>
    <n v="2"/>
    <x v="3"/>
    <x v="1"/>
    <s v="Sarah"/>
    <n v="1"/>
    <n v="97333"/>
    <s v="Normal"/>
  </r>
  <r>
    <x v="0"/>
    <x v="0"/>
    <s v="Doctor"/>
    <s v="Senior"/>
    <n v="104164"/>
    <n v="23399"/>
    <s v="GBP"/>
    <s v="Fixed salary"/>
    <x v="2"/>
    <s v="Central Region"/>
    <s v="Singapore"/>
    <n v="10"/>
    <n v="10"/>
    <x v="2"/>
    <x v="2"/>
    <s v="Laurie"/>
    <n v="1.25"/>
    <n v="130205"/>
    <s v="Normal"/>
  </r>
  <r>
    <x v="2"/>
    <x v="3"/>
    <s v="Professor"/>
    <s v="Part-time"/>
    <n v="654555"/>
    <n v="2880"/>
    <s v="INR"/>
    <s v="Unknown"/>
    <x v="5"/>
    <s v="Tamil Nadu"/>
    <s v="Coimbatore"/>
    <n v="12"/>
    <n v="10"/>
    <x v="1"/>
    <x v="3"/>
    <s v="Dustin"/>
    <n v="1.2E-2"/>
    <n v="7854.66"/>
    <s v="Normal"/>
  </r>
  <r>
    <x v="1"/>
    <x v="3"/>
    <s v="DevOps Engineer"/>
    <s v="Unknown"/>
    <n v="1006019"/>
    <n v="40458"/>
    <s v="INR"/>
    <s v="Fixed salary"/>
    <x v="6"/>
    <s v="Massachusetts"/>
    <s v="Boston"/>
    <n v="1"/>
    <n v="0"/>
    <x v="0"/>
    <x v="0"/>
    <s v="Connie"/>
    <n v="1.2E-2"/>
    <n v="12072.228000000001"/>
    <s v="Normal"/>
  </r>
  <r>
    <x v="3"/>
    <x v="4"/>
    <s v="Doctor"/>
    <s v="Senior"/>
    <n v="18694"/>
    <n v="3123"/>
    <s v="EUR"/>
    <s v="Hourly"/>
    <x v="0"/>
    <s v="North Holland"/>
    <s v="Amsterdam"/>
    <n v="7"/>
    <n v="4"/>
    <x v="1"/>
    <x v="3"/>
    <s v="Sneha"/>
    <n v="1.1000000000000001"/>
    <n v="20563.400000000001"/>
    <s v="Normal"/>
  </r>
  <r>
    <x v="2"/>
    <x v="8"/>
    <s v="Developer"/>
    <s v="Lead"/>
    <n v="72142"/>
    <n v="0"/>
    <s v="USD"/>
    <s v="Fixed salary"/>
    <x v="3"/>
    <s v="Queensland"/>
    <s v="Brisbane"/>
    <n v="15"/>
    <n v="15"/>
    <x v="1"/>
    <x v="0"/>
    <s v="Scott"/>
    <n v="1"/>
    <n v="72142"/>
    <s v="Normal"/>
  </r>
  <r>
    <x v="3"/>
    <x v="5"/>
    <s v="Accountant"/>
    <s v="Lead"/>
    <n v="60713"/>
    <n v="2891"/>
    <s v="EUR"/>
    <s v="Contract"/>
    <x v="4"/>
    <s v="Quebec"/>
    <s v="Montreal"/>
    <n v="0"/>
    <n v="0"/>
    <x v="5"/>
    <x v="0"/>
    <s v="Alyssa"/>
    <n v="1.1000000000000001"/>
    <n v="66784.3"/>
    <s v="Normal"/>
  </r>
  <r>
    <x v="4"/>
    <x v="4"/>
    <s v="Doctor"/>
    <s v="Remote"/>
    <n v="92403"/>
    <n v="24578"/>
    <s v="CAD"/>
    <s v="Contract"/>
    <x v="7"/>
    <s v="Île-de-France"/>
    <s v="Paris"/>
    <n v="9"/>
    <n v="6"/>
    <x v="1"/>
    <x v="3"/>
    <s v="Kavya"/>
    <n v="0.73"/>
    <n v="67454.19"/>
    <s v="Normal"/>
  </r>
  <r>
    <x v="1"/>
    <x v="2"/>
    <s v="Professor"/>
    <s v="Junior"/>
    <n v="92862"/>
    <n v="9109"/>
    <s v="USD"/>
    <s v="Fixed salary"/>
    <x v="4"/>
    <s v="Ontario"/>
    <s v="Toronto"/>
    <n v="0"/>
    <n v="0"/>
    <x v="0"/>
    <x v="1"/>
    <s v="Sneha"/>
    <n v="1"/>
    <n v="92862"/>
    <s v="Normal"/>
  </r>
  <r>
    <x v="2"/>
    <x v="11"/>
    <s v="Data Scientist"/>
    <s v="On-site"/>
    <n v="73756"/>
    <n v="5957"/>
    <s v="CAD"/>
    <s v="Hourly"/>
    <x v="1"/>
    <s v="Hesse"/>
    <s v="Frankfurt"/>
    <n v="18"/>
    <n v="18"/>
    <x v="4"/>
    <x v="1"/>
    <s v="Emma"/>
    <n v="0.73"/>
    <n v="53841.88"/>
    <s v="Normal"/>
  </r>
  <r>
    <x v="2"/>
    <x v="3"/>
    <s v="Teacher"/>
    <s v="Senior"/>
    <n v="979083"/>
    <n v="30548"/>
    <s v="INR"/>
    <s v="Fixed salary"/>
    <x v="0"/>
    <s v="South Holland"/>
    <s v="Rotterdam"/>
    <n v="15"/>
    <n v="15"/>
    <x v="1"/>
    <x v="1"/>
    <s v="Jessica"/>
    <n v="1.2E-2"/>
    <n v="11748.996000000001"/>
    <s v="Normal"/>
  </r>
  <r>
    <x v="0"/>
    <x v="3"/>
    <s v="Business Analyst"/>
    <s v="Lead"/>
    <n v="82274"/>
    <n v="13288"/>
    <s v="CAD"/>
    <s v="Commission-based"/>
    <x v="7"/>
    <s v="Île-de-France"/>
    <s v="Paris"/>
    <n v="8"/>
    <n v="8"/>
    <x v="1"/>
    <x v="0"/>
    <s v="Margaret"/>
    <n v="0.73"/>
    <n v="60060.02"/>
    <s v="Normal"/>
  </r>
  <r>
    <x v="1"/>
    <x v="7"/>
    <s v="Unknown"/>
    <s v="Lead"/>
    <n v="0"/>
    <n v="6176"/>
    <s v="CAD"/>
    <s v="Unknown"/>
    <x v="4"/>
    <s v="Ontario"/>
    <s v="Unknown"/>
    <n v="0"/>
    <n v="0"/>
    <x v="1"/>
    <x v="4"/>
    <s v="Cheryl"/>
    <n v="0.73"/>
    <n v="0"/>
    <s v="Normal"/>
  </r>
  <r>
    <x v="2"/>
    <x v="6"/>
    <s v="Teacher"/>
    <s v="Intern"/>
    <n v="99798"/>
    <n v="15148"/>
    <s v="USD"/>
    <s v="Unknown"/>
    <x v="0"/>
    <s v="South Holland"/>
    <s v="Rotterdam"/>
    <n v="5"/>
    <n v="5"/>
    <x v="3"/>
    <x v="1"/>
    <s v="Karen"/>
    <n v="1"/>
    <n v="99798"/>
    <s v="Normal"/>
  </r>
  <r>
    <x v="2"/>
    <x v="6"/>
    <s v="Data Scientist"/>
    <s v="Part-time"/>
    <n v="608330"/>
    <n v="61835"/>
    <s v="INR"/>
    <s v="Fixed salary"/>
    <x v="0"/>
    <s v="North Holland"/>
    <s v="Amsterdam"/>
    <n v="4"/>
    <n v="4"/>
    <x v="0"/>
    <x v="0"/>
    <s v="Allison"/>
    <n v="1.2E-2"/>
    <n v="7299.96"/>
    <s v="Normal"/>
  </r>
  <r>
    <x v="3"/>
    <x v="10"/>
    <s v="S/W Engineer"/>
    <s v="Lead"/>
    <n v="71158"/>
    <n v="2045"/>
    <s v="USD"/>
    <s v="Contract"/>
    <x v="5"/>
    <s v="Karnataka"/>
    <s v="Bengaluru"/>
    <n v="1"/>
    <n v="0"/>
    <x v="1"/>
    <x v="2"/>
    <s v="Shawn"/>
    <n v="1"/>
    <n v="71158"/>
    <s v="Normal"/>
  </r>
  <r>
    <x v="2"/>
    <x v="8"/>
    <s v="Product Manager"/>
    <s v="Lead"/>
    <n v="122819"/>
    <n v="8839"/>
    <s v="USD"/>
    <s v="Hourly"/>
    <x v="8"/>
    <s v="Abu Dhabi"/>
    <s v="Abu Dhabi"/>
    <n v="8"/>
    <n v="6"/>
    <x v="0"/>
    <x v="3"/>
    <s v="ijphn"/>
    <n v="1"/>
    <n v="122819"/>
    <s v="Normal"/>
  </r>
  <r>
    <x v="4"/>
    <x v="1"/>
    <s v="Developer"/>
    <s v="Intern"/>
    <n v="761314"/>
    <n v="0"/>
    <s v="INR"/>
    <s v="Unknown"/>
    <x v="8"/>
    <s v="Abu Dhabi"/>
    <s v="Abu Dhabi"/>
    <n v="8"/>
    <n v="6"/>
    <x v="4"/>
    <x v="0"/>
    <s v="Kelsey"/>
    <n v="1.2E-2"/>
    <n v="9135.768"/>
    <s v="Normal"/>
  </r>
  <r>
    <x v="4"/>
    <x v="3"/>
    <s v="HR Manager"/>
    <s v="Part-time"/>
    <n v="107725"/>
    <n v="4500"/>
    <s v="AUD"/>
    <s v="Hourly"/>
    <x v="4"/>
    <s v="British Columbia"/>
    <s v="Vancouver"/>
    <n v="8"/>
    <n v="5"/>
    <x v="4"/>
    <x v="2"/>
    <s v="Christina"/>
    <n v="0.65"/>
    <n v="70021.25"/>
    <s v="Normal"/>
  </r>
  <r>
    <x v="3"/>
    <x v="2"/>
    <s v="Product Manager"/>
    <s v="Unknown"/>
    <n v="109147"/>
    <n v="1830"/>
    <s v="CAD"/>
    <s v="Contract"/>
    <x v="6"/>
    <s v="Massachusetts"/>
    <s v="Boston"/>
    <n v="3"/>
    <n v="3"/>
    <x v="0"/>
    <x v="1"/>
    <s v="Kevin"/>
    <n v="0.73"/>
    <n v="79677.31"/>
    <s v="Normal"/>
  </r>
  <r>
    <x v="3"/>
    <x v="3"/>
    <s v="Developer"/>
    <s v="Senior"/>
    <n v="103239"/>
    <n v="15303"/>
    <s v="CAD"/>
    <s v="Commission-based"/>
    <x v="1"/>
    <s v="Bavaria"/>
    <s v="Munich"/>
    <n v="2"/>
    <n v="0"/>
    <x v="1"/>
    <x v="3"/>
    <s v="Robert"/>
    <n v="0.73"/>
    <n v="75364.47"/>
    <s v="Normal"/>
  </r>
  <r>
    <x v="3"/>
    <x v="9"/>
    <s v="Business Analyst"/>
    <s v="Lead"/>
    <n v="85331"/>
    <n v="3949"/>
    <s v="CAD"/>
    <s v="Fixed salary"/>
    <x v="8"/>
    <s v="Dubai"/>
    <s v="Dubai"/>
    <n v="7"/>
    <n v="6"/>
    <x v="3"/>
    <x v="0"/>
    <s v="Robert"/>
    <n v="0.73"/>
    <n v="62291.63"/>
    <s v="Normal"/>
  </r>
  <r>
    <x v="0"/>
    <x v="2"/>
    <s v="Doctor"/>
    <s v="Contract"/>
    <n v="1049139"/>
    <n v="0"/>
    <s v="INR"/>
    <s v="Contract"/>
    <x v="8"/>
    <s v="Abu Dhabi"/>
    <s v="Abu Dhabi"/>
    <n v="9"/>
    <n v="6"/>
    <x v="4"/>
    <x v="3"/>
    <s v="Rachael"/>
    <n v="1.2E-2"/>
    <n v="12589.668"/>
    <s v="Normal"/>
  </r>
  <r>
    <x v="1"/>
    <x v="5"/>
    <s v="S/W Engineer"/>
    <s v="Remote"/>
    <n v="77895"/>
    <n v="25"/>
    <s v="CAD"/>
    <s v="Contract"/>
    <x v="2"/>
    <s v="Central Region"/>
    <s v="Singapore"/>
    <n v="0"/>
    <n v="0"/>
    <x v="4"/>
    <x v="2"/>
    <s v="Judith"/>
    <n v="0.73"/>
    <n v="56863.35"/>
    <s v="Normal"/>
  </r>
  <r>
    <x v="3"/>
    <x v="10"/>
    <s v="Developer"/>
    <s v="Unknown"/>
    <n v="123124"/>
    <n v="9454"/>
    <s v="EUR"/>
    <s v="Commission-based"/>
    <x v="8"/>
    <s v="Abu Dhabi"/>
    <s v="Abu Dhabi"/>
    <n v="0"/>
    <n v="0"/>
    <x v="0"/>
    <x v="3"/>
    <s v="Emma"/>
    <n v="1.1000000000000001"/>
    <n v="135436.40000000002"/>
    <s v="Normal"/>
  </r>
  <r>
    <x v="3"/>
    <x v="10"/>
    <s v="Developer"/>
    <s v="Part-time"/>
    <n v="76103"/>
    <n v="15009"/>
    <s v="EUR"/>
    <s v="Unknown"/>
    <x v="6"/>
    <s v="Texas"/>
    <s v="Dallas"/>
    <n v="2"/>
    <n v="1"/>
    <x v="2"/>
    <x v="3"/>
    <s v="John"/>
    <n v="1.1000000000000001"/>
    <n v="83713.3"/>
    <s v="Normal"/>
  </r>
  <r>
    <x v="2"/>
    <x v="11"/>
    <s v="Accountant"/>
    <s v="Remote"/>
    <n v="104157"/>
    <n v="548"/>
    <s v="AUD"/>
    <s v="Hourly"/>
    <x v="3"/>
    <s v="Queensland"/>
    <s v="Brisbane"/>
    <n v="6"/>
    <n v="6"/>
    <x v="5"/>
    <x v="1"/>
    <s v="Travis"/>
    <n v="0.65"/>
    <n v="67702.05"/>
    <s v="Normal"/>
  </r>
  <r>
    <x v="3"/>
    <x v="9"/>
    <s v="Teacher"/>
    <s v="Remote"/>
    <n v="74393"/>
    <n v="3512"/>
    <s v="CAD"/>
    <s v="Fixed salary"/>
    <x v="3"/>
    <s v="Queensland"/>
    <s v="Brisbane"/>
    <n v="6"/>
    <n v="6"/>
    <x v="2"/>
    <x v="2"/>
    <s v="ijphn"/>
    <n v="0.73"/>
    <n v="54306.89"/>
    <s v="Normal"/>
  </r>
  <r>
    <x v="3"/>
    <x v="10"/>
    <s v="Business Analyst"/>
    <s v="Remote"/>
    <n v="102177"/>
    <n v="12138"/>
    <s v="AUD"/>
    <s v="Hourly"/>
    <x v="0"/>
    <s v="North Holland"/>
    <s v="Amsterdam"/>
    <n v="1"/>
    <n v="1"/>
    <x v="5"/>
    <x v="0"/>
    <s v="Brandon"/>
    <n v="0.65"/>
    <n v="66415.05"/>
    <s v="Normal"/>
  </r>
  <r>
    <x v="0"/>
    <x v="3"/>
    <s v="Developer"/>
    <s v="Part-time"/>
    <n v="49708"/>
    <n v="7893"/>
    <s v="EUR"/>
    <s v="Fixed salary"/>
    <x v="7"/>
    <s v="Île-de-France"/>
    <s v="Paris"/>
    <n v="25"/>
    <n v="25"/>
    <x v="0"/>
    <x v="1"/>
    <s v="Tanya"/>
    <n v="1.1000000000000001"/>
    <n v="54678.8"/>
    <s v="Normal"/>
  </r>
  <r>
    <x v="2"/>
    <x v="3"/>
    <s v="Sales Executive"/>
    <s v="Unknown"/>
    <n v="12436"/>
    <n v="27"/>
    <s v="EUR"/>
    <s v="Hourly"/>
    <x v="0"/>
    <s v="North Holland"/>
    <s v="Amsterdam"/>
    <n v="6"/>
    <n v="6"/>
    <x v="4"/>
    <x v="2"/>
    <s v="Michael"/>
    <n v="1.1000000000000001"/>
    <n v="13679.6"/>
    <s v="Normal"/>
  </r>
  <r>
    <x v="2"/>
    <x v="8"/>
    <s v="Teacher"/>
    <s v="Senior"/>
    <n v="61566"/>
    <n v="6036"/>
    <s v="EUR"/>
    <s v="Hourly"/>
    <x v="1"/>
    <s v="Bavaria"/>
    <s v="Munich"/>
    <n v="9"/>
    <n v="9"/>
    <x v="4"/>
    <x v="1"/>
    <s v="Alexander"/>
    <n v="1.1000000000000001"/>
    <n v="67722.600000000006"/>
    <s v="Normal"/>
  </r>
  <r>
    <x v="3"/>
    <x v="3"/>
    <s v="Data Analyst"/>
    <s v="Unknown"/>
    <n v="91833"/>
    <n v="1860"/>
    <s v="CAD"/>
    <s v="Hourly"/>
    <x v="0"/>
    <s v="South Holland"/>
    <s v="Rotterdam"/>
    <n v="6"/>
    <n v="4"/>
    <x v="1"/>
    <x v="0"/>
    <s v="Veronica"/>
    <n v="0.73"/>
    <n v="67038.09"/>
    <s v="Normal"/>
  </r>
  <r>
    <x v="0"/>
    <x v="6"/>
    <s v="DevOps Engineer"/>
    <s v="Junior"/>
    <n v="31697"/>
    <n v="1386"/>
    <s v="EUR"/>
    <s v="Hourly"/>
    <x v="7"/>
    <s v="Île-de-France"/>
    <s v="Paris"/>
    <n v="25"/>
    <n v="24"/>
    <x v="0"/>
    <x v="0"/>
    <s v="Andrew"/>
    <n v="1.1000000000000001"/>
    <n v="34866.700000000004"/>
    <s v="Normal"/>
  </r>
  <r>
    <x v="2"/>
    <x v="6"/>
    <s v="S/W Engineer"/>
    <s v="Lead"/>
    <n v="49150"/>
    <n v="4384"/>
    <s v="USD"/>
    <s v="Unknown"/>
    <x v="0"/>
    <s v="South Holland"/>
    <s v="Rotterdam"/>
    <n v="5"/>
    <n v="2"/>
    <x v="1"/>
    <x v="3"/>
    <s v="Robin"/>
    <n v="1"/>
    <n v="49150"/>
    <s v="Normal"/>
  </r>
  <r>
    <x v="3"/>
    <x v="3"/>
    <s v="Doctor"/>
    <s v="On-site"/>
    <n v="85822"/>
    <n v="0"/>
    <s v="CAD"/>
    <s v="Unknown"/>
    <x v="7"/>
    <s v="Île-de-France"/>
    <s v="Paris"/>
    <n v="7"/>
    <n v="6"/>
    <x v="2"/>
    <x v="1"/>
    <s v="Tanya"/>
    <n v="0.73"/>
    <n v="62650.06"/>
    <s v="Normal"/>
  </r>
  <r>
    <x v="2"/>
    <x v="3"/>
    <s v="Data Analyst"/>
    <s v="Part-time"/>
    <n v="1060080"/>
    <n v="0"/>
    <s v="INR"/>
    <s v="Hourly"/>
    <x v="3"/>
    <s v="Victoria"/>
    <s v="Melbourne"/>
    <n v="25"/>
    <n v="25"/>
    <x v="3"/>
    <x v="3"/>
    <s v="Rose"/>
    <n v="1.2E-2"/>
    <n v="12720.960000000001"/>
    <s v="Normal"/>
  </r>
  <r>
    <x v="4"/>
    <x v="7"/>
    <s v="Unknown"/>
    <s v="On-site"/>
    <n v="0"/>
    <n v="1215"/>
    <s v="EUR"/>
    <s v="Hourly"/>
    <x v="2"/>
    <s v="Central Region"/>
    <s v="Unknown"/>
    <n v="0"/>
    <n v="18"/>
    <x v="1"/>
    <x v="4"/>
    <s v="Andrew"/>
    <n v="1.1000000000000001"/>
    <n v="0"/>
    <s v="Normal"/>
  </r>
  <r>
    <x v="2"/>
    <x v="0"/>
    <s v="S/W Engineer"/>
    <s v="Remote"/>
    <n v="110036"/>
    <n v="9513"/>
    <s v="USD"/>
    <s v="Contract"/>
    <x v="7"/>
    <s v="Provence-Alpes-Côte d'Azur"/>
    <s v="Nice"/>
    <n v="2"/>
    <n v="2"/>
    <x v="0"/>
    <x v="3"/>
    <s v="Andrea"/>
    <n v="1"/>
    <n v="110036"/>
    <s v="Normal"/>
  </r>
  <r>
    <x v="3"/>
    <x v="11"/>
    <s v="Doctor"/>
    <s v="Senior"/>
    <n v="88317"/>
    <n v="5223"/>
    <s v="EUR"/>
    <s v="Hourly"/>
    <x v="9"/>
    <s v="Northern Ireland"/>
    <s v="Belfast"/>
    <n v="3"/>
    <n v="0"/>
    <x v="5"/>
    <x v="0"/>
    <s v="Christopher"/>
    <n v="1.1000000000000001"/>
    <n v="97148.700000000012"/>
    <s v="Normal"/>
  </r>
  <r>
    <x v="3"/>
    <x v="5"/>
    <s v="Data Analyst"/>
    <s v="Contract"/>
    <n v="933464"/>
    <n v="119996"/>
    <s v="INR"/>
    <s v="Hourly"/>
    <x v="5"/>
    <s v="Karnataka"/>
    <s v="Bengaluru"/>
    <n v="7"/>
    <n v="5"/>
    <x v="5"/>
    <x v="1"/>
    <s v="Natalie"/>
    <n v="1.2E-2"/>
    <n v="11201.568000000001"/>
    <s v="Normal"/>
  </r>
  <r>
    <x v="2"/>
    <x v="8"/>
    <s v="Nurse"/>
    <s v="Senior"/>
    <n v="149897"/>
    <n v="9576"/>
    <s v="AUD"/>
    <s v="Unknown"/>
    <x v="1"/>
    <s v="Berlin"/>
    <s v="Berlin"/>
    <n v="5"/>
    <n v="2"/>
    <x v="4"/>
    <x v="1"/>
    <s v="Tara"/>
    <n v="0.65"/>
    <n v="97433.05"/>
    <s v="Normal"/>
  </r>
  <r>
    <x v="2"/>
    <x v="11"/>
    <s v="Product Manager"/>
    <s v="Remote"/>
    <n v="810436"/>
    <n v="120013"/>
    <s v="INR"/>
    <s v="Fixed salary"/>
    <x v="6"/>
    <s v="Massachusetts"/>
    <s v="Boston"/>
    <n v="25"/>
    <n v="25"/>
    <x v="1"/>
    <x v="1"/>
    <s v="Desiree"/>
    <n v="1.2E-2"/>
    <n v="9725.232"/>
    <s v="Normal"/>
  </r>
  <r>
    <x v="3"/>
    <x v="6"/>
    <s v="Nurse"/>
    <s v="Junior"/>
    <n v="77117"/>
    <n v="11427"/>
    <s v="USD"/>
    <s v="Unknown"/>
    <x v="4"/>
    <s v="British Columbia"/>
    <s v="Vancouver"/>
    <n v="7"/>
    <n v="7"/>
    <x v="1"/>
    <x v="1"/>
    <s v="Emma"/>
    <n v="1"/>
    <n v="77117"/>
    <s v="Normal"/>
  </r>
  <r>
    <x v="1"/>
    <x v="8"/>
    <s v="Product Manager"/>
    <s v="Remote"/>
    <n v="85892"/>
    <n v="4036"/>
    <s v="AUD"/>
    <s v="Unknown"/>
    <x v="9"/>
    <s v="Wales"/>
    <s v="Cardiff"/>
    <n v="1"/>
    <n v="1"/>
    <x v="3"/>
    <x v="2"/>
    <s v="Duane"/>
    <n v="0.65"/>
    <n v="55829.8"/>
    <s v="Normal"/>
  </r>
  <r>
    <x v="3"/>
    <x v="3"/>
    <s v="System Administrator"/>
    <s v="Senior"/>
    <n v="5000"/>
    <n v="91"/>
    <s v="EUR"/>
    <s v="Unknown"/>
    <x v="2"/>
    <s v="Central Region"/>
    <s v="Singapore"/>
    <n v="7"/>
    <n v="6"/>
    <x v="0"/>
    <x v="3"/>
    <s v="Marco"/>
    <n v="1.1000000000000001"/>
    <n v="5500"/>
    <s v="Normal"/>
  </r>
  <r>
    <x v="2"/>
    <x v="10"/>
    <s v="S/W Engineer"/>
    <s v="Senior"/>
    <n v="1719559"/>
    <n v="50731"/>
    <s v="INR"/>
    <s v="Contract"/>
    <x v="5"/>
    <s v="Delhi"/>
    <s v="New Delhi"/>
    <n v="8"/>
    <n v="8"/>
    <x v="0"/>
    <x v="3"/>
    <s v="Kimberly"/>
    <n v="1.2E-2"/>
    <n v="20634.707999999999"/>
    <s v="Normal"/>
  </r>
  <r>
    <x v="3"/>
    <x v="3"/>
    <s v="Teacher"/>
    <s v="Part-time"/>
    <n v="63904"/>
    <n v="6214"/>
    <s v="AUD"/>
    <s v="Contract"/>
    <x v="1"/>
    <s v="Hesse"/>
    <s v="Frankfurt"/>
    <n v="2"/>
    <n v="2"/>
    <x v="3"/>
    <x v="1"/>
    <s v="Debra"/>
    <n v="0.65"/>
    <n v="41537.599999999999"/>
    <s v="Normal"/>
  </r>
  <r>
    <x v="2"/>
    <x v="2"/>
    <s v="Teacher"/>
    <s v="Intern"/>
    <n v="78214"/>
    <n v="6870"/>
    <s v="CAD"/>
    <s v="Hourly"/>
    <x v="5"/>
    <s v="Karnataka"/>
    <s v="Bengaluru"/>
    <n v="2"/>
    <n v="2"/>
    <x v="2"/>
    <x v="3"/>
    <s v="Bonnie"/>
    <n v="0.73"/>
    <n v="57096.22"/>
    <s v="Normal"/>
  </r>
  <r>
    <x v="3"/>
    <x v="3"/>
    <s v="Nurse"/>
    <s v="Junior"/>
    <n v="49757"/>
    <n v="8815"/>
    <s v="CAD"/>
    <s v="Contract"/>
    <x v="9"/>
    <s v="Wales"/>
    <s v="Cardiff"/>
    <n v="6"/>
    <n v="3"/>
    <x v="0"/>
    <x v="3"/>
    <s v="Sara"/>
    <n v="0.73"/>
    <n v="36322.61"/>
    <s v="Normal"/>
  </r>
  <r>
    <x v="2"/>
    <x v="5"/>
    <s v="DevOps Engineer"/>
    <s v="Lead"/>
    <n v="49875"/>
    <n v="323"/>
    <s v="CAD"/>
    <s v="Hourly"/>
    <x v="2"/>
    <s v="Central Region"/>
    <s v="Singapore"/>
    <n v="10"/>
    <n v="10"/>
    <x v="4"/>
    <x v="1"/>
    <s v="Travis"/>
    <n v="0.73"/>
    <n v="36408.75"/>
    <s v="Normal"/>
  </r>
  <r>
    <x v="0"/>
    <x v="1"/>
    <s v="Data Analyst"/>
    <s v="Lead"/>
    <n v="62018"/>
    <n v="3851"/>
    <s v="CAD"/>
    <s v="Commission-based"/>
    <x v="6"/>
    <s v="California"/>
    <s v="San Jose"/>
    <n v="10"/>
    <n v="10"/>
    <x v="1"/>
    <x v="1"/>
    <s v="ijphn"/>
    <n v="0.73"/>
    <n v="45273.14"/>
    <s v="Normal"/>
  </r>
  <r>
    <x v="4"/>
    <x v="4"/>
    <s v="Data Analyst"/>
    <s v="Intern"/>
    <n v="59685"/>
    <n v="2436"/>
    <s v="CAD"/>
    <s v="Contract"/>
    <x v="6"/>
    <s v="New York"/>
    <s v="New York City"/>
    <n v="25"/>
    <n v="25"/>
    <x v="5"/>
    <x v="1"/>
    <s v="Arjun"/>
    <n v="0.73"/>
    <n v="43570.049999999996"/>
    <s v="Normal"/>
  </r>
  <r>
    <x v="4"/>
    <x v="3"/>
    <s v="Professor"/>
    <s v="Senior"/>
    <n v="54187"/>
    <n v="10137"/>
    <s v="CAD"/>
    <s v="Fixed salary"/>
    <x v="0"/>
    <s v="South Holland"/>
    <s v="Rotterdam"/>
    <n v="15"/>
    <n v="15"/>
    <x v="4"/>
    <x v="3"/>
    <s v="Damon"/>
    <n v="0.73"/>
    <n v="39556.51"/>
    <s v="Normal"/>
  </r>
  <r>
    <x v="2"/>
    <x v="3"/>
    <s v="Sales Executive"/>
    <s v="Full-time"/>
    <n v="1390142"/>
    <n v="18418"/>
    <s v="INR"/>
    <s v="Contract"/>
    <x v="8"/>
    <s v="Dubai"/>
    <s v="Dubai"/>
    <n v="7"/>
    <n v="7"/>
    <x v="4"/>
    <x v="3"/>
    <s v="Donna"/>
    <n v="1.2E-2"/>
    <n v="16681.704000000002"/>
    <s v="Normal"/>
  </r>
  <r>
    <x v="3"/>
    <x v="6"/>
    <s v="Nurse"/>
    <s v="Senior"/>
    <n v="1232312"/>
    <n v="60789"/>
    <s v="INR"/>
    <s v="Fixed salary"/>
    <x v="1"/>
    <s v="Berlin"/>
    <s v="Berlin"/>
    <n v="1"/>
    <n v="0"/>
    <x v="4"/>
    <x v="0"/>
    <s v="Pamela"/>
    <n v="1.2E-2"/>
    <n v="14787.744000000001"/>
    <s v="Normal"/>
  </r>
  <r>
    <x v="0"/>
    <x v="6"/>
    <s v="Sales Executive"/>
    <s v="On-site"/>
    <n v="1182056"/>
    <n v="10993"/>
    <s v="INR"/>
    <s v="Contract"/>
    <x v="3"/>
    <s v="Victoria"/>
    <s v="Melbourne"/>
    <n v="15"/>
    <n v="15"/>
    <x v="0"/>
    <x v="3"/>
    <s v="Gregory"/>
    <n v="1.2E-2"/>
    <n v="14184.672"/>
    <s v="Normal"/>
  </r>
  <r>
    <x v="2"/>
    <x v="5"/>
    <s v="Professor"/>
    <s v="Unknown"/>
    <n v="836704"/>
    <n v="4384"/>
    <s v="INR"/>
    <s v="Hourly"/>
    <x v="5"/>
    <s v="Maharashtra"/>
    <s v="Mumbai"/>
    <n v="18"/>
    <n v="16"/>
    <x v="1"/>
    <x v="3"/>
    <s v="Richard"/>
    <n v="1.2E-2"/>
    <n v="10040.448"/>
    <s v="Normal"/>
  </r>
  <r>
    <x v="0"/>
    <x v="0"/>
    <s v="Business Analyst"/>
    <s v="Part-time"/>
    <n v="76249"/>
    <n v="20651"/>
    <s v="AUD"/>
    <s v="Commission-based"/>
    <x v="7"/>
    <s v="Provence-Alpes-Côte d'Azur"/>
    <s v="Nice"/>
    <n v="9"/>
    <n v="8"/>
    <x v="5"/>
    <x v="0"/>
    <s v="Chelsea"/>
    <n v="0.65"/>
    <n v="49561.85"/>
    <s v="Normal"/>
  </r>
  <r>
    <x v="2"/>
    <x v="8"/>
    <s v="Project Manager"/>
    <s v="Full-time"/>
    <n v="582032"/>
    <n v="0"/>
    <s v="INR"/>
    <s v="Fixed salary"/>
    <x v="6"/>
    <s v="New York"/>
    <s v="Buffalo"/>
    <n v="12"/>
    <n v="12"/>
    <x v="4"/>
    <x v="3"/>
    <s v="ijphn"/>
    <n v="1.2E-2"/>
    <n v="6984.384"/>
    <s v="Normal"/>
  </r>
  <r>
    <x v="3"/>
    <x v="4"/>
    <s v="Sales Executive"/>
    <s v="Junior"/>
    <n v="66993"/>
    <n v="0"/>
    <s v="AUD"/>
    <s v="Fixed salary"/>
    <x v="8"/>
    <s v="Dubai"/>
    <s v="Dubai"/>
    <n v="5"/>
    <n v="2"/>
    <x v="0"/>
    <x v="3"/>
    <s v="Bryce"/>
    <n v="0.65"/>
    <n v="43545.450000000004"/>
    <s v="Normal"/>
  </r>
  <r>
    <x v="0"/>
    <x v="11"/>
    <s v="Software Engineer"/>
    <s v="Intern"/>
    <n v="50400"/>
    <n v="4570"/>
    <s v="EUR"/>
    <s v="Commission-based"/>
    <x v="7"/>
    <s v="Provence-Alpes-Côte d'Azur"/>
    <s v="Nice"/>
    <n v="15"/>
    <n v="14"/>
    <x v="5"/>
    <x v="1"/>
    <s v="Joel"/>
    <n v="1.1000000000000001"/>
    <n v="55440.000000000007"/>
    <s v="Normal"/>
  </r>
  <r>
    <x v="3"/>
    <x v="3"/>
    <s v="Software Engineer"/>
    <s v="Junior"/>
    <n v="79276"/>
    <n v="2347"/>
    <s v="CAD"/>
    <s v="Commission-based"/>
    <x v="8"/>
    <s v="Abu Dhabi"/>
    <s v="Abu Dhabi"/>
    <n v="0"/>
    <n v="0"/>
    <x v="3"/>
    <x v="0"/>
    <s v="Ryan"/>
    <n v="0.73"/>
    <n v="57871.479999999996"/>
    <s v="Normal"/>
  </r>
  <r>
    <x v="4"/>
    <x v="3"/>
    <s v="Teacher"/>
    <s v="Remote"/>
    <n v="118329"/>
    <n v="4504"/>
    <s v="CAD"/>
    <s v="Unknown"/>
    <x v="4"/>
    <s v="Quebec"/>
    <s v="Montreal"/>
    <n v="9"/>
    <n v="7"/>
    <x v="1"/>
    <x v="2"/>
    <s v="Anita"/>
    <n v="0.73"/>
    <n v="86380.17"/>
    <s v="Normal"/>
  </r>
  <r>
    <x v="2"/>
    <x v="6"/>
    <s v="S/W Engineer"/>
    <s v="Lead"/>
    <n v="965112"/>
    <n v="256976"/>
    <s v="INR"/>
    <s v="Contract"/>
    <x v="7"/>
    <s v="Provence-Alpes-Côte d'Azur"/>
    <s v="Nice"/>
    <n v="25"/>
    <n v="25"/>
    <x v="5"/>
    <x v="0"/>
    <s v="Judith"/>
    <n v="1.2E-2"/>
    <n v="11581.344000000001"/>
    <s v="Normal"/>
  </r>
  <r>
    <x v="2"/>
    <x v="6"/>
    <s v="Developer"/>
    <s v="On-site"/>
    <n v="906820"/>
    <n v="42869"/>
    <s v="INR"/>
    <s v="Fixed salary"/>
    <x v="3"/>
    <s v="Queensland"/>
    <s v="Brisbane"/>
    <n v="8"/>
    <n v="5"/>
    <x v="0"/>
    <x v="2"/>
    <s v="Jonathan"/>
    <n v="1.2E-2"/>
    <n v="10881.84"/>
    <s v="Normal"/>
  </r>
  <r>
    <x v="2"/>
    <x v="3"/>
    <s v="Nurse"/>
    <s v="Lead"/>
    <n v="72060"/>
    <n v="11215"/>
    <s v="CAD"/>
    <s v="Commission-based"/>
    <x v="7"/>
    <s v="Île-de-France"/>
    <s v="Paris"/>
    <n v="7"/>
    <n v="6"/>
    <x v="0"/>
    <x v="2"/>
    <s v="Randall"/>
    <n v="0.73"/>
    <n v="52603.799999999996"/>
    <s v="Normal"/>
  </r>
  <r>
    <x v="2"/>
    <x v="4"/>
    <s v="Sales Executive"/>
    <s v="Part-time"/>
    <n v="27332"/>
    <n v="305"/>
    <s v="EUR"/>
    <s v="Commission-based"/>
    <x v="6"/>
    <s v="New York"/>
    <s v="New York City"/>
    <n v="12"/>
    <n v="9"/>
    <x v="4"/>
    <x v="2"/>
    <s v="Adam"/>
    <n v="1.1000000000000001"/>
    <n v="30065.200000000001"/>
    <s v="Normal"/>
  </r>
  <r>
    <x v="3"/>
    <x v="8"/>
    <s v="Data Analyst"/>
    <s v="Senior"/>
    <n v="105687"/>
    <n v="3667"/>
    <s v="GBP"/>
    <s v="Fixed salary"/>
    <x v="4"/>
    <s v="British Columbia"/>
    <s v="Vancouver"/>
    <n v="0"/>
    <n v="0"/>
    <x v="5"/>
    <x v="0"/>
    <s v="Erin"/>
    <n v="1.25"/>
    <n v="132108.75"/>
    <s v="Normal"/>
  </r>
  <r>
    <x v="2"/>
    <x v="9"/>
    <s v="Data Analyst"/>
    <s v="Full-time"/>
    <n v="1322857"/>
    <n v="182123"/>
    <s v="INR"/>
    <s v="Contract"/>
    <x v="0"/>
    <s v="South Holland"/>
    <s v="Rotterdam"/>
    <n v="8"/>
    <n v="5"/>
    <x v="5"/>
    <x v="0"/>
    <s v="Patricia"/>
    <n v="1.2E-2"/>
    <n v="15874.284"/>
    <s v="Normal"/>
  </r>
  <r>
    <x v="0"/>
    <x v="8"/>
    <s v="Professor"/>
    <s v="Remote"/>
    <n v="155144"/>
    <n v="6607"/>
    <s v="USD"/>
    <s v="Contract"/>
    <x v="0"/>
    <s v="North Holland"/>
    <s v="Amsterdam"/>
    <n v="8"/>
    <n v="5"/>
    <x v="3"/>
    <x v="1"/>
    <s v="Ramesh"/>
    <n v="1"/>
    <n v="155144"/>
    <s v="Normal"/>
  </r>
  <r>
    <x v="2"/>
    <x v="11"/>
    <s v="Doctor"/>
    <s v="Intern"/>
    <n v="60121"/>
    <n v="6606"/>
    <s v="CAD"/>
    <s v="Commission-based"/>
    <x v="4"/>
    <s v="Quebec"/>
    <s v="Montreal"/>
    <n v="3"/>
    <n v="3"/>
    <x v="4"/>
    <x v="1"/>
    <s v="Raj"/>
    <n v="0.73"/>
    <n v="43888.33"/>
    <s v="Normal"/>
  </r>
  <r>
    <x v="2"/>
    <x v="2"/>
    <s v="Sales Executive"/>
    <s v="On-site"/>
    <n v="866580"/>
    <n v="213304"/>
    <s v="INR"/>
    <s v="Commission-based"/>
    <x v="0"/>
    <s v="South Holland"/>
    <s v="Rotterdam"/>
    <n v="20"/>
    <n v="20"/>
    <x v="4"/>
    <x v="0"/>
    <s v="Alex"/>
    <n v="1.2E-2"/>
    <n v="10398.960000000001"/>
    <s v="Normal"/>
  </r>
  <r>
    <x v="2"/>
    <x v="1"/>
    <s v="Developer"/>
    <s v="Remote"/>
    <n v="66498"/>
    <n v="4076"/>
    <s v="CAD"/>
    <s v="Hourly"/>
    <x v="6"/>
    <s v="New York"/>
    <s v="Buffalo"/>
    <n v="10"/>
    <n v="8"/>
    <x v="0"/>
    <x v="2"/>
    <s v="Megan"/>
    <n v="0.73"/>
    <n v="48543.54"/>
    <s v="Normal"/>
  </r>
  <r>
    <x v="2"/>
    <x v="0"/>
    <s v="Nurse"/>
    <s v="Senior"/>
    <n v="140862"/>
    <n v="0"/>
    <s v="USD"/>
    <s v="Unknown"/>
    <x v="5"/>
    <s v="Maharashtra"/>
    <s v="Pune"/>
    <n v="10"/>
    <n v="10"/>
    <x v="4"/>
    <x v="1"/>
    <s v="Elizabeth"/>
    <n v="1"/>
    <n v="140862"/>
    <s v="Normal"/>
  </r>
  <r>
    <x v="2"/>
    <x v="1"/>
    <s v="Project Manager"/>
    <s v="Remote"/>
    <n v="27566"/>
    <n v="3594"/>
    <s v="GBP"/>
    <s v="Unknown"/>
    <x v="8"/>
    <s v="Dubai"/>
    <s v="Dubai"/>
    <n v="2"/>
    <n v="1"/>
    <x v="2"/>
    <x v="0"/>
    <s v="Kimberly"/>
    <n v="1.25"/>
    <n v="34457.5"/>
    <s v="Normal"/>
  </r>
  <r>
    <x v="4"/>
    <x v="3"/>
    <s v="S/W Engineer"/>
    <s v="Full-time"/>
    <n v="105651"/>
    <n v="7806"/>
    <s v="EUR"/>
    <s v="Hourly"/>
    <x v="8"/>
    <s v="Abu Dhabi"/>
    <s v="Abu Dhabi"/>
    <n v="9"/>
    <n v="9"/>
    <x v="2"/>
    <x v="3"/>
    <s v="Lisa"/>
    <n v="1.1000000000000001"/>
    <n v="116216.1"/>
    <s v="Normal"/>
  </r>
  <r>
    <x v="2"/>
    <x v="11"/>
    <s v="Developer"/>
    <s v="Senior"/>
    <n v="66425"/>
    <n v="8391"/>
    <s v="USD"/>
    <s v="Contract"/>
    <x v="9"/>
    <s v="Scotland"/>
    <s v="Edinburgh"/>
    <n v="15"/>
    <n v="13"/>
    <x v="5"/>
    <x v="0"/>
    <s v="Wesley"/>
    <n v="1"/>
    <n v="66425"/>
    <s v="Normal"/>
  </r>
  <r>
    <x v="2"/>
    <x v="4"/>
    <s v="System Administrator"/>
    <s v="Unknown"/>
    <n v="53093"/>
    <n v="8988"/>
    <s v="INR"/>
    <s v="Fixed salary"/>
    <x v="6"/>
    <s v="New York"/>
    <s v="New York City"/>
    <n v="15"/>
    <n v="15"/>
    <x v="2"/>
    <x v="1"/>
    <s v="John"/>
    <n v="1.2E-2"/>
    <n v="637.11599999999999"/>
    <s v="Normal"/>
  </r>
  <r>
    <x v="4"/>
    <x v="3"/>
    <s v="System Administrator"/>
    <s v="On-site"/>
    <n v="590855"/>
    <n v="76903"/>
    <s v="INR"/>
    <s v="Contract"/>
    <x v="9"/>
    <s v="England"/>
    <s v="Manchester"/>
    <n v="9"/>
    <n v="9"/>
    <x v="1"/>
    <x v="0"/>
    <s v="Ramesh"/>
    <n v="1.2E-2"/>
    <n v="7090.26"/>
    <s v="Normal"/>
  </r>
  <r>
    <x v="0"/>
    <x v="7"/>
    <s v="Unknown"/>
    <s v="Junior"/>
    <n v="0"/>
    <n v="1356"/>
    <s v="USD"/>
    <s v="Unknown"/>
    <x v="9"/>
    <s v="Scotland"/>
    <s v="Unknown"/>
    <n v="0"/>
    <n v="18"/>
    <x v="2"/>
    <x v="4"/>
    <s v="Frances"/>
    <n v="1"/>
    <n v="0"/>
    <s v="Normal"/>
  </r>
  <r>
    <x v="3"/>
    <x v="8"/>
    <s v="Project Manager"/>
    <s v="Part-time"/>
    <n v="17804"/>
    <n v="2027"/>
    <s v="USD"/>
    <s v="Hourly"/>
    <x v="6"/>
    <s v="Texas"/>
    <s v="Dallas"/>
    <n v="4"/>
    <n v="2"/>
    <x v="1"/>
    <x v="0"/>
    <s v="Christopher"/>
    <n v="1"/>
    <n v="17804"/>
    <s v="Normal"/>
  </r>
  <r>
    <x v="4"/>
    <x v="1"/>
    <s v="Developer"/>
    <s v="Part-time"/>
    <n v="86422"/>
    <n v="7213"/>
    <s v="CAD"/>
    <s v="Hourly"/>
    <x v="7"/>
    <s v="Provence-Alpes-Côte d'Azur"/>
    <s v="Nice"/>
    <n v="12"/>
    <n v="11"/>
    <x v="4"/>
    <x v="3"/>
    <s v="Ramesh"/>
    <n v="0.73"/>
    <n v="63088.06"/>
    <s v="Normal"/>
  </r>
  <r>
    <x v="4"/>
    <x v="3"/>
    <s v="Business Analyst"/>
    <s v="Intern"/>
    <n v="1038062"/>
    <n v="161005"/>
    <s v="INR"/>
    <s v="Unknown"/>
    <x v="9"/>
    <s v="Northern Ireland"/>
    <s v="Belfast"/>
    <n v="10"/>
    <n v="9"/>
    <x v="4"/>
    <x v="3"/>
    <s v="Carlos"/>
    <n v="1.2E-2"/>
    <n v="12456.744000000001"/>
    <s v="Normal"/>
  </r>
  <r>
    <x v="2"/>
    <x v="3"/>
    <s v="S/W Engineer"/>
    <s v="Contract"/>
    <n v="12108"/>
    <n v="0"/>
    <s v="GBP"/>
    <s v="Commission-based"/>
    <x v="0"/>
    <s v="South Holland"/>
    <s v="Rotterdam"/>
    <n v="15"/>
    <n v="14"/>
    <x v="3"/>
    <x v="3"/>
    <s v="Michael"/>
    <n v="1.25"/>
    <n v="15135"/>
    <s v="Normal"/>
  </r>
  <r>
    <x v="0"/>
    <x v="2"/>
    <s v="Teacher"/>
    <s v="Contract"/>
    <n v="110290"/>
    <n v="15649"/>
    <s v="USD"/>
    <s v="Unknown"/>
    <x v="7"/>
    <s v="Provence-Alpes-Côte d'Azur"/>
    <s v="Nice"/>
    <n v="9"/>
    <n v="9"/>
    <x v="5"/>
    <x v="2"/>
    <s v="Michelle"/>
    <n v="1"/>
    <n v="110290"/>
    <s v="Normal"/>
  </r>
  <r>
    <x v="0"/>
    <x v="3"/>
    <s v="Developer"/>
    <s v="Part-time"/>
    <n v="115907"/>
    <n v="9823"/>
    <s v="USD"/>
    <s v="Unknown"/>
    <x v="9"/>
    <s v="Scotland"/>
    <s v="Edinburgh"/>
    <n v="8"/>
    <n v="8"/>
    <x v="0"/>
    <x v="3"/>
    <s v="George"/>
    <n v="1"/>
    <n v="115907"/>
    <s v="Normal"/>
  </r>
  <r>
    <x v="4"/>
    <x v="1"/>
    <s v="Teacher"/>
    <s v="Junior"/>
    <n v="125585"/>
    <n v="10742"/>
    <s v="USD"/>
    <s v="Fixed salary"/>
    <x v="6"/>
    <s v="Massachusetts"/>
    <s v="Boston"/>
    <n v="12"/>
    <n v="9"/>
    <x v="2"/>
    <x v="1"/>
    <s v="Beverly"/>
    <n v="1"/>
    <n v="125585"/>
    <s v="Normal"/>
  </r>
  <r>
    <x v="0"/>
    <x v="0"/>
    <s v="DevOps Engineer"/>
    <s v="Remote"/>
    <n v="65735"/>
    <n v="774"/>
    <s v="GBP"/>
    <s v="Hourly"/>
    <x v="0"/>
    <s v="South Holland"/>
    <s v="Rotterdam"/>
    <n v="15"/>
    <n v="13"/>
    <x v="5"/>
    <x v="1"/>
    <s v="Patricia"/>
    <n v="1.25"/>
    <n v="82168.75"/>
    <s v="Normal"/>
  </r>
  <r>
    <x v="4"/>
    <x v="3"/>
    <s v="DevOps Engineer"/>
    <s v="On-site"/>
    <n v="34204"/>
    <n v="5904"/>
    <s v="GBP"/>
    <s v="Hourly"/>
    <x v="2"/>
    <s v="Central Region"/>
    <s v="Singapore"/>
    <n v="15"/>
    <n v="12"/>
    <x v="1"/>
    <x v="0"/>
    <s v="Alex"/>
    <n v="1.25"/>
    <n v="42755"/>
    <s v="Normal"/>
  </r>
  <r>
    <x v="2"/>
    <x v="0"/>
    <s v="Doctor"/>
    <s v="Part-time"/>
    <n v="82149"/>
    <n v="2140"/>
    <s v="EUR"/>
    <s v="Hourly"/>
    <x v="6"/>
    <s v="New York"/>
    <s v="Buffalo"/>
    <n v="9"/>
    <n v="8"/>
    <x v="0"/>
    <x v="3"/>
    <s v="Sneha"/>
    <n v="1.1000000000000001"/>
    <n v="90363.900000000009"/>
    <s v="Normal"/>
  </r>
  <r>
    <x v="2"/>
    <x v="3"/>
    <s v="Sales Executive"/>
    <s v="Senior"/>
    <n v="81134"/>
    <n v="10070"/>
    <s v="EUR"/>
    <s v="Hourly"/>
    <x v="6"/>
    <s v="California"/>
    <s v="Los Angeles"/>
    <n v="12"/>
    <n v="11"/>
    <x v="1"/>
    <x v="3"/>
    <s v="Raj"/>
    <n v="1.1000000000000001"/>
    <n v="89247.400000000009"/>
    <s v="Normal"/>
  </r>
  <r>
    <x v="2"/>
    <x v="3"/>
    <s v="Business Analyst"/>
    <s v="Remote"/>
    <n v="56917"/>
    <n v="1683"/>
    <s v="GBP"/>
    <s v="Commission-based"/>
    <x v="9"/>
    <s v="Scotland"/>
    <s v="Edinburgh"/>
    <n v="20"/>
    <n v="20"/>
    <x v="1"/>
    <x v="2"/>
    <s v="Gordon"/>
    <n v="1.25"/>
    <n v="71146.25"/>
    <s v="Normal"/>
  </r>
  <r>
    <x v="2"/>
    <x v="3"/>
    <s v="Sales Executive"/>
    <s v="Senior"/>
    <n v="25393"/>
    <n v="1738"/>
    <s v="GBP"/>
    <s v="Fixed salary"/>
    <x v="6"/>
    <s v="Washington"/>
    <s v="Seattle"/>
    <n v="20"/>
    <n v="19"/>
    <x v="2"/>
    <x v="1"/>
    <s v="Susan"/>
    <n v="1.25"/>
    <n v="31741.25"/>
    <s v="Normal"/>
  </r>
  <r>
    <x v="2"/>
    <x v="8"/>
    <s v="Business Analyst"/>
    <s v="Senior"/>
    <n v="55440"/>
    <n v="3789"/>
    <s v="USD"/>
    <s v="Contract"/>
    <x v="1"/>
    <s v="Hesse"/>
    <s v="Frankfurt"/>
    <n v="20"/>
    <n v="17"/>
    <x v="1"/>
    <x v="1"/>
    <s v="Michelle"/>
    <n v="1"/>
    <n v="55440"/>
    <s v="Normal"/>
  </r>
  <r>
    <x v="4"/>
    <x v="5"/>
    <s v="DevOps Engineer"/>
    <s v="Part-time"/>
    <n v="48268"/>
    <n v="6495"/>
    <s v="CAD"/>
    <s v="Hourly"/>
    <x v="0"/>
    <s v="South Holland"/>
    <s v="Rotterdam"/>
    <n v="25"/>
    <n v="24"/>
    <x v="2"/>
    <x v="0"/>
    <s v="Tyrone"/>
    <n v="0.73"/>
    <n v="35235.64"/>
    <s v="Normal"/>
  </r>
  <r>
    <x v="3"/>
    <x v="1"/>
    <s v="Project Manager"/>
    <s v="Senior"/>
    <n v="34893"/>
    <n v="1436"/>
    <s v="USD"/>
    <s v="Fixed salary"/>
    <x v="8"/>
    <s v="Dubai"/>
    <s v="Dubai"/>
    <n v="0"/>
    <n v="0"/>
    <x v="4"/>
    <x v="0"/>
    <s v="Sara"/>
    <n v="1"/>
    <n v="34893"/>
    <s v="Normal"/>
  </r>
  <r>
    <x v="3"/>
    <x v="0"/>
    <s v="Product Manager"/>
    <s v="Part-time"/>
    <n v="113261"/>
    <n v="0"/>
    <s v="CAD"/>
    <s v="Hourly"/>
    <x v="0"/>
    <s v="South Holland"/>
    <s v="Rotterdam"/>
    <n v="5"/>
    <n v="3"/>
    <x v="2"/>
    <x v="1"/>
    <s v="Raj"/>
    <n v="0.73"/>
    <n v="82680.53"/>
    <s v="Normal"/>
  </r>
  <r>
    <x v="1"/>
    <x v="2"/>
    <s v="HR Manager"/>
    <s v="Lead"/>
    <n v="123213"/>
    <n v="0"/>
    <s v="USD"/>
    <s v="Unknown"/>
    <x v="7"/>
    <s v="Île-de-France"/>
    <s v="Paris"/>
    <n v="0"/>
    <n v="0"/>
    <x v="1"/>
    <x v="3"/>
    <s v="Emma"/>
    <n v="1"/>
    <n v="123213"/>
    <s v="Normal"/>
  </r>
  <r>
    <x v="1"/>
    <x v="3"/>
    <s v="Project Manager"/>
    <s v="Unknown"/>
    <n v="85875"/>
    <n v="8325"/>
    <s v="CAD"/>
    <s v="Unknown"/>
    <x v="5"/>
    <s v="Karnataka"/>
    <s v="Mysore"/>
    <n v="0"/>
    <n v="0"/>
    <x v="0"/>
    <x v="3"/>
    <s v="Alex"/>
    <n v="0.73"/>
    <n v="62688.75"/>
    <s v="Normal"/>
  </r>
  <r>
    <x v="2"/>
    <x v="10"/>
    <s v="HR Manager"/>
    <s v="Full-time"/>
    <n v="680397"/>
    <n v="385"/>
    <s v="INR"/>
    <s v="Commission-based"/>
    <x v="2"/>
    <s v="Central Region"/>
    <s v="Singapore"/>
    <n v="4"/>
    <n v="4"/>
    <x v="2"/>
    <x v="3"/>
    <s v="Priya"/>
    <n v="1.2E-2"/>
    <n v="8164.7640000000001"/>
    <s v="Normal"/>
  </r>
  <r>
    <x v="2"/>
    <x v="2"/>
    <s v="Data Analyst"/>
    <s v="On-site"/>
    <n v="55745"/>
    <n v="431"/>
    <s v="CAD"/>
    <s v="Fixed salary"/>
    <x v="3"/>
    <s v="Queensland"/>
    <s v="Brisbane"/>
    <n v="25"/>
    <n v="25"/>
    <x v="4"/>
    <x v="0"/>
    <s v="Raj"/>
    <n v="0.73"/>
    <n v="40693.85"/>
    <s v="Normal"/>
  </r>
  <r>
    <x v="0"/>
    <x v="8"/>
    <s v="Teacher"/>
    <s v="Senior"/>
    <n v="846930"/>
    <n v="82775"/>
    <s v="INR"/>
    <s v="Hourly"/>
    <x v="7"/>
    <s v="Île-de-France"/>
    <s v="Paris"/>
    <n v="8"/>
    <n v="8"/>
    <x v="0"/>
    <x v="0"/>
    <s v="Ashley"/>
    <n v="1.2E-2"/>
    <n v="10163.16"/>
    <s v="Normal"/>
  </r>
  <r>
    <x v="2"/>
    <x v="2"/>
    <s v="Business Analyst"/>
    <s v="Full-time"/>
    <n v="129336"/>
    <n v="4841"/>
    <s v="AUD"/>
    <s v="Unknown"/>
    <x v="7"/>
    <s v="Provence-Alpes-Côte d'Azur"/>
    <s v="Nice"/>
    <n v="4"/>
    <n v="1"/>
    <x v="5"/>
    <x v="3"/>
    <s v="Ramesh"/>
    <n v="0.65"/>
    <n v="84068.400000000009"/>
    <s v="Normal"/>
  </r>
  <r>
    <x v="3"/>
    <x v="0"/>
    <s v="QA Engineer"/>
    <s v="Full-time"/>
    <n v="64583"/>
    <n v="6607"/>
    <s v="CAD"/>
    <s v="Fixed salary"/>
    <x v="6"/>
    <s v="Massachusetts"/>
    <s v="Boston"/>
    <n v="1"/>
    <n v="0"/>
    <x v="0"/>
    <x v="1"/>
    <s v="Kimberly"/>
    <n v="0.73"/>
    <n v="47145.59"/>
    <s v="Normal"/>
  </r>
  <r>
    <x v="3"/>
    <x v="11"/>
    <s v="Data Scientist"/>
    <s v="Lead"/>
    <n v="115633"/>
    <n v="11760"/>
    <s v="USD"/>
    <s v="Commission-based"/>
    <x v="8"/>
    <s v="Abu Dhabi"/>
    <s v="Abu Dhabi"/>
    <n v="0"/>
    <n v="0"/>
    <x v="0"/>
    <x v="2"/>
    <s v="Sarah"/>
    <n v="1"/>
    <n v="115633"/>
    <s v="Normal"/>
  </r>
  <r>
    <x v="2"/>
    <x v="3"/>
    <s v="HR Manager"/>
    <s v="Senior"/>
    <n v="44449"/>
    <n v="0"/>
    <s v="AUD"/>
    <s v="Commission-based"/>
    <x v="5"/>
    <s v="Tamil Nadu"/>
    <s v="Madurai"/>
    <n v="25"/>
    <n v="25"/>
    <x v="1"/>
    <x v="1"/>
    <s v="Kavya"/>
    <n v="0.65"/>
    <n v="28891.850000000002"/>
    <s v="Normal"/>
  </r>
  <r>
    <x v="0"/>
    <x v="8"/>
    <s v="Data Scientist"/>
    <s v="Intern"/>
    <n v="135391"/>
    <n v="1585"/>
    <s v="INR"/>
    <s v="Contract"/>
    <x v="6"/>
    <s v="California"/>
    <s v="San Francisco"/>
    <n v="15"/>
    <n v="13"/>
    <x v="3"/>
    <x v="2"/>
    <s v="Douglas"/>
    <n v="1.2E-2"/>
    <n v="1624.692"/>
    <s v="Normal"/>
  </r>
  <r>
    <x v="2"/>
    <x v="10"/>
    <s v="Product Manager"/>
    <s v="On-site"/>
    <n v="142771"/>
    <n v="27803"/>
    <s v="CAD"/>
    <s v="Unknown"/>
    <x v="7"/>
    <s v="Île-de-France"/>
    <s v="Paris"/>
    <n v="5"/>
    <n v="5"/>
    <x v="4"/>
    <x v="2"/>
    <s v="Tyler"/>
    <n v="0.73"/>
    <n v="104222.83"/>
    <s v="Normal"/>
  </r>
  <r>
    <x v="1"/>
    <x v="0"/>
    <s v="Teacher"/>
    <s v="On-site"/>
    <n v="101167"/>
    <n v="13905"/>
    <s v="AUD"/>
    <s v="Hourly"/>
    <x v="3"/>
    <s v="New South Wales"/>
    <s v="Sydney"/>
    <n v="0"/>
    <n v="0"/>
    <x v="4"/>
    <x v="2"/>
    <s v="Olivia"/>
    <n v="0.65"/>
    <n v="65758.55"/>
    <s v="Normal"/>
  </r>
  <r>
    <x v="0"/>
    <x v="0"/>
    <s v="QA Engineer"/>
    <s v="Part-time"/>
    <n v="55766"/>
    <n v="0"/>
    <s v="GBP"/>
    <s v="Fixed salary"/>
    <x v="6"/>
    <s v="Massachusetts"/>
    <s v="Boston"/>
    <n v="8"/>
    <n v="5"/>
    <x v="4"/>
    <x v="0"/>
    <s v="Allison"/>
    <n v="1.25"/>
    <n v="69707.5"/>
    <s v="Normal"/>
  </r>
  <r>
    <x v="2"/>
    <x v="10"/>
    <s v="S/W Engineer"/>
    <s v="Lead"/>
    <n v="80634"/>
    <n v="3234"/>
    <s v="USD"/>
    <s v="Hourly"/>
    <x v="2"/>
    <s v="Central Region"/>
    <s v="Singapore"/>
    <n v="2"/>
    <n v="2"/>
    <x v="2"/>
    <x v="2"/>
    <s v="Natasha"/>
    <n v="1"/>
    <n v="80634"/>
    <s v="Normal"/>
  </r>
  <r>
    <x v="2"/>
    <x v="8"/>
    <s v="QA Engineer"/>
    <s v="Junior"/>
    <n v="1347452"/>
    <n v="43106"/>
    <s v="INR"/>
    <s v="Hourly"/>
    <x v="6"/>
    <s v="Massachusetts"/>
    <s v="Boston"/>
    <n v="20"/>
    <n v="19"/>
    <x v="2"/>
    <x v="3"/>
    <s v="Liam"/>
    <n v="1.2E-2"/>
    <n v="16169.424000000001"/>
    <s v="Normal"/>
  </r>
  <r>
    <x v="3"/>
    <x v="1"/>
    <s v="Doctor"/>
    <s v="Full-time"/>
    <n v="79760"/>
    <n v="0"/>
    <s v="CAD"/>
    <s v="Hourly"/>
    <x v="5"/>
    <s v="Delhi"/>
    <s v="New Delhi"/>
    <n v="7"/>
    <n v="5"/>
    <x v="3"/>
    <x v="2"/>
    <s v="John"/>
    <n v="0.73"/>
    <n v="58224.799999999996"/>
    <s v="Normal"/>
  </r>
  <r>
    <x v="3"/>
    <x v="9"/>
    <s v="Professor"/>
    <s v="On-site"/>
    <n v="100442"/>
    <n v="19504"/>
    <s v="USD"/>
    <s v="Fixed salary"/>
    <x v="3"/>
    <s v="Victoria"/>
    <s v="Melbourne"/>
    <n v="2"/>
    <n v="2"/>
    <x v="3"/>
    <x v="2"/>
    <s v="Kimberly"/>
    <n v="1"/>
    <n v="100442"/>
    <s v="Normal"/>
  </r>
  <r>
    <x v="2"/>
    <x v="6"/>
    <s v="System Administrator"/>
    <s v="Lead"/>
    <n v="83972"/>
    <n v="0"/>
    <s v="GBP"/>
    <s v="Fixed salary"/>
    <x v="0"/>
    <s v="North Holland"/>
    <s v="Amsterdam"/>
    <n v="2"/>
    <n v="2"/>
    <x v="5"/>
    <x v="2"/>
    <s v="Liam"/>
    <n v="1.25"/>
    <n v="104965"/>
    <s v="Normal"/>
  </r>
  <r>
    <x v="3"/>
    <x v="10"/>
    <s v="Developer"/>
    <s v="Senior"/>
    <n v="80041"/>
    <n v="7143"/>
    <s v="USD"/>
    <s v="Fixed salary"/>
    <x v="6"/>
    <s v="Washington"/>
    <s v="Seattle"/>
    <n v="7"/>
    <n v="7"/>
    <x v="0"/>
    <x v="0"/>
    <s v="Laura"/>
    <n v="1"/>
    <n v="80041"/>
    <s v="Normal"/>
  </r>
  <r>
    <x v="2"/>
    <x v="5"/>
    <s v="Doctor"/>
    <s v="Unknown"/>
    <n v="135401"/>
    <n v="383"/>
    <s v="CAD"/>
    <s v="Contract"/>
    <x v="7"/>
    <s v="Île-de-France"/>
    <s v="Paris"/>
    <n v="7"/>
    <n v="7"/>
    <x v="2"/>
    <x v="0"/>
    <s v="Emma"/>
    <n v="0.73"/>
    <n v="98842.73"/>
    <s v="Normal"/>
  </r>
  <r>
    <x v="0"/>
    <x v="8"/>
    <s v="Nurse"/>
    <s v="Remote"/>
    <n v="104863"/>
    <n v="259"/>
    <s v="AUD"/>
    <s v="Fixed salary"/>
    <x v="1"/>
    <s v="Berlin"/>
    <s v="Berlin"/>
    <n v="12"/>
    <n v="10"/>
    <x v="0"/>
    <x v="2"/>
    <s v="Alex"/>
    <n v="0.65"/>
    <n v="68160.95"/>
    <s v="Normal"/>
  </r>
  <r>
    <x v="4"/>
    <x v="8"/>
    <s v="HR Manager"/>
    <s v="Senior"/>
    <n v="113972"/>
    <n v="13698"/>
    <s v="GBP"/>
    <s v="Hourly"/>
    <x v="2"/>
    <s v="Central Region"/>
    <s v="Singapore"/>
    <n v="20"/>
    <n v="20"/>
    <x v="0"/>
    <x v="0"/>
    <s v="Raj"/>
    <n v="1.25"/>
    <n v="142465"/>
    <s v="Normal"/>
  </r>
  <r>
    <x v="3"/>
    <x v="6"/>
    <s v="DevOps Engineer"/>
    <s v="Remote"/>
    <n v="500"/>
    <n v="228"/>
    <s v="GBP"/>
    <s v="Fixed salary"/>
    <x v="1"/>
    <s v="Hesse"/>
    <s v="Frankfurt"/>
    <n v="4"/>
    <n v="4"/>
    <x v="4"/>
    <x v="1"/>
    <s v="Rebecca"/>
    <n v="1.25"/>
    <n v="625"/>
    <s v="Normal"/>
  </r>
  <r>
    <x v="0"/>
    <x v="3"/>
    <s v="Doctor"/>
    <s v="Part-time"/>
    <n v="43227"/>
    <n v="1772"/>
    <s v="GBP"/>
    <s v="Commission-based"/>
    <x v="0"/>
    <s v="South Holland"/>
    <s v="Rotterdam"/>
    <n v="8"/>
    <n v="6"/>
    <x v="0"/>
    <x v="3"/>
    <s v="Jonathan"/>
    <n v="1.25"/>
    <n v="54033.75"/>
    <s v="Normal"/>
  </r>
  <r>
    <x v="2"/>
    <x v="4"/>
    <s v="Doctor"/>
    <s v="Remote"/>
    <n v="16283"/>
    <n v="1248"/>
    <s v="CAD"/>
    <s v="Commission-based"/>
    <x v="3"/>
    <s v="Victoria"/>
    <s v="Melbourne"/>
    <n v="3"/>
    <n v="0"/>
    <x v="4"/>
    <x v="2"/>
    <s v="Priya"/>
    <n v="0.73"/>
    <n v="11886.59"/>
    <s v="Normal"/>
  </r>
  <r>
    <x v="2"/>
    <x v="3"/>
    <s v="S/W Engineer"/>
    <s v="Senior"/>
    <n v="32568"/>
    <n v="3137"/>
    <s v="GBP"/>
    <s v="Hourly"/>
    <x v="4"/>
    <s v="British Columbia"/>
    <s v="Vancouver"/>
    <n v="9"/>
    <n v="9"/>
    <x v="4"/>
    <x v="2"/>
    <s v="Rebecca"/>
    <n v="1.25"/>
    <n v="40710"/>
    <s v="Normal"/>
  </r>
  <r>
    <x v="3"/>
    <x v="10"/>
    <s v="Project Manager"/>
    <s v="Part-time"/>
    <n v="1267718"/>
    <n v="59347"/>
    <s v="INR"/>
    <s v="Unknown"/>
    <x v="1"/>
    <s v="Hesse"/>
    <s v="Frankfurt"/>
    <n v="4"/>
    <n v="1"/>
    <x v="4"/>
    <x v="3"/>
    <s v="Sara"/>
    <n v="1.2E-2"/>
    <n v="15212.616"/>
    <s v="Normal"/>
  </r>
  <r>
    <x v="4"/>
    <x v="4"/>
    <s v="QA Engineer"/>
    <s v="Unknown"/>
    <n v="539265"/>
    <n v="21133"/>
    <s v="INR"/>
    <s v="Hourly"/>
    <x v="3"/>
    <s v="Victoria"/>
    <s v="Melbourne"/>
    <n v="18"/>
    <n v="18"/>
    <x v="4"/>
    <x v="1"/>
    <s v="Liam"/>
    <n v="1.2E-2"/>
    <n v="6471.18"/>
    <s v="Normal"/>
  </r>
  <r>
    <x v="3"/>
    <x v="10"/>
    <s v="Project Manager"/>
    <s v="Junior"/>
    <n v="104284"/>
    <n v="4676"/>
    <s v="EUR"/>
    <s v="Contract"/>
    <x v="2"/>
    <s v="Central Region"/>
    <s v="Singapore"/>
    <n v="6"/>
    <n v="6"/>
    <x v="0"/>
    <x v="3"/>
    <s v="Brian"/>
    <n v="1.1000000000000001"/>
    <n v="114712.40000000001"/>
    <s v="Normal"/>
  </r>
  <r>
    <x v="0"/>
    <x v="2"/>
    <s v="Sales Executive"/>
    <s v="Unknown"/>
    <n v="128016"/>
    <n v="19616"/>
    <s v="USD"/>
    <s v="Commission-based"/>
    <x v="5"/>
    <s v="Telangana"/>
    <s v="Hyderabad"/>
    <n v="9"/>
    <n v="9"/>
    <x v="4"/>
    <x v="1"/>
    <s v="Anthony"/>
    <n v="1"/>
    <n v="128016"/>
    <s v="Normal"/>
  </r>
  <r>
    <x v="3"/>
    <x v="10"/>
    <s v="Accountant"/>
    <s v="Remote"/>
    <n v="32173"/>
    <n v="260"/>
    <s v="EUR"/>
    <s v="Commission-based"/>
    <x v="4"/>
    <s v="British Columbia"/>
    <s v="Vancouver"/>
    <n v="4"/>
    <n v="4"/>
    <x v="4"/>
    <x v="2"/>
    <s v="Shawn"/>
    <n v="1.1000000000000001"/>
    <n v="35390.300000000003"/>
    <s v="Normal"/>
  </r>
  <r>
    <x v="2"/>
    <x v="3"/>
    <s v="Accountant"/>
    <s v="Junior"/>
    <n v="86032"/>
    <n v="20813"/>
    <s v="USD"/>
    <s v="Contract"/>
    <x v="6"/>
    <s v="California"/>
    <s v="San Francisco"/>
    <n v="7"/>
    <n v="6"/>
    <x v="0"/>
    <x v="1"/>
    <s v="Teresa"/>
    <n v="1"/>
    <n v="86032"/>
    <s v="Normal"/>
  </r>
  <r>
    <x v="4"/>
    <x v="3"/>
    <s v="Nurse"/>
    <s v="Intern"/>
    <n v="110161"/>
    <n v="16426"/>
    <s v="USD"/>
    <s v="Fixed salary"/>
    <x v="0"/>
    <s v="North Holland"/>
    <s v="Amsterdam"/>
    <n v="25"/>
    <n v="23"/>
    <x v="4"/>
    <x v="2"/>
    <s v="Raj"/>
    <n v="1"/>
    <n v="110161"/>
    <s v="Normal"/>
  </r>
  <r>
    <x v="2"/>
    <x v="2"/>
    <s v="Project Manager"/>
    <s v="Remote"/>
    <n v="96276"/>
    <n v="0"/>
    <s v="CAD"/>
    <s v="Unknown"/>
    <x v="8"/>
    <s v="Dubai"/>
    <s v="Dubai"/>
    <n v="25"/>
    <n v="25"/>
    <x v="4"/>
    <x v="0"/>
    <s v="Joseph"/>
    <n v="0.73"/>
    <n v="70281.48"/>
    <s v="Normal"/>
  </r>
  <r>
    <x v="2"/>
    <x v="6"/>
    <s v="Developer"/>
    <s v="Junior"/>
    <n v="53484"/>
    <n v="1389"/>
    <s v="CAD"/>
    <s v="Hourly"/>
    <x v="6"/>
    <s v="California"/>
    <s v="San Francisco"/>
    <n v="20"/>
    <n v="20"/>
    <x v="1"/>
    <x v="0"/>
    <s v="Raj"/>
    <n v="0.73"/>
    <n v="39043.32"/>
    <s v="Normal"/>
  </r>
  <r>
    <x v="2"/>
    <x v="2"/>
    <s v="Data Scientist"/>
    <s v="Contract"/>
    <n v="992403"/>
    <n v="101222"/>
    <s v="INR"/>
    <s v="Fixed salary"/>
    <x v="5"/>
    <s v="Telangana"/>
    <s v="Hyderabad"/>
    <n v="4"/>
    <n v="2"/>
    <x v="2"/>
    <x v="3"/>
    <s v="Adam"/>
    <n v="1.2E-2"/>
    <n v="11908.836000000001"/>
    <s v="Normal"/>
  </r>
  <r>
    <x v="2"/>
    <x v="6"/>
    <s v="Business Analyst"/>
    <s v="Senior"/>
    <n v="95713"/>
    <n v="0"/>
    <s v="AUD"/>
    <s v="Hourly"/>
    <x v="2"/>
    <s v="Central Region"/>
    <s v="Singapore"/>
    <n v="6"/>
    <n v="5"/>
    <x v="2"/>
    <x v="2"/>
    <s v="Joseph"/>
    <n v="0.65"/>
    <n v="62213.450000000004"/>
    <s v="Normal"/>
  </r>
  <r>
    <x v="4"/>
    <x v="8"/>
    <s v="Teacher"/>
    <s v="Senior"/>
    <n v="76563"/>
    <n v="0"/>
    <s v="CAD"/>
    <s v="Unknown"/>
    <x v="1"/>
    <s v="Berlin"/>
    <s v="Berlin"/>
    <n v="15"/>
    <n v="15"/>
    <x v="5"/>
    <x v="0"/>
    <s v="Arjun"/>
    <n v="0.73"/>
    <n v="55890.99"/>
    <s v="Normal"/>
  </r>
  <r>
    <x v="0"/>
    <x v="2"/>
    <s v="Developer"/>
    <s v="Lead"/>
    <n v="127282"/>
    <n v="5313"/>
    <s v="EUR"/>
    <s v="Contract"/>
    <x v="6"/>
    <s v="New York"/>
    <s v="New York City"/>
    <n v="8"/>
    <n v="6"/>
    <x v="3"/>
    <x v="1"/>
    <s v="ijphn"/>
    <n v="1.1000000000000001"/>
    <n v="140010.20000000001"/>
    <s v="Normal"/>
  </r>
  <r>
    <x v="4"/>
    <x v="8"/>
    <s v="Data Analyst"/>
    <s v="Senior"/>
    <n v="395158"/>
    <n v="57560"/>
    <s v="INR"/>
    <s v="Contract"/>
    <x v="6"/>
    <s v="Washington"/>
    <s v="Seattle"/>
    <n v="9"/>
    <n v="7"/>
    <x v="5"/>
    <x v="0"/>
    <s v="George"/>
    <n v="1.2E-2"/>
    <n v="4741.8959999999997"/>
    <s v="Normal"/>
  </r>
  <r>
    <x v="4"/>
    <x v="10"/>
    <s v="QA Engineer"/>
    <s v="Senior"/>
    <n v="1140973"/>
    <n v="17142"/>
    <s v="INR"/>
    <s v="Commission-based"/>
    <x v="3"/>
    <s v="Victoria"/>
    <s v="Melbourne"/>
    <n v="20"/>
    <n v="20"/>
    <x v="1"/>
    <x v="2"/>
    <s v="Ramesh"/>
    <n v="1.2E-2"/>
    <n v="13691.675999999999"/>
    <s v="Normal"/>
  </r>
  <r>
    <x v="3"/>
    <x v="0"/>
    <s v="DevOps Engineer"/>
    <s v="Contract"/>
    <n v="719122"/>
    <n v="0"/>
    <s v="INR"/>
    <s v="Commission-based"/>
    <x v="0"/>
    <s v="South Holland"/>
    <s v="Rotterdam"/>
    <n v="7"/>
    <n v="5"/>
    <x v="1"/>
    <x v="3"/>
    <s v="Anita"/>
    <n v="1.2E-2"/>
    <n v="8629.4639999999999"/>
    <s v="Normal"/>
  </r>
  <r>
    <x v="3"/>
    <x v="8"/>
    <s v="QA Engineer"/>
    <s v="Unknown"/>
    <n v="1254226"/>
    <n v="105289"/>
    <s v="INR"/>
    <s v="Unknown"/>
    <x v="4"/>
    <s v="British Columbia"/>
    <s v="Vancouver"/>
    <n v="1"/>
    <n v="1"/>
    <x v="1"/>
    <x v="0"/>
    <s v="Omar"/>
    <n v="1.2E-2"/>
    <n v="15050.712"/>
    <s v="Normal"/>
  </r>
  <r>
    <x v="2"/>
    <x v="6"/>
    <s v="Project Manager"/>
    <s v="Full-time"/>
    <n v="88612"/>
    <n v="7308"/>
    <s v="USD"/>
    <s v="Commission-based"/>
    <x v="2"/>
    <s v="Central Region"/>
    <s v="Singapore"/>
    <n v="15"/>
    <n v="12"/>
    <x v="0"/>
    <x v="2"/>
    <s v="Michael"/>
    <n v="1"/>
    <n v="88612"/>
    <s v="Normal"/>
  </r>
  <r>
    <x v="3"/>
    <x v="5"/>
    <s v="QA Engineer"/>
    <s v="Remote"/>
    <n v="59808"/>
    <n v="8930"/>
    <s v="AUD"/>
    <s v="Unknown"/>
    <x v="8"/>
    <s v="Abu Dhabi"/>
    <s v="Abu Dhabi"/>
    <n v="5"/>
    <n v="3"/>
    <x v="1"/>
    <x v="0"/>
    <s v="Noah"/>
    <n v="0.65"/>
    <n v="38875.200000000004"/>
    <s v="Normal"/>
  </r>
  <r>
    <x v="2"/>
    <x v="4"/>
    <s v="Developer"/>
    <s v="Part-time"/>
    <n v="53113"/>
    <n v="0"/>
    <s v="USD"/>
    <s v="Hourly"/>
    <x v="1"/>
    <s v="Berlin"/>
    <s v="Berlin"/>
    <n v="5"/>
    <n v="5"/>
    <x v="4"/>
    <x v="0"/>
    <s v="Douglas"/>
    <n v="1"/>
    <n v="53113"/>
    <s v="Normal"/>
  </r>
  <r>
    <x v="3"/>
    <x v="0"/>
    <s v="Developer"/>
    <s v="Full-time"/>
    <n v="37667"/>
    <n v="0"/>
    <s v="EUR"/>
    <s v="Hourly"/>
    <x v="5"/>
    <s v="Maharashtra"/>
    <s v="Mumbai"/>
    <n v="1"/>
    <n v="0"/>
    <x v="1"/>
    <x v="2"/>
    <s v="Sara"/>
    <n v="1.1000000000000001"/>
    <n v="41433.700000000004"/>
    <s v="Normal"/>
  </r>
  <r>
    <x v="3"/>
    <x v="1"/>
    <s v="Doctor"/>
    <s v="Senior"/>
    <n v="43072"/>
    <n v="2747"/>
    <s v="GBP"/>
    <s v="Contract"/>
    <x v="9"/>
    <s v="England"/>
    <s v="Manchester"/>
    <n v="5"/>
    <n v="5"/>
    <x v="2"/>
    <x v="1"/>
    <s v="Brian"/>
    <n v="1.25"/>
    <n v="53840"/>
    <s v="Normal"/>
  </r>
  <r>
    <x v="4"/>
    <x v="3"/>
    <s v="Professor"/>
    <s v="Lead"/>
    <n v="60183"/>
    <n v="2550"/>
    <s v="AUD"/>
    <s v="Hourly"/>
    <x v="3"/>
    <s v="Victoria"/>
    <s v="Melbourne"/>
    <n v="8"/>
    <n v="6"/>
    <x v="3"/>
    <x v="1"/>
    <s v="Priya"/>
    <n v="0.65"/>
    <n v="39118.950000000004"/>
    <s v="Normal"/>
  </r>
  <r>
    <x v="2"/>
    <x v="3"/>
    <s v="Data Scientist"/>
    <s v="Senior"/>
    <n v="90896"/>
    <n v="1272"/>
    <s v="AUD"/>
    <s v="Contract"/>
    <x v="7"/>
    <s v="Provence-Alpes-Côte d'Azur"/>
    <s v="Nice"/>
    <n v="8"/>
    <n v="6"/>
    <x v="2"/>
    <x v="2"/>
    <s v="Darryl"/>
    <n v="0.65"/>
    <n v="59082.400000000001"/>
    <s v="Normal"/>
  </r>
  <r>
    <x v="2"/>
    <x v="11"/>
    <s v="System Administrator"/>
    <s v="On-site"/>
    <n v="128606"/>
    <n v="0"/>
    <s v="AUD"/>
    <s v="Fixed salary"/>
    <x v="7"/>
    <s v="Île-de-France"/>
    <s v="Paris"/>
    <n v="7"/>
    <n v="4"/>
    <x v="2"/>
    <x v="3"/>
    <s v="Sara"/>
    <n v="0.65"/>
    <n v="83593.900000000009"/>
    <s v="Normal"/>
  </r>
  <r>
    <x v="3"/>
    <x v="3"/>
    <s v="Software Engineer"/>
    <s v="On-site"/>
    <n v="49935"/>
    <n v="0"/>
    <s v="USD"/>
    <s v="Unknown"/>
    <x v="6"/>
    <s v="Massachusetts"/>
    <s v="Boston"/>
    <n v="0"/>
    <n v="0"/>
    <x v="0"/>
    <x v="1"/>
    <s v="Kavya"/>
    <n v="1"/>
    <n v="49935"/>
    <s v="Normal"/>
  </r>
  <r>
    <x v="2"/>
    <x v="3"/>
    <s v="Data Analyst"/>
    <s v="Intern"/>
    <n v="997327"/>
    <n v="0"/>
    <s v="INR"/>
    <s v="Fixed salary"/>
    <x v="6"/>
    <s v="New York"/>
    <s v="Buffalo"/>
    <n v="10"/>
    <n v="10"/>
    <x v="4"/>
    <x v="0"/>
    <s v="Cassandra"/>
    <n v="1.2E-2"/>
    <n v="11967.924000000001"/>
    <s v="Normal"/>
  </r>
  <r>
    <x v="3"/>
    <x v="11"/>
    <s v="DevOps Engineer"/>
    <s v="Part-time"/>
    <n v="39161"/>
    <n v="5805"/>
    <s v="GBP"/>
    <s v="Hourly"/>
    <x v="8"/>
    <s v="Dubai"/>
    <s v="Dubai"/>
    <n v="7"/>
    <n v="4"/>
    <x v="2"/>
    <x v="0"/>
    <s v="Robert"/>
    <n v="1.25"/>
    <n v="48951.25"/>
    <s v="Normal"/>
  </r>
  <r>
    <x v="3"/>
    <x v="4"/>
    <s v="Nurse"/>
    <s v="Junior"/>
    <n v="114253"/>
    <n v="12461"/>
    <s v="AUD"/>
    <s v="Fixed salary"/>
    <x v="5"/>
    <s v="Karnataka"/>
    <s v="Bengaluru"/>
    <n v="7"/>
    <n v="7"/>
    <x v="5"/>
    <x v="2"/>
    <s v="Olivia"/>
    <n v="0.65"/>
    <n v="74264.45"/>
    <s v="Normal"/>
  </r>
  <r>
    <x v="2"/>
    <x v="3"/>
    <s v="Data Scientist"/>
    <s v="Lead"/>
    <n v="1226669"/>
    <n v="2275"/>
    <s v="INR"/>
    <s v="Fixed salary"/>
    <x v="3"/>
    <s v="Queensland"/>
    <s v="Brisbane"/>
    <n v="4"/>
    <n v="4"/>
    <x v="5"/>
    <x v="3"/>
    <s v="Olivia"/>
    <n v="1.2E-2"/>
    <n v="14720.028"/>
    <s v="Normal"/>
  </r>
  <r>
    <x v="4"/>
    <x v="9"/>
    <s v="Business Analyst"/>
    <s v="On-site"/>
    <n v="120697"/>
    <n v="6909"/>
    <s v="USD"/>
    <s v="Contract"/>
    <x v="6"/>
    <s v="New York"/>
    <s v="New York City"/>
    <n v="20"/>
    <n v="18"/>
    <x v="3"/>
    <x v="3"/>
    <s v="Raj"/>
    <n v="1"/>
    <n v="120697"/>
    <s v="Normal"/>
  </r>
  <r>
    <x v="2"/>
    <x v="6"/>
    <s v="DevOps Engineer"/>
    <s v="Junior"/>
    <n v="43569"/>
    <n v="555"/>
    <s v="GBP"/>
    <s v="Contract"/>
    <x v="2"/>
    <s v="Central Region"/>
    <s v="Singapore"/>
    <n v="10"/>
    <n v="7"/>
    <x v="0"/>
    <x v="0"/>
    <s v="Ramesh"/>
    <n v="1.25"/>
    <n v="54461.25"/>
    <s v="Normal"/>
  </r>
  <r>
    <x v="3"/>
    <x v="4"/>
    <s v="Business Analyst"/>
    <s v="Full-time"/>
    <n v="51318"/>
    <n v="3935"/>
    <s v="AUD"/>
    <s v="Hourly"/>
    <x v="5"/>
    <s v="Telangana"/>
    <s v="Hyderabad"/>
    <n v="0"/>
    <n v="0"/>
    <x v="2"/>
    <x v="0"/>
    <s v="Kylie"/>
    <n v="0.65"/>
    <n v="33356.700000000004"/>
    <s v="Normal"/>
  </r>
  <r>
    <x v="0"/>
    <x v="6"/>
    <s v="Project Manager"/>
    <s v="On-site"/>
    <n v="57303"/>
    <n v="8886"/>
    <s v="AUD"/>
    <s v="Unknown"/>
    <x v="6"/>
    <s v="Washington"/>
    <s v="Seattle"/>
    <n v="8"/>
    <n v="8"/>
    <x v="4"/>
    <x v="0"/>
    <s v="Holly"/>
    <n v="0.65"/>
    <n v="37246.950000000004"/>
    <s v="Normal"/>
  </r>
  <r>
    <x v="0"/>
    <x v="3"/>
    <s v="Data Analyst"/>
    <s v="Senior"/>
    <n v="1148982"/>
    <n v="11461"/>
    <s v="INR"/>
    <s v="Contract"/>
    <x v="0"/>
    <s v="North Holland"/>
    <s v="Amsterdam"/>
    <n v="10"/>
    <n v="10"/>
    <x v="4"/>
    <x v="2"/>
    <s v="Jacqueline"/>
    <n v="1.2E-2"/>
    <n v="13787.784"/>
    <s v="Normal"/>
  </r>
  <r>
    <x v="3"/>
    <x v="4"/>
    <s v="Data Scientist"/>
    <s v="Unknown"/>
    <n v="21806"/>
    <n v="1436"/>
    <s v="EUR"/>
    <s v="Unknown"/>
    <x v="5"/>
    <s v="Karnataka"/>
    <s v="Bengaluru"/>
    <n v="5"/>
    <n v="2"/>
    <x v="1"/>
    <x v="2"/>
    <s v="Priya"/>
    <n v="1.1000000000000001"/>
    <n v="23986.600000000002"/>
    <s v="Normal"/>
  </r>
  <r>
    <x v="4"/>
    <x v="4"/>
    <s v="DevOps Engineer"/>
    <s v="Remote"/>
    <n v="915667"/>
    <n v="219472"/>
    <s v="INR"/>
    <s v="Commission-based"/>
    <x v="6"/>
    <s v="New York"/>
    <s v="Buffalo"/>
    <n v="12"/>
    <n v="10"/>
    <x v="2"/>
    <x v="2"/>
    <s v="Marie"/>
    <n v="1.2E-2"/>
    <n v="10988.004000000001"/>
    <s v="Normal"/>
  </r>
  <r>
    <x v="0"/>
    <x v="6"/>
    <s v="Developer"/>
    <s v="Junior"/>
    <n v="42800"/>
    <n v="752"/>
    <s v="AUD"/>
    <s v="Hourly"/>
    <x v="4"/>
    <s v="Quebec"/>
    <s v="Montreal"/>
    <n v="10"/>
    <n v="9"/>
    <x v="2"/>
    <x v="0"/>
    <s v="Alice"/>
    <n v="0.65"/>
    <n v="27820"/>
    <s v="Normal"/>
  </r>
  <r>
    <x v="3"/>
    <x v="3"/>
    <s v="HR Manager"/>
    <s v="Unknown"/>
    <n v="1311380"/>
    <n v="292934"/>
    <s v="INR"/>
    <s v="Commission-based"/>
    <x v="9"/>
    <s v="Northern Ireland"/>
    <s v="Belfast"/>
    <n v="4"/>
    <n v="2"/>
    <x v="3"/>
    <x v="0"/>
    <s v="Joy"/>
    <n v="1.2E-2"/>
    <n v="15736.56"/>
    <s v="Normal"/>
  </r>
  <r>
    <x v="3"/>
    <x v="3"/>
    <s v="Product Manager"/>
    <s v="Part-time"/>
    <n v="55670"/>
    <n v="5562"/>
    <s v="EUR"/>
    <s v="Hourly"/>
    <x v="8"/>
    <s v="Abu Dhabi"/>
    <s v="Abu Dhabi"/>
    <n v="3"/>
    <n v="0"/>
    <x v="4"/>
    <x v="3"/>
    <s v="Christopher"/>
    <n v="1.1000000000000001"/>
    <n v="61237.000000000007"/>
    <s v="Normal"/>
  </r>
  <r>
    <x v="0"/>
    <x v="1"/>
    <s v="Doctor"/>
    <s v="Lead"/>
    <n v="27453"/>
    <n v="645"/>
    <s v="GBP"/>
    <s v="Commission-based"/>
    <x v="2"/>
    <s v="Central Region"/>
    <s v="Singapore"/>
    <n v="20"/>
    <n v="20"/>
    <x v="0"/>
    <x v="3"/>
    <s v="Noah"/>
    <n v="1.25"/>
    <n v="34316.25"/>
    <s v="Normal"/>
  </r>
  <r>
    <x v="4"/>
    <x v="6"/>
    <s v="Sales Executive"/>
    <s v="Contract"/>
    <n v="935398"/>
    <n v="0"/>
    <s v="INR"/>
    <s v="Fixed salary"/>
    <x v="8"/>
    <s v="Abu Dhabi"/>
    <s v="Abu Dhabi"/>
    <n v="20"/>
    <n v="20"/>
    <x v="3"/>
    <x v="1"/>
    <s v="Matthew"/>
    <n v="1.2E-2"/>
    <n v="11224.776"/>
    <s v="Normal"/>
  </r>
  <r>
    <x v="0"/>
    <x v="6"/>
    <s v="QA Engineer"/>
    <s v="Remote"/>
    <n v="78333"/>
    <n v="0"/>
    <s v="CAD"/>
    <s v="Hourly"/>
    <x v="6"/>
    <s v="Texas"/>
    <s v="Dallas"/>
    <n v="9"/>
    <n v="8"/>
    <x v="4"/>
    <x v="3"/>
    <s v="Noah"/>
    <n v="0.73"/>
    <n v="57183.09"/>
    <s v="Normal"/>
  </r>
  <r>
    <x v="4"/>
    <x v="4"/>
    <s v="S/W Engineer"/>
    <s v="Full-time"/>
    <n v="80894"/>
    <n v="6586"/>
    <s v="GBP"/>
    <s v="Fixed salary"/>
    <x v="2"/>
    <s v="Central Region"/>
    <s v="Singapore"/>
    <n v="25"/>
    <n v="25"/>
    <x v="1"/>
    <x v="1"/>
    <s v="Priya"/>
    <n v="1.25"/>
    <n v="101117.5"/>
    <s v="Normal"/>
  </r>
  <r>
    <x v="1"/>
    <x v="6"/>
    <s v="Software Engineer"/>
    <s v="Senior"/>
    <n v="56903"/>
    <n v="0"/>
    <s v="GBP"/>
    <s v="Commission-based"/>
    <x v="7"/>
    <s v="Provence-Alpes-Côte d'Azur"/>
    <s v="Nice"/>
    <n v="1"/>
    <n v="0"/>
    <x v="2"/>
    <x v="1"/>
    <s v="Ramesh"/>
    <n v="1.25"/>
    <n v="71128.75"/>
    <s v="Normal"/>
  </r>
  <r>
    <x v="2"/>
    <x v="0"/>
    <s v="Teacher"/>
    <s v="Part-time"/>
    <n v="87297"/>
    <n v="8964"/>
    <s v="GBP"/>
    <s v="Fixed salary"/>
    <x v="9"/>
    <s v="England"/>
    <s v="London"/>
    <n v="15"/>
    <n v="15"/>
    <x v="4"/>
    <x v="2"/>
    <s v="Sara"/>
    <n v="1.25"/>
    <n v="109121.25"/>
    <s v="Normal"/>
  </r>
  <r>
    <x v="3"/>
    <x v="5"/>
    <s v="DevOps Engineer"/>
    <s v="Contract"/>
    <n v="137568"/>
    <n v="2914"/>
    <s v="AUD"/>
    <s v="Commission-based"/>
    <x v="7"/>
    <s v="Provence-Alpes-Côte d'Azur"/>
    <s v="Nice"/>
    <n v="5"/>
    <n v="5"/>
    <x v="3"/>
    <x v="2"/>
    <s v="Anita"/>
    <n v="0.65"/>
    <n v="89419.199999999997"/>
    <s v="Normal"/>
  </r>
  <r>
    <x v="2"/>
    <x v="6"/>
    <s v="Accountant"/>
    <s v="Senior"/>
    <n v="43540"/>
    <n v="5668"/>
    <s v="GBP"/>
    <s v="Unknown"/>
    <x v="0"/>
    <s v="South Holland"/>
    <s v="Rotterdam"/>
    <n v="7"/>
    <n v="7"/>
    <x v="5"/>
    <x v="3"/>
    <s v="Dwayne"/>
    <n v="1.25"/>
    <n v="54425"/>
    <s v="Normal"/>
  </r>
  <r>
    <x v="3"/>
    <x v="0"/>
    <s v="QA Engineer"/>
    <s v="On-site"/>
    <n v="71614"/>
    <n v="4649"/>
    <s v="AUD"/>
    <s v="Fixed salary"/>
    <x v="2"/>
    <s v="Central Region"/>
    <s v="Singapore"/>
    <n v="5"/>
    <n v="4"/>
    <x v="4"/>
    <x v="3"/>
    <s v="Sneha"/>
    <n v="0.65"/>
    <n v="46549.1"/>
    <s v="Normal"/>
  </r>
  <r>
    <x v="3"/>
    <x v="0"/>
    <s v="Project Manager"/>
    <s v="Unknown"/>
    <n v="1212737"/>
    <n v="5538"/>
    <s v="INR"/>
    <s v="Unknown"/>
    <x v="8"/>
    <s v="Abu Dhabi"/>
    <s v="Abu Dhabi"/>
    <n v="4"/>
    <n v="4"/>
    <x v="0"/>
    <x v="3"/>
    <s v="Kristen"/>
    <n v="1.2E-2"/>
    <n v="14552.844000000001"/>
    <s v="Normal"/>
  </r>
  <r>
    <x v="2"/>
    <x v="1"/>
    <s v="Accountant"/>
    <s v="Senior"/>
    <n v="108620"/>
    <n v="1353"/>
    <s v="CAD"/>
    <s v="Fixed salary"/>
    <x v="8"/>
    <s v="Dubai"/>
    <s v="Dubai"/>
    <n v="4"/>
    <n v="4"/>
    <x v="4"/>
    <x v="0"/>
    <s v="Kelly"/>
    <n v="0.73"/>
    <n v="79292.599999999991"/>
    <s v="Normal"/>
  </r>
  <r>
    <x v="0"/>
    <x v="6"/>
    <s v="DevOps Engineer"/>
    <s v="Lead"/>
    <n v="20372"/>
    <n v="0"/>
    <s v="CAD"/>
    <s v="Hourly"/>
    <x v="1"/>
    <s v="Hesse"/>
    <s v="Frankfurt"/>
    <n v="9"/>
    <n v="8"/>
    <x v="5"/>
    <x v="3"/>
    <s v="Suzanne"/>
    <n v="0.73"/>
    <n v="14871.56"/>
    <s v="Normal"/>
  </r>
  <r>
    <x v="3"/>
    <x v="3"/>
    <s v="Business Analyst"/>
    <s v="Full-time"/>
    <n v="100658"/>
    <n v="0"/>
    <s v="AUD"/>
    <s v="Commission-based"/>
    <x v="5"/>
    <s v="Karnataka"/>
    <s v="Bengaluru"/>
    <n v="1"/>
    <n v="1"/>
    <x v="5"/>
    <x v="0"/>
    <s v="Audrey"/>
    <n v="0.65"/>
    <n v="65427.700000000004"/>
    <s v="Normal"/>
  </r>
  <r>
    <x v="2"/>
    <x v="5"/>
    <s v="Data Analyst"/>
    <s v="Junior"/>
    <n v="87418"/>
    <n v="10486"/>
    <s v="GBP"/>
    <s v="Unknown"/>
    <x v="2"/>
    <s v="Central Region"/>
    <s v="Singapore"/>
    <n v="3"/>
    <n v="3"/>
    <x v="1"/>
    <x v="1"/>
    <s v="Rachel"/>
    <n v="1.25"/>
    <n v="109272.5"/>
    <s v="Normal"/>
  </r>
  <r>
    <x v="2"/>
    <x v="3"/>
    <s v="Professor"/>
    <s v="Senior"/>
    <n v="34924"/>
    <n v="5205"/>
    <s v="GBP"/>
    <s v="Commission-based"/>
    <x v="3"/>
    <s v="Victoria"/>
    <s v="Melbourne"/>
    <n v="15"/>
    <n v="15"/>
    <x v="0"/>
    <x v="2"/>
    <s v="Anita"/>
    <n v="1.25"/>
    <n v="43655"/>
    <s v="Normal"/>
  </r>
  <r>
    <x v="2"/>
    <x v="0"/>
    <s v="Professor"/>
    <s v="Lead"/>
    <n v="19650"/>
    <n v="447"/>
    <s v="USD"/>
    <s v="Unknown"/>
    <x v="8"/>
    <s v="Abu Dhabi"/>
    <s v="Abu Dhabi"/>
    <n v="7"/>
    <n v="4"/>
    <x v="2"/>
    <x v="2"/>
    <s v="Emma"/>
    <n v="1"/>
    <n v="19650"/>
    <s v="Normal"/>
  </r>
  <r>
    <x v="3"/>
    <x v="9"/>
    <s v="Business Analyst"/>
    <s v="Intern"/>
    <n v="92541"/>
    <n v="969"/>
    <s v="EUR"/>
    <s v="Commission-based"/>
    <x v="8"/>
    <s v="Abu Dhabi"/>
    <s v="Abu Dhabi"/>
    <n v="1"/>
    <n v="1"/>
    <x v="4"/>
    <x v="0"/>
    <s v="Sara"/>
    <n v="1.1000000000000001"/>
    <n v="101795.1"/>
    <s v="Normal"/>
  </r>
  <r>
    <x v="2"/>
    <x v="3"/>
    <s v="HR Manager"/>
    <s v="Remote"/>
    <n v="66737"/>
    <n v="3269"/>
    <s v="EUR"/>
    <s v="Fixed salary"/>
    <x v="2"/>
    <s v="Central Region"/>
    <s v="Singapore"/>
    <n v="5"/>
    <n v="5"/>
    <x v="1"/>
    <x v="0"/>
    <s v="Rodney"/>
    <n v="1.1000000000000001"/>
    <n v="73410.700000000012"/>
    <s v="Normal"/>
  </r>
  <r>
    <x v="4"/>
    <x v="8"/>
    <s v="Product Manager"/>
    <s v="Unknown"/>
    <n v="1215015"/>
    <n v="218001"/>
    <s v="INR"/>
    <s v="Unknown"/>
    <x v="3"/>
    <s v="New South Wales"/>
    <s v="Sydney"/>
    <n v="20"/>
    <n v="17"/>
    <x v="2"/>
    <x v="0"/>
    <s v="Eric"/>
    <n v="1.2E-2"/>
    <n v="14580.18"/>
    <s v="Normal"/>
  </r>
  <r>
    <x v="4"/>
    <x v="2"/>
    <s v="Product Manager"/>
    <s v="Full-time"/>
    <n v="61340"/>
    <n v="8040"/>
    <s v="EUR"/>
    <s v="Hourly"/>
    <x v="7"/>
    <s v="Provence-Alpes-Côte d'Azur"/>
    <s v="Nice"/>
    <n v="9"/>
    <n v="9"/>
    <x v="3"/>
    <x v="2"/>
    <s v="Michael"/>
    <n v="1.1000000000000001"/>
    <n v="67474"/>
    <s v="Normal"/>
  </r>
  <r>
    <x v="0"/>
    <x v="8"/>
    <s v="Data Scientist"/>
    <s v="Part-time"/>
    <n v="99207"/>
    <n v="2035"/>
    <s v="AUD"/>
    <s v="Commission-based"/>
    <x v="5"/>
    <s v="Delhi"/>
    <s v="New Delhi"/>
    <n v="25"/>
    <n v="22"/>
    <x v="5"/>
    <x v="1"/>
    <s v="Amanda"/>
    <n v="0.65"/>
    <n v="64484.55"/>
    <s v="Normal"/>
  </r>
  <r>
    <x v="0"/>
    <x v="11"/>
    <s v="Data Analyst"/>
    <s v="Full-time"/>
    <n v="78728"/>
    <n v="1658"/>
    <s v="USD"/>
    <s v="Fixed salary"/>
    <x v="7"/>
    <s v="Île-de-France"/>
    <s v="Paris"/>
    <n v="10"/>
    <n v="10"/>
    <x v="5"/>
    <x v="1"/>
    <s v="John"/>
    <n v="1"/>
    <n v="78728"/>
    <s v="Normal"/>
  </r>
  <r>
    <x v="2"/>
    <x v="2"/>
    <s v="Nurse"/>
    <s v="Lead"/>
    <n v="112963"/>
    <n v="2568"/>
    <s v="CAD"/>
    <s v="Contract"/>
    <x v="3"/>
    <s v="Queensland"/>
    <s v="Brisbane"/>
    <n v="15"/>
    <n v="13"/>
    <x v="4"/>
    <x v="1"/>
    <s v="Rachel"/>
    <n v="0.73"/>
    <n v="82462.990000000005"/>
    <s v="Normal"/>
  </r>
  <r>
    <x v="3"/>
    <x v="11"/>
    <s v="System Administrator"/>
    <s v="Part-time"/>
    <n v="108858"/>
    <n v="1760"/>
    <s v="USD"/>
    <s v="Hourly"/>
    <x v="3"/>
    <s v="Queensland"/>
    <s v="Brisbane"/>
    <n v="1"/>
    <n v="0"/>
    <x v="0"/>
    <x v="1"/>
    <s v="Anita"/>
    <n v="1"/>
    <n v="108858"/>
    <s v="Normal"/>
  </r>
  <r>
    <x v="2"/>
    <x v="9"/>
    <s v="Teacher"/>
    <s v="Contract"/>
    <n v="76630"/>
    <n v="933"/>
    <s v="CAD"/>
    <s v="Contract"/>
    <x v="2"/>
    <s v="Central Region"/>
    <s v="Singapore"/>
    <n v="10"/>
    <n v="9"/>
    <x v="0"/>
    <x v="0"/>
    <s v="Christina"/>
    <n v="0.73"/>
    <n v="55939.9"/>
    <s v="Normal"/>
  </r>
  <r>
    <x v="2"/>
    <x v="0"/>
    <s v="QA Engineer"/>
    <s v="Part-time"/>
    <n v="64540"/>
    <n v="2955"/>
    <s v="AUD"/>
    <s v="Commission-based"/>
    <x v="4"/>
    <s v="Ontario"/>
    <s v="Ottawa"/>
    <n v="15"/>
    <n v="13"/>
    <x v="0"/>
    <x v="2"/>
    <s v="Anthony"/>
    <n v="0.65"/>
    <n v="41951"/>
    <s v="Normal"/>
  </r>
  <r>
    <x v="2"/>
    <x v="4"/>
    <s v="HR Manager"/>
    <s v="Lead"/>
    <n v="998685"/>
    <n v="30708"/>
    <s v="INR"/>
    <s v="Commission-based"/>
    <x v="6"/>
    <s v="California"/>
    <s v="Los Angeles"/>
    <n v="2"/>
    <n v="0"/>
    <x v="5"/>
    <x v="3"/>
    <s v="Ramesh"/>
    <n v="1.2E-2"/>
    <n v="11984.22"/>
    <s v="Normal"/>
  </r>
  <r>
    <x v="3"/>
    <x v="3"/>
    <s v="Developer"/>
    <s v="Intern"/>
    <n v="100458"/>
    <n v="0"/>
    <s v="CAD"/>
    <s v="Contract"/>
    <x v="1"/>
    <s v="Bavaria"/>
    <s v="Munich"/>
    <n v="1"/>
    <n v="0"/>
    <x v="3"/>
    <x v="0"/>
    <s v="Jason"/>
    <n v="0.73"/>
    <n v="73334.34"/>
    <s v="Normal"/>
  </r>
  <r>
    <x v="0"/>
    <x v="1"/>
    <s v="Product Manager"/>
    <s v="Intern"/>
    <n v="24554"/>
    <n v="598"/>
    <s v="GBP"/>
    <s v="Hourly"/>
    <x v="5"/>
    <s v="Karnataka"/>
    <s v="Bengaluru"/>
    <n v="10"/>
    <n v="10"/>
    <x v="3"/>
    <x v="0"/>
    <s v="Linda"/>
    <n v="1.25"/>
    <n v="30692.5"/>
    <s v="Normal"/>
  </r>
  <r>
    <x v="0"/>
    <x v="0"/>
    <s v="Data Scientist"/>
    <s v="Unknown"/>
    <n v="73160"/>
    <n v="1140"/>
    <s v="USD"/>
    <s v="Commission-based"/>
    <x v="0"/>
    <s v="South Holland"/>
    <s v="Rotterdam"/>
    <n v="18"/>
    <n v="16"/>
    <x v="4"/>
    <x v="0"/>
    <s v="Tracy"/>
    <n v="1"/>
    <n v="73160"/>
    <s v="Normal"/>
  </r>
  <r>
    <x v="2"/>
    <x v="7"/>
    <s v="Unknown"/>
    <s v="Part-time"/>
    <n v="0"/>
    <n v="15612"/>
    <s v="EUR"/>
    <s v="Contract"/>
    <x v="7"/>
    <s v="Provence-Alpes-Côte d'Azur"/>
    <s v="Unknown"/>
    <n v="0"/>
    <n v="3"/>
    <x v="5"/>
    <x v="4"/>
    <s v="Liam"/>
    <n v="1.1000000000000001"/>
    <n v="0"/>
    <s v="Normal"/>
  </r>
  <r>
    <x v="2"/>
    <x v="6"/>
    <s v="Sales Executive"/>
    <s v="Unknown"/>
    <n v="8865"/>
    <n v="1278"/>
    <s v="USD"/>
    <s v="Fixed salary"/>
    <x v="4"/>
    <s v="British Columbia"/>
    <s v="Vancouver"/>
    <n v="9"/>
    <n v="6"/>
    <x v="5"/>
    <x v="3"/>
    <s v="Greg"/>
    <n v="1"/>
    <n v="8865"/>
    <s v="Normal"/>
  </r>
  <r>
    <x v="4"/>
    <x v="6"/>
    <s v="System Administrator"/>
    <s v="Unknown"/>
    <n v="54070"/>
    <n v="1728"/>
    <s v="EUR"/>
    <s v="Contract"/>
    <x v="1"/>
    <s v="Hesse"/>
    <s v="Frankfurt"/>
    <n v="20"/>
    <n v="20"/>
    <x v="1"/>
    <x v="2"/>
    <s v="Olivia"/>
    <n v="1.1000000000000001"/>
    <n v="59477.000000000007"/>
    <s v="Normal"/>
  </r>
  <r>
    <x v="4"/>
    <x v="8"/>
    <s v="Data Analyst"/>
    <s v="Full-time"/>
    <n v="115383"/>
    <n v="2455"/>
    <s v="CAD"/>
    <s v="Contract"/>
    <x v="8"/>
    <s v="Dubai"/>
    <s v="Dubai"/>
    <n v="9"/>
    <n v="7"/>
    <x v="0"/>
    <x v="2"/>
    <s v="Connor"/>
    <n v="0.73"/>
    <n v="84229.59"/>
    <s v="Normal"/>
  </r>
  <r>
    <x v="2"/>
    <x v="8"/>
    <s v="Nurse"/>
    <s v="Part-time"/>
    <n v="67686"/>
    <n v="7946"/>
    <s v="EUR"/>
    <s v="Hourly"/>
    <x v="9"/>
    <s v="England"/>
    <s v="London"/>
    <n v="12"/>
    <n v="12"/>
    <x v="1"/>
    <x v="2"/>
    <s v="Noah"/>
    <n v="1.1000000000000001"/>
    <n v="74454.600000000006"/>
    <s v="Normal"/>
  </r>
  <r>
    <x v="4"/>
    <x v="2"/>
    <s v="Sales Executive"/>
    <s v="On-site"/>
    <n v="116195"/>
    <n v="13412"/>
    <s v="CAD"/>
    <s v="Contract"/>
    <x v="3"/>
    <s v="New South Wales"/>
    <s v="Sydney"/>
    <n v="8"/>
    <n v="8"/>
    <x v="0"/>
    <x v="0"/>
    <s v="Michael"/>
    <n v="0.73"/>
    <n v="84822.349999999991"/>
    <s v="Normal"/>
  </r>
  <r>
    <x v="3"/>
    <x v="0"/>
    <s v="Doctor"/>
    <s v="Remote"/>
    <n v="30856"/>
    <n v="265"/>
    <s v="USD"/>
    <s v="Unknown"/>
    <x v="7"/>
    <s v="Provence-Alpes-Côte d'Azur"/>
    <s v="Nice"/>
    <n v="0"/>
    <n v="0"/>
    <x v="0"/>
    <x v="2"/>
    <s v="Sara"/>
    <n v="1"/>
    <n v="30856"/>
    <s v="Normal"/>
  </r>
  <r>
    <x v="0"/>
    <x v="4"/>
    <s v="Accountant"/>
    <s v="Intern"/>
    <n v="83632"/>
    <n v="2855"/>
    <s v="AUD"/>
    <s v="Hourly"/>
    <x v="5"/>
    <s v="Delhi"/>
    <s v="New Delhi"/>
    <n v="8"/>
    <n v="8"/>
    <x v="0"/>
    <x v="2"/>
    <s v="Michael"/>
    <n v="0.65"/>
    <n v="54360.800000000003"/>
    <s v="Normal"/>
  </r>
  <r>
    <x v="2"/>
    <x v="0"/>
    <s v="HR Manager"/>
    <s v="Intern"/>
    <n v="117208"/>
    <n v="851"/>
    <s v="AUD"/>
    <s v="Hourly"/>
    <x v="0"/>
    <s v="North Holland"/>
    <s v="Amsterdam"/>
    <n v="9"/>
    <n v="9"/>
    <x v="3"/>
    <x v="2"/>
    <s v="Jennifer"/>
    <n v="0.65"/>
    <n v="76185.2"/>
    <s v="Normal"/>
  </r>
  <r>
    <x v="2"/>
    <x v="3"/>
    <s v="Accountant"/>
    <s v="Unknown"/>
    <n v="67912"/>
    <n v="0"/>
    <s v="GBP"/>
    <s v="Fixed salary"/>
    <x v="7"/>
    <s v="Île-de-France"/>
    <s v="Paris"/>
    <n v="2"/>
    <n v="2"/>
    <x v="3"/>
    <x v="2"/>
    <s v="Mark"/>
    <n v="1.25"/>
    <n v="84890"/>
    <s v="Normal"/>
  </r>
  <r>
    <x v="4"/>
    <x v="2"/>
    <s v="Teacher"/>
    <s v="On-site"/>
    <n v="88843"/>
    <n v="0"/>
    <s v="AUD"/>
    <s v="Hourly"/>
    <x v="0"/>
    <s v="North Holland"/>
    <s v="Amsterdam"/>
    <n v="10"/>
    <n v="9"/>
    <x v="1"/>
    <x v="2"/>
    <s v="Teresa"/>
    <n v="0.65"/>
    <n v="57747.950000000004"/>
    <s v="Normal"/>
  </r>
  <r>
    <x v="2"/>
    <x v="2"/>
    <s v="System Administrator"/>
    <s v="Part-time"/>
    <n v="39285"/>
    <n v="1566"/>
    <s v="GBP"/>
    <s v="Hourly"/>
    <x v="2"/>
    <s v="Central Region"/>
    <s v="Singapore"/>
    <n v="5"/>
    <n v="5"/>
    <x v="0"/>
    <x v="3"/>
    <s v="Noah"/>
    <n v="1.25"/>
    <n v="49106.25"/>
    <s v="Normal"/>
  </r>
  <r>
    <x v="2"/>
    <x v="9"/>
    <s v="S/W Engineer"/>
    <s v="Contract"/>
    <n v="77051"/>
    <n v="0"/>
    <s v="GBP"/>
    <s v="Unknown"/>
    <x v="4"/>
    <s v="British Columbia"/>
    <s v="Vancouver"/>
    <n v="8"/>
    <n v="8"/>
    <x v="4"/>
    <x v="2"/>
    <s v="Anita"/>
    <n v="1.25"/>
    <n v="96313.75"/>
    <s v="Normal"/>
  </r>
  <r>
    <x v="3"/>
    <x v="10"/>
    <s v="Business Analyst"/>
    <s v="Unknown"/>
    <n v="50554"/>
    <n v="0"/>
    <s v="CAD"/>
    <s v="Fixed salary"/>
    <x v="0"/>
    <s v="South Holland"/>
    <s v="Rotterdam"/>
    <n v="4"/>
    <n v="4"/>
    <x v="2"/>
    <x v="0"/>
    <s v="Sara"/>
    <n v="0.73"/>
    <n v="36904.42"/>
    <s v="Normal"/>
  </r>
  <r>
    <x v="2"/>
    <x v="3"/>
    <s v="Data Analyst"/>
    <s v="On-site"/>
    <n v="92481"/>
    <n v="0"/>
    <s v="AUD"/>
    <s v="Unknown"/>
    <x v="2"/>
    <s v="Central Region"/>
    <s v="Singapore"/>
    <n v="3"/>
    <n v="3"/>
    <x v="3"/>
    <x v="2"/>
    <s v="Jessica"/>
    <n v="0.65"/>
    <n v="60112.65"/>
    <s v="Normal"/>
  </r>
  <r>
    <x v="3"/>
    <x v="3"/>
    <s v="Accountant"/>
    <s v="Contract"/>
    <n v="64195"/>
    <n v="11106"/>
    <s v="USD"/>
    <s v="Commission-based"/>
    <x v="3"/>
    <s v="Queensland"/>
    <s v="Brisbane"/>
    <n v="1"/>
    <n v="0"/>
    <x v="4"/>
    <x v="1"/>
    <s v="David"/>
    <n v="1"/>
    <n v="64195"/>
    <s v="Normal"/>
  </r>
  <r>
    <x v="0"/>
    <x v="1"/>
    <s v="Professor"/>
    <s v="Intern"/>
    <n v="50209"/>
    <n v="2701"/>
    <s v="GBP"/>
    <s v="Fixed salary"/>
    <x v="3"/>
    <s v="Victoria"/>
    <s v="Melbourne"/>
    <n v="9"/>
    <n v="8"/>
    <x v="5"/>
    <x v="1"/>
    <s v="Ramesh"/>
    <n v="1.25"/>
    <n v="62761.25"/>
    <s v="Normal"/>
  </r>
  <r>
    <x v="2"/>
    <x v="11"/>
    <s v="Doctor"/>
    <s v="Intern"/>
    <n v="92742"/>
    <n v="3071"/>
    <s v="USD"/>
    <s v="Fixed salary"/>
    <x v="1"/>
    <s v="Hesse"/>
    <s v="Frankfurt"/>
    <n v="3"/>
    <n v="2"/>
    <x v="1"/>
    <x v="3"/>
    <s v="Robert"/>
    <n v="1"/>
    <n v="92742"/>
    <s v="Normal"/>
  </r>
  <r>
    <x v="2"/>
    <x v="5"/>
    <s v="Software Engineer"/>
    <s v="Contract"/>
    <n v="56840"/>
    <n v="1276"/>
    <s v="USD"/>
    <s v="Contract"/>
    <x v="3"/>
    <s v="New South Wales"/>
    <s v="Sydney"/>
    <n v="25"/>
    <n v="24"/>
    <x v="2"/>
    <x v="2"/>
    <s v="Michael"/>
    <n v="1"/>
    <n v="56840"/>
    <s v="Normal"/>
  </r>
  <r>
    <x v="3"/>
    <x v="3"/>
    <s v="Professor"/>
    <s v="Unknown"/>
    <n v="51803"/>
    <n v="3032"/>
    <s v="CAD"/>
    <s v="Hourly"/>
    <x v="4"/>
    <s v="Quebec"/>
    <s v="Montreal"/>
    <n v="7"/>
    <n v="7"/>
    <x v="5"/>
    <x v="3"/>
    <s v="Leslie"/>
    <n v="0.73"/>
    <n v="37816.19"/>
    <s v="Normal"/>
  </r>
  <r>
    <x v="2"/>
    <x v="11"/>
    <s v="HR Manager"/>
    <s v="Contract"/>
    <n v="119743"/>
    <n v="26932"/>
    <s v="AUD"/>
    <s v="Hourly"/>
    <x v="9"/>
    <s v="England"/>
    <s v="London"/>
    <n v="6"/>
    <n v="6"/>
    <x v="5"/>
    <x v="3"/>
    <s v="Sneha"/>
    <n v="0.65"/>
    <n v="77832.95"/>
    <s v="Normal"/>
  </r>
  <r>
    <x v="0"/>
    <x v="8"/>
    <s v="DevOps Engineer"/>
    <s v="Contract"/>
    <n v="92796"/>
    <n v="0"/>
    <s v="AUD"/>
    <s v="Hourly"/>
    <x v="0"/>
    <s v="South Holland"/>
    <s v="Rotterdam"/>
    <n v="9"/>
    <n v="9"/>
    <x v="2"/>
    <x v="1"/>
    <s v="Anita"/>
    <n v="0.65"/>
    <n v="60317.4"/>
    <s v="Normal"/>
  </r>
  <r>
    <x v="2"/>
    <x v="3"/>
    <s v="Data Scientist"/>
    <s v="Senior"/>
    <n v="737729"/>
    <n v="68871"/>
    <s v="INR"/>
    <s v="Contract"/>
    <x v="4"/>
    <s v="British Columbia"/>
    <s v="Vancouver"/>
    <n v="7"/>
    <n v="5"/>
    <x v="2"/>
    <x v="3"/>
    <s v="Stephen"/>
    <n v="1.2E-2"/>
    <n v="8852.7479999999996"/>
    <s v="Normal"/>
  </r>
  <r>
    <x v="3"/>
    <x v="9"/>
    <s v="Software Engineer"/>
    <s v="Lead"/>
    <n v="69699"/>
    <n v="2388"/>
    <s v="AUD"/>
    <s v="Contract"/>
    <x v="2"/>
    <s v="Central Region"/>
    <s v="Singapore"/>
    <n v="6"/>
    <n v="4"/>
    <x v="1"/>
    <x v="1"/>
    <s v="Emma"/>
    <n v="0.65"/>
    <n v="45304.35"/>
    <s v="Normal"/>
  </r>
  <r>
    <x v="3"/>
    <x v="2"/>
    <s v="Sales Executive"/>
    <s v="Senior"/>
    <n v="66776"/>
    <n v="0"/>
    <s v="GBP"/>
    <s v="Unknown"/>
    <x v="2"/>
    <s v="Central Region"/>
    <s v="Singapore"/>
    <n v="0"/>
    <n v="0"/>
    <x v="1"/>
    <x v="1"/>
    <s v="Paige"/>
    <n v="1.25"/>
    <n v="83470"/>
    <s v="Normal"/>
  </r>
  <r>
    <x v="4"/>
    <x v="0"/>
    <s v="Doctor"/>
    <s v="Contract"/>
    <n v="131498"/>
    <n v="4538"/>
    <s v="AUD"/>
    <s v="Unknown"/>
    <x v="4"/>
    <s v="Quebec"/>
    <s v="Montreal"/>
    <n v="25"/>
    <n v="25"/>
    <x v="4"/>
    <x v="0"/>
    <s v="Christopher"/>
    <n v="0.65"/>
    <n v="85473.7"/>
    <s v="Normal"/>
  </r>
  <r>
    <x v="4"/>
    <x v="8"/>
    <s v="Data Scientist"/>
    <s v="Lead"/>
    <n v="44502"/>
    <n v="1188"/>
    <s v="CAD"/>
    <s v="Fixed salary"/>
    <x v="0"/>
    <s v="South Holland"/>
    <s v="Rotterdam"/>
    <n v="12"/>
    <n v="12"/>
    <x v="1"/>
    <x v="1"/>
    <s v="Alicia"/>
    <n v="0.73"/>
    <n v="32486.46"/>
    <s v="Normal"/>
  </r>
  <r>
    <x v="0"/>
    <x v="4"/>
    <s v="Developer"/>
    <s v="Unknown"/>
    <n v="128535"/>
    <n v="7312"/>
    <s v="USD"/>
    <s v="Hourly"/>
    <x v="0"/>
    <s v="North Holland"/>
    <s v="Amsterdam"/>
    <n v="25"/>
    <n v="25"/>
    <x v="5"/>
    <x v="1"/>
    <s v="Ramesh"/>
    <n v="1"/>
    <n v="128535"/>
    <s v="Normal"/>
  </r>
  <r>
    <x v="2"/>
    <x v="8"/>
    <s v="Developer"/>
    <s v="Full-time"/>
    <n v="61980"/>
    <n v="4111"/>
    <s v="CAD"/>
    <s v="Fixed salary"/>
    <x v="2"/>
    <s v="Central Region"/>
    <s v="Singapore"/>
    <n v="3"/>
    <n v="0"/>
    <x v="3"/>
    <x v="0"/>
    <s v="Kevin"/>
    <n v="0.73"/>
    <n v="45245.4"/>
    <s v="Normal"/>
  </r>
  <r>
    <x v="2"/>
    <x v="0"/>
    <s v="S/W Engineer"/>
    <s v="Remote"/>
    <n v="460062"/>
    <n v="48081"/>
    <s v="INR"/>
    <s v="Unknown"/>
    <x v="0"/>
    <s v="South Holland"/>
    <s v="Rotterdam"/>
    <n v="3"/>
    <n v="2"/>
    <x v="0"/>
    <x v="3"/>
    <s v="ijphn"/>
    <n v="1.2E-2"/>
    <n v="5520.7439999999997"/>
    <s v="Normal"/>
  </r>
  <r>
    <x v="0"/>
    <x v="0"/>
    <s v="Business Analyst"/>
    <s v="Lead"/>
    <n v="27627"/>
    <n v="891"/>
    <s v="GBP"/>
    <s v="Fixed salary"/>
    <x v="1"/>
    <s v="Bavaria"/>
    <s v="Munich"/>
    <n v="9"/>
    <n v="9"/>
    <x v="3"/>
    <x v="1"/>
    <s v="Laura"/>
    <n v="1.25"/>
    <n v="34533.75"/>
    <s v="Normal"/>
  </r>
  <r>
    <x v="4"/>
    <x v="4"/>
    <s v="Sales Executive"/>
    <s v="Remote"/>
    <n v="97888"/>
    <n v="0"/>
    <s v="AUD"/>
    <s v="Contract"/>
    <x v="1"/>
    <s v="Bavaria"/>
    <s v="Munich"/>
    <n v="10"/>
    <n v="10"/>
    <x v="5"/>
    <x v="0"/>
    <s v="Noah"/>
    <n v="0.65"/>
    <n v="63627.200000000004"/>
    <s v="Normal"/>
  </r>
  <r>
    <x v="3"/>
    <x v="3"/>
    <s v="Nurse"/>
    <s v="Intern"/>
    <n v="61933"/>
    <n v="1884"/>
    <s v="EUR"/>
    <s v="Fixed salary"/>
    <x v="8"/>
    <s v="Dubai"/>
    <s v="Dubai"/>
    <n v="3"/>
    <n v="0"/>
    <x v="1"/>
    <x v="1"/>
    <s v="Claudia"/>
    <n v="1.1000000000000001"/>
    <n v="68126.3"/>
    <s v="Normal"/>
  </r>
  <r>
    <x v="3"/>
    <x v="11"/>
    <s v="Data Scientist"/>
    <s v="Part-time"/>
    <n v="47387"/>
    <n v="504"/>
    <s v="EUR"/>
    <s v="Commission-based"/>
    <x v="3"/>
    <s v="New South Wales"/>
    <s v="Sydney"/>
    <n v="0"/>
    <n v="0"/>
    <x v="4"/>
    <x v="0"/>
    <s v="Kavya"/>
    <n v="1.1000000000000001"/>
    <n v="52125.700000000004"/>
    <s v="Normal"/>
  </r>
  <r>
    <x v="3"/>
    <x v="7"/>
    <s v="Unknown"/>
    <s v="Unknown"/>
    <n v="0"/>
    <n v="2481"/>
    <s v="AUD"/>
    <s v="Contract"/>
    <x v="9"/>
    <s v="Scotland"/>
    <s v="Unknown"/>
    <n v="0"/>
    <n v="5"/>
    <x v="1"/>
    <x v="4"/>
    <s v="Jennifer"/>
    <n v="0.65"/>
    <n v="0"/>
    <s v="Normal"/>
  </r>
  <r>
    <x v="4"/>
    <x v="3"/>
    <s v="Doctor"/>
    <s v="On-site"/>
    <n v="86823"/>
    <n v="0"/>
    <s v="CAD"/>
    <s v="Contract"/>
    <x v="9"/>
    <s v="Wales"/>
    <s v="Cardiff"/>
    <n v="10"/>
    <n v="10"/>
    <x v="1"/>
    <x v="2"/>
    <s v="Anita"/>
    <n v="0.73"/>
    <n v="63380.79"/>
    <s v="Normal"/>
  </r>
  <r>
    <x v="4"/>
    <x v="3"/>
    <s v="Accountant"/>
    <s v="Full-time"/>
    <n v="90234"/>
    <n v="10883"/>
    <s v="CAD"/>
    <s v="Fixed salary"/>
    <x v="6"/>
    <s v="New York"/>
    <s v="Buffalo"/>
    <n v="10"/>
    <n v="9"/>
    <x v="0"/>
    <x v="1"/>
    <s v="Maria"/>
    <n v="0.73"/>
    <n v="65870.819999999992"/>
    <s v="Normal"/>
  </r>
  <r>
    <x v="2"/>
    <x v="0"/>
    <s v="System Administrator"/>
    <s v="Remote"/>
    <n v="117376"/>
    <n v="20584"/>
    <s v="EUR"/>
    <s v="Unknown"/>
    <x v="9"/>
    <s v="Wales"/>
    <s v="Cardiff"/>
    <n v="15"/>
    <n v="15"/>
    <x v="2"/>
    <x v="2"/>
    <s v="Ramesh"/>
    <n v="1.1000000000000001"/>
    <n v="129113.60000000001"/>
    <s v="Normal"/>
  </r>
  <r>
    <x v="2"/>
    <x v="11"/>
    <s v="Accountant"/>
    <s v="Intern"/>
    <n v="85417"/>
    <n v="14866"/>
    <s v="AUD"/>
    <s v="Hourly"/>
    <x v="8"/>
    <s v="Dubai"/>
    <s v="Dubai"/>
    <n v="2"/>
    <n v="2"/>
    <x v="3"/>
    <x v="2"/>
    <s v="Tina"/>
    <n v="0.65"/>
    <n v="55521.05"/>
    <s v="Normal"/>
  </r>
  <r>
    <x v="3"/>
    <x v="0"/>
    <s v="Developer"/>
    <s v="Junior"/>
    <n v="67307"/>
    <n v="0"/>
    <s v="EUR"/>
    <s v="Contract"/>
    <x v="5"/>
    <s v="Karnataka"/>
    <s v="Bengaluru"/>
    <n v="7"/>
    <n v="7"/>
    <x v="5"/>
    <x v="3"/>
    <s v="Brandy"/>
    <n v="1.1000000000000001"/>
    <n v="74037.700000000012"/>
    <s v="Normal"/>
  </r>
  <r>
    <x v="2"/>
    <x v="10"/>
    <s v="Teacher"/>
    <s v="Senior"/>
    <n v="131939"/>
    <n v="3110"/>
    <s v="AUD"/>
    <s v="Fixed salary"/>
    <x v="3"/>
    <s v="Queensland"/>
    <s v="Brisbane"/>
    <n v="10"/>
    <n v="8"/>
    <x v="1"/>
    <x v="3"/>
    <s v="William"/>
    <n v="0.65"/>
    <n v="85760.35"/>
    <s v="Normal"/>
  </r>
  <r>
    <x v="4"/>
    <x v="6"/>
    <s v="Teacher"/>
    <s v="Lead"/>
    <n v="99478"/>
    <n v="9034"/>
    <s v="GBP"/>
    <s v="Fixed salary"/>
    <x v="6"/>
    <s v="Texas"/>
    <s v="Austin"/>
    <n v="12"/>
    <n v="10"/>
    <x v="1"/>
    <x v="1"/>
    <s v="Maria"/>
    <n v="1.25"/>
    <n v="124347.5"/>
    <s v="Normal"/>
  </r>
  <r>
    <x v="3"/>
    <x v="0"/>
    <s v="Nurse"/>
    <s v="Lead"/>
    <n v="46804"/>
    <n v="612"/>
    <s v="CAD"/>
    <s v="Hourly"/>
    <x v="1"/>
    <s v="Hesse"/>
    <s v="Frankfurt"/>
    <n v="3"/>
    <n v="3"/>
    <x v="5"/>
    <x v="1"/>
    <s v="Noah"/>
    <n v="0.73"/>
    <n v="34166.92"/>
    <s v="Normal"/>
  </r>
  <r>
    <x v="3"/>
    <x v="5"/>
    <s v="Accountant"/>
    <s v="Unknown"/>
    <n v="45146"/>
    <n v="3117"/>
    <s v="GBP"/>
    <s v="Fixed salary"/>
    <x v="3"/>
    <s v="Victoria"/>
    <s v="Melbourne"/>
    <n v="1"/>
    <n v="0"/>
    <x v="4"/>
    <x v="0"/>
    <s v="Priya"/>
    <n v="1.25"/>
    <n v="56432.5"/>
    <s v="Normal"/>
  </r>
  <r>
    <x v="3"/>
    <x v="8"/>
    <s v="System Administrator"/>
    <s v="Intern"/>
    <n v="103454"/>
    <n v="25623"/>
    <s v="CAD"/>
    <s v="Fixed salary"/>
    <x v="9"/>
    <s v="Northern Ireland"/>
    <s v="Belfast"/>
    <n v="7"/>
    <n v="4"/>
    <x v="3"/>
    <x v="2"/>
    <s v="Gloria"/>
    <n v="0.73"/>
    <n v="75521.42"/>
    <s v="Normal"/>
  </r>
  <r>
    <x v="0"/>
    <x v="3"/>
    <s v="Product Manager"/>
    <s v="Intern"/>
    <n v="140230"/>
    <n v="0"/>
    <s v="USD"/>
    <s v="Contract"/>
    <x v="5"/>
    <s v="Karnataka"/>
    <s v="Bengaluru"/>
    <n v="25"/>
    <n v="25"/>
    <x v="3"/>
    <x v="2"/>
    <s v="Anita"/>
    <n v="1"/>
    <n v="140230"/>
    <s v="Normal"/>
  </r>
  <r>
    <x v="2"/>
    <x v="6"/>
    <s v="QA Engineer"/>
    <s v="On-site"/>
    <n v="1657577"/>
    <n v="74305"/>
    <s v="INR"/>
    <s v="Hourly"/>
    <x v="5"/>
    <s v="Delhi"/>
    <s v="New Delhi"/>
    <n v="15"/>
    <n v="12"/>
    <x v="3"/>
    <x v="1"/>
    <s v="Raj"/>
    <n v="1.2E-2"/>
    <n v="19890.923999999999"/>
    <s v="Normal"/>
  </r>
  <r>
    <x v="4"/>
    <x v="6"/>
    <s v="Nurse"/>
    <s v="Junior"/>
    <n v="112785"/>
    <n v="7383"/>
    <s v="AUD"/>
    <s v="Hourly"/>
    <x v="4"/>
    <s v="Ontario"/>
    <s v="Toronto"/>
    <n v="25"/>
    <n v="25"/>
    <x v="4"/>
    <x v="2"/>
    <s v="Ashley"/>
    <n v="0.65"/>
    <n v="73310.25"/>
    <s v="Normal"/>
  </r>
  <r>
    <x v="2"/>
    <x v="3"/>
    <s v="Data Analyst"/>
    <s v="Unknown"/>
    <n v="58856"/>
    <n v="4995"/>
    <s v="EUR"/>
    <s v="Commission-based"/>
    <x v="5"/>
    <s v="Maharashtra"/>
    <s v="Pune"/>
    <n v="4"/>
    <n v="4"/>
    <x v="2"/>
    <x v="2"/>
    <s v="Christopher"/>
    <n v="1.1000000000000001"/>
    <n v="64741.600000000006"/>
    <s v="Normal"/>
  </r>
  <r>
    <x v="0"/>
    <x v="5"/>
    <s v="QA Engineer"/>
    <s v="Junior"/>
    <n v="48130"/>
    <n v="10413"/>
    <s v="CAD"/>
    <s v="Commission-based"/>
    <x v="8"/>
    <s v="Dubai"/>
    <s v="Dubai"/>
    <n v="15"/>
    <n v="15"/>
    <x v="2"/>
    <x v="3"/>
    <s v="Raj"/>
    <n v="0.73"/>
    <n v="35134.9"/>
    <s v="Normal"/>
  </r>
  <r>
    <x v="2"/>
    <x v="6"/>
    <s v="Data Analyst"/>
    <s v="Unknown"/>
    <n v="80669"/>
    <n v="5103"/>
    <s v="AUD"/>
    <s v="Hourly"/>
    <x v="5"/>
    <s v="Karnataka"/>
    <s v="Bengaluru"/>
    <n v="12"/>
    <n v="12"/>
    <x v="1"/>
    <x v="0"/>
    <s v="Anita"/>
    <n v="0.65"/>
    <n v="52434.85"/>
    <s v="Normal"/>
  </r>
  <r>
    <x v="1"/>
    <x v="5"/>
    <s v="Data Scientist"/>
    <s v="On-site"/>
    <n v="118701"/>
    <n v="17452"/>
    <s v="USD"/>
    <s v="Unknown"/>
    <x v="1"/>
    <s v="Berlin"/>
    <s v="Berlin"/>
    <n v="1"/>
    <n v="0"/>
    <x v="0"/>
    <x v="2"/>
    <s v="Jacob"/>
    <n v="1"/>
    <n v="118701"/>
    <s v="Normal"/>
  </r>
  <r>
    <x v="2"/>
    <x v="11"/>
    <s v="QA Engineer"/>
    <s v="Senior"/>
    <n v="139843"/>
    <n v="11955"/>
    <s v="USD"/>
    <s v="Hourly"/>
    <x v="9"/>
    <s v="Northern Ireland"/>
    <s v="Belfast"/>
    <n v="8"/>
    <n v="8"/>
    <x v="4"/>
    <x v="1"/>
    <s v="Liam"/>
    <n v="1"/>
    <n v="139843"/>
    <s v="Normal"/>
  </r>
  <r>
    <x v="3"/>
    <x v="3"/>
    <s v="QA Engineer"/>
    <s v="Remote"/>
    <n v="106420"/>
    <n v="29713"/>
    <s v="AUD"/>
    <s v="Commission-based"/>
    <x v="9"/>
    <s v="Northern Ireland"/>
    <s v="Belfast"/>
    <n v="5"/>
    <n v="3"/>
    <x v="0"/>
    <x v="0"/>
    <s v="Anita"/>
    <n v="0.65"/>
    <n v="69173"/>
    <s v="Normal"/>
  </r>
  <r>
    <x v="3"/>
    <x v="3"/>
    <s v="HR Manager"/>
    <s v="Senior"/>
    <n v="90141"/>
    <n v="7664"/>
    <s v="AUD"/>
    <s v="Unknown"/>
    <x v="7"/>
    <s v="Provence-Alpes-Côte d'Azur"/>
    <s v="Nice"/>
    <n v="3"/>
    <n v="1"/>
    <x v="4"/>
    <x v="2"/>
    <s v="Michael"/>
    <n v="0.65"/>
    <n v="58591.65"/>
    <s v="Normal"/>
  </r>
  <r>
    <x v="0"/>
    <x v="3"/>
    <s v="QA Engineer"/>
    <s v="Remote"/>
    <n v="595513"/>
    <n v="0"/>
    <s v="INR"/>
    <s v="Hourly"/>
    <x v="6"/>
    <s v="California"/>
    <s v="San Francisco"/>
    <n v="25"/>
    <n v="25"/>
    <x v="1"/>
    <x v="3"/>
    <s v="Liam"/>
    <n v="1.2E-2"/>
    <n v="7146.1559999999999"/>
    <s v="Normal"/>
  </r>
  <r>
    <x v="3"/>
    <x v="3"/>
    <s v="Developer"/>
    <s v="Remote"/>
    <n v="77726"/>
    <n v="0"/>
    <s v="EUR"/>
    <s v="Fixed salary"/>
    <x v="1"/>
    <s v="Bavaria"/>
    <s v="Munich"/>
    <n v="0"/>
    <n v="0"/>
    <x v="5"/>
    <x v="2"/>
    <s v="David"/>
    <n v="1.1000000000000001"/>
    <n v="85498.6"/>
    <s v="Normal"/>
  </r>
  <r>
    <x v="0"/>
    <x v="0"/>
    <s v="Project Manager"/>
    <s v="Unknown"/>
    <n v="144225"/>
    <n v="0"/>
    <s v="USD"/>
    <s v="Commission-based"/>
    <x v="0"/>
    <s v="North Holland"/>
    <s v="Amsterdam"/>
    <n v="15"/>
    <n v="14"/>
    <x v="3"/>
    <x v="3"/>
    <s v="Peggy"/>
    <n v="1"/>
    <n v="144225"/>
    <s v="Normal"/>
  </r>
  <r>
    <x v="0"/>
    <x v="2"/>
    <s v="Professor"/>
    <s v="Senior"/>
    <n v="464312"/>
    <n v="19113"/>
    <s v="INR"/>
    <s v="Unknown"/>
    <x v="0"/>
    <s v="South Holland"/>
    <s v="Rotterdam"/>
    <n v="25"/>
    <n v="25"/>
    <x v="0"/>
    <x v="3"/>
    <s v="Wendy"/>
    <n v="1.2E-2"/>
    <n v="5571.7439999999997"/>
    <s v="Normal"/>
  </r>
  <r>
    <x v="1"/>
    <x v="3"/>
    <s v="Data Analyst"/>
    <s v="Unknown"/>
    <n v="111752"/>
    <n v="883"/>
    <s v="CAD"/>
    <s v="Contract"/>
    <x v="1"/>
    <s v="Hesse"/>
    <s v="Frankfurt"/>
    <n v="0"/>
    <n v="0"/>
    <x v="5"/>
    <x v="1"/>
    <s v="Dominique"/>
    <n v="0.73"/>
    <n v="81578.959999999992"/>
    <s v="Normal"/>
  </r>
  <r>
    <x v="3"/>
    <x v="9"/>
    <s v="Sales Executive"/>
    <s v="Senior"/>
    <n v="68779"/>
    <n v="3365"/>
    <s v="USD"/>
    <s v="Unknown"/>
    <x v="2"/>
    <s v="Central Region"/>
    <s v="Singapore"/>
    <n v="7"/>
    <n v="4"/>
    <x v="5"/>
    <x v="3"/>
    <s v="Arjun"/>
    <n v="1"/>
    <n v="68779"/>
    <s v="Normal"/>
  </r>
  <r>
    <x v="2"/>
    <x v="5"/>
    <s v="S/W Engineer"/>
    <s v="Junior"/>
    <n v="894245"/>
    <n v="50810"/>
    <s v="INR"/>
    <s v="Hourly"/>
    <x v="3"/>
    <s v="Victoria"/>
    <s v="Melbourne"/>
    <n v="15"/>
    <n v="14"/>
    <x v="0"/>
    <x v="3"/>
    <s v="Danielle"/>
    <n v="1.2E-2"/>
    <n v="10730.94"/>
    <s v="Normal"/>
  </r>
  <r>
    <x v="0"/>
    <x v="4"/>
    <s v="Teacher"/>
    <s v="Unknown"/>
    <n v="76713"/>
    <n v="9101"/>
    <s v="EUR"/>
    <s v="Contract"/>
    <x v="4"/>
    <s v="Ontario"/>
    <s v="Ottawa"/>
    <n v="10"/>
    <n v="8"/>
    <x v="1"/>
    <x v="1"/>
    <s v="Olivia"/>
    <n v="1.1000000000000001"/>
    <n v="84384.3"/>
    <s v="Normal"/>
  </r>
  <r>
    <x v="0"/>
    <x v="10"/>
    <s v="Project Manager"/>
    <s v="Junior"/>
    <n v="48668"/>
    <n v="0"/>
    <s v="GBP"/>
    <s v="Commission-based"/>
    <x v="7"/>
    <s v="Île-de-France"/>
    <s v="Paris"/>
    <n v="10"/>
    <n v="9"/>
    <x v="1"/>
    <x v="1"/>
    <s v="Alexander"/>
    <n v="1.25"/>
    <n v="60835"/>
    <s v="Normal"/>
  </r>
  <r>
    <x v="3"/>
    <x v="3"/>
    <s v="Doctor"/>
    <s v="Senior"/>
    <n v="105362"/>
    <n v="1453"/>
    <s v="USD"/>
    <s v="Hourly"/>
    <x v="6"/>
    <s v="California"/>
    <s v="San Jose"/>
    <n v="4"/>
    <n v="3"/>
    <x v="2"/>
    <x v="3"/>
    <s v="Kevin"/>
    <n v="1"/>
    <n v="105362"/>
    <s v="Normal"/>
  </r>
  <r>
    <x v="3"/>
    <x v="1"/>
    <s v="Business Analyst"/>
    <s v="Part-time"/>
    <n v="50316"/>
    <n v="6023"/>
    <s v="GBP"/>
    <s v="Contract"/>
    <x v="5"/>
    <s v="Karnataka"/>
    <s v="Bengaluru"/>
    <n v="1"/>
    <n v="0"/>
    <x v="5"/>
    <x v="2"/>
    <s v="Alex"/>
    <n v="1.25"/>
    <n v="62895"/>
    <s v="Normal"/>
  </r>
  <r>
    <x v="3"/>
    <x v="9"/>
    <s v="System Administrator"/>
    <s v="Junior"/>
    <n v="113247"/>
    <n v="9212"/>
    <s v="EUR"/>
    <s v="Commission-based"/>
    <x v="2"/>
    <s v="Central Region"/>
    <s v="Singapore"/>
    <n v="2"/>
    <n v="0"/>
    <x v="2"/>
    <x v="0"/>
    <s v="Charles"/>
    <n v="1.1000000000000001"/>
    <n v="124571.70000000001"/>
    <s v="Normal"/>
  </r>
  <r>
    <x v="4"/>
    <x v="1"/>
    <s v="System Administrator"/>
    <s v="Part-time"/>
    <n v="72924"/>
    <n v="4668"/>
    <s v="USD"/>
    <s v="Unknown"/>
    <x v="6"/>
    <s v="Massachusetts"/>
    <s v="Boston"/>
    <n v="12"/>
    <n v="12"/>
    <x v="2"/>
    <x v="1"/>
    <s v="Megan"/>
    <n v="1"/>
    <n v="72924"/>
    <s v="Normal"/>
  </r>
  <r>
    <x v="4"/>
    <x v="9"/>
    <s v="Software Engineer"/>
    <s v="Intern"/>
    <n v="39666"/>
    <n v="3531"/>
    <s v="CAD"/>
    <s v="Fixed salary"/>
    <x v="9"/>
    <s v="Northern Ireland"/>
    <s v="Belfast"/>
    <n v="18"/>
    <n v="15"/>
    <x v="0"/>
    <x v="1"/>
    <s v="Samantha"/>
    <n v="0.73"/>
    <n v="28956.18"/>
    <s v="Normal"/>
  </r>
  <r>
    <x v="2"/>
    <x v="9"/>
    <s v="Product Manager"/>
    <s v="Full-time"/>
    <n v="163865"/>
    <n v="465"/>
    <s v="USD"/>
    <s v="Commission-based"/>
    <x v="5"/>
    <s v="Telangana"/>
    <s v="Hyderabad"/>
    <n v="4"/>
    <n v="4"/>
    <x v="2"/>
    <x v="0"/>
    <s v="Nicole"/>
    <n v="1"/>
    <n v="163865"/>
    <s v="Normal"/>
  </r>
  <r>
    <x v="3"/>
    <x v="0"/>
    <s v="Business Analyst"/>
    <s v="Full-time"/>
    <n v="106517"/>
    <n v="4230"/>
    <s v="USD"/>
    <s v="Contract"/>
    <x v="5"/>
    <s v="Karnataka"/>
    <s v="Bengaluru"/>
    <n v="3"/>
    <n v="2"/>
    <x v="5"/>
    <x v="3"/>
    <s v="Laura"/>
    <n v="1"/>
    <n v="106517"/>
    <s v="Normal"/>
  </r>
  <r>
    <x v="3"/>
    <x v="5"/>
    <s v="Data Analyst"/>
    <s v="Lead"/>
    <n v="73447"/>
    <n v="971"/>
    <s v="AUD"/>
    <s v="Unknown"/>
    <x v="7"/>
    <s v="Provence-Alpes-Côte d'Azur"/>
    <s v="Nice"/>
    <n v="2"/>
    <n v="2"/>
    <x v="2"/>
    <x v="3"/>
    <s v="Sara"/>
    <n v="0.65"/>
    <n v="47740.55"/>
    <s v="Normal"/>
  </r>
  <r>
    <x v="2"/>
    <x v="1"/>
    <s v="QA Engineer"/>
    <s v="Intern"/>
    <n v="68969"/>
    <n v="2808"/>
    <s v="USD"/>
    <s v="Hourly"/>
    <x v="4"/>
    <s v="Quebec"/>
    <s v="Montreal"/>
    <n v="4"/>
    <n v="1"/>
    <x v="3"/>
    <x v="0"/>
    <s v="Andrew"/>
    <n v="1"/>
    <n v="68969"/>
    <s v="Normal"/>
  </r>
  <r>
    <x v="2"/>
    <x v="7"/>
    <s v="Unknown"/>
    <s v="Full-time"/>
    <n v="0"/>
    <n v="14329"/>
    <s v="GBP"/>
    <s v="Contract"/>
    <x v="4"/>
    <s v="Quebec"/>
    <s v="Unknown"/>
    <n v="0"/>
    <n v="2"/>
    <x v="2"/>
    <x v="4"/>
    <s v="Tamara"/>
    <n v="1.25"/>
    <n v="0"/>
    <s v="Normal"/>
  </r>
  <r>
    <x v="3"/>
    <x v="7"/>
    <s v="Unknown"/>
    <s v="Senior"/>
    <n v="0"/>
    <n v="2286"/>
    <s v="AUD"/>
    <s v="Unknown"/>
    <x v="0"/>
    <s v="North Holland"/>
    <s v="Unknown"/>
    <n v="0"/>
    <n v="0"/>
    <x v="2"/>
    <x v="4"/>
    <s v="Sarah"/>
    <n v="0.65"/>
    <n v="0"/>
    <s v="Normal"/>
  </r>
  <r>
    <x v="0"/>
    <x v="9"/>
    <s v="Data Scientist"/>
    <s v="Remote"/>
    <n v="59221"/>
    <n v="0"/>
    <s v="EUR"/>
    <s v="Commission-based"/>
    <x v="5"/>
    <s v="Telangana"/>
    <s v="Hyderabad"/>
    <n v="10"/>
    <n v="10"/>
    <x v="2"/>
    <x v="1"/>
    <s v="Andrew"/>
    <n v="1.1000000000000001"/>
    <n v="65143.100000000006"/>
    <s v="Normal"/>
  </r>
  <r>
    <x v="2"/>
    <x v="6"/>
    <s v="DevOps Engineer"/>
    <s v="On-site"/>
    <n v="79897"/>
    <n v="7930"/>
    <s v="USD"/>
    <s v="Contract"/>
    <x v="2"/>
    <s v="Central Region"/>
    <s v="Singapore"/>
    <n v="7"/>
    <n v="6"/>
    <x v="1"/>
    <x v="2"/>
    <s v="Michael"/>
    <n v="1"/>
    <n v="79897"/>
    <s v="Normal"/>
  </r>
  <r>
    <x v="2"/>
    <x v="7"/>
    <s v="Unknown"/>
    <s v="Unknown"/>
    <n v="0"/>
    <n v="14340"/>
    <s v="EUR"/>
    <s v="Commission-based"/>
    <x v="1"/>
    <s v="Bavaria"/>
    <s v="Unknown"/>
    <n v="0"/>
    <n v="12"/>
    <x v="3"/>
    <x v="4"/>
    <s v="Emma"/>
    <n v="1.1000000000000001"/>
    <n v="0"/>
    <s v="Normal"/>
  </r>
  <r>
    <x v="2"/>
    <x v="10"/>
    <s v="Sales Executive"/>
    <s v="On-site"/>
    <n v="127323"/>
    <n v="0"/>
    <s v="CAD"/>
    <s v="Fixed salary"/>
    <x v="1"/>
    <s v="Hesse"/>
    <s v="Frankfurt"/>
    <n v="18"/>
    <n v="15"/>
    <x v="2"/>
    <x v="1"/>
    <s v="Priya"/>
    <n v="0.73"/>
    <n v="92945.79"/>
    <s v="Normal"/>
  </r>
  <r>
    <x v="3"/>
    <x v="8"/>
    <s v="Doctor"/>
    <s v="Part-time"/>
    <n v="47466"/>
    <n v="3332"/>
    <s v="AUD"/>
    <s v="Unknown"/>
    <x v="2"/>
    <s v="Central Region"/>
    <s v="Singapore"/>
    <n v="3"/>
    <n v="3"/>
    <x v="5"/>
    <x v="3"/>
    <s v="Jose"/>
    <n v="0.65"/>
    <n v="30852.9"/>
    <s v="Normal"/>
  </r>
  <r>
    <x v="0"/>
    <x v="6"/>
    <s v="Accountant"/>
    <s v="Senior"/>
    <n v="55924"/>
    <n v="2275"/>
    <s v="EUR"/>
    <s v="Unknown"/>
    <x v="4"/>
    <s v="British Columbia"/>
    <s v="Vancouver"/>
    <n v="18"/>
    <n v="17"/>
    <x v="4"/>
    <x v="1"/>
    <s v="Liam"/>
    <n v="1.1000000000000001"/>
    <n v="61516.4"/>
    <s v="Normal"/>
  </r>
  <r>
    <x v="3"/>
    <x v="3"/>
    <s v="S/W Engineer"/>
    <s v="Senior"/>
    <n v="37870"/>
    <n v="2167"/>
    <s v="GBP"/>
    <s v="Fixed salary"/>
    <x v="3"/>
    <s v="Queensland"/>
    <s v="Brisbane"/>
    <n v="0"/>
    <n v="0"/>
    <x v="2"/>
    <x v="1"/>
    <s v="Cassandra"/>
    <n v="1.25"/>
    <n v="47337.5"/>
    <s v="Normal"/>
  </r>
  <r>
    <x v="2"/>
    <x v="4"/>
    <s v="Project Manager"/>
    <s v="Lead"/>
    <n v="1063417"/>
    <n v="228862"/>
    <s v="INR"/>
    <s v="Commission-based"/>
    <x v="8"/>
    <s v="Dubai"/>
    <s v="Dubai"/>
    <n v="5"/>
    <n v="5"/>
    <x v="3"/>
    <x v="0"/>
    <s v="Ramesh"/>
    <n v="1.2E-2"/>
    <n v="12761.004000000001"/>
    <s v="Normal"/>
  </r>
  <r>
    <x v="4"/>
    <x v="4"/>
    <s v="Product Manager"/>
    <s v="Full-time"/>
    <n v="436790"/>
    <n v="17287"/>
    <s v="INR"/>
    <s v="Contract"/>
    <x v="6"/>
    <s v="Washington"/>
    <s v="Seattle"/>
    <n v="9"/>
    <n v="8"/>
    <x v="5"/>
    <x v="3"/>
    <s v="John"/>
    <n v="1.2E-2"/>
    <n v="5241.4800000000005"/>
    <s v="Normal"/>
  </r>
  <r>
    <x v="4"/>
    <x v="6"/>
    <s v="DevOps Engineer"/>
    <s v="Junior"/>
    <n v="408650"/>
    <n v="0"/>
    <s v="INR"/>
    <s v="Fixed salary"/>
    <x v="8"/>
    <s v="Abu Dhabi"/>
    <s v="Abu Dhabi"/>
    <n v="10"/>
    <n v="9"/>
    <x v="1"/>
    <x v="0"/>
    <s v="Ryan"/>
    <n v="1.2E-2"/>
    <n v="4903.8"/>
    <s v="Normal"/>
  </r>
  <r>
    <x v="4"/>
    <x v="7"/>
    <s v="Unknown"/>
    <s v="Remote"/>
    <n v="0"/>
    <n v="0"/>
    <s v="CAD"/>
    <s v="Commission-based"/>
    <x v="7"/>
    <s v="Île-de-France"/>
    <s v="Unknown"/>
    <n v="0"/>
    <n v="19"/>
    <x v="1"/>
    <x v="4"/>
    <s v="David"/>
    <n v="0.73"/>
    <n v="0"/>
    <s v="Normal"/>
  </r>
  <r>
    <x v="0"/>
    <x v="6"/>
    <s v="S/W Engineer"/>
    <s v="Senior"/>
    <n v="57541"/>
    <n v="15207"/>
    <s v="EUR"/>
    <s v="Contract"/>
    <x v="8"/>
    <s v="Abu Dhabi"/>
    <s v="Abu Dhabi"/>
    <n v="20"/>
    <n v="20"/>
    <x v="1"/>
    <x v="0"/>
    <s v="Russell"/>
    <n v="1.1000000000000001"/>
    <n v="63295.100000000006"/>
    <s v="Normal"/>
  </r>
  <r>
    <x v="2"/>
    <x v="6"/>
    <s v="Doctor"/>
    <s v="Full-time"/>
    <n v="71430"/>
    <n v="5765"/>
    <s v="AUD"/>
    <s v="Fixed salary"/>
    <x v="6"/>
    <s v="Massachusetts"/>
    <s v="Boston"/>
    <n v="4"/>
    <n v="4"/>
    <x v="5"/>
    <x v="3"/>
    <s v="Darlene"/>
    <n v="0.65"/>
    <n v="46429.5"/>
    <s v="Normal"/>
  </r>
  <r>
    <x v="4"/>
    <x v="11"/>
    <s v="QA Engineer"/>
    <s v="Junior"/>
    <n v="80377"/>
    <n v="7535"/>
    <s v="CAD"/>
    <s v="Commission-based"/>
    <x v="5"/>
    <s v="Maharashtra"/>
    <s v="Mumbai"/>
    <n v="12"/>
    <n v="12"/>
    <x v="0"/>
    <x v="2"/>
    <s v="Anita"/>
    <n v="0.73"/>
    <n v="58675.21"/>
    <s v="Normal"/>
  </r>
  <r>
    <x v="2"/>
    <x v="9"/>
    <s v="Data Scientist"/>
    <s v="Remote"/>
    <n v="69269"/>
    <n v="13252"/>
    <s v="USD"/>
    <s v="Unknown"/>
    <x v="7"/>
    <s v="Île-de-France"/>
    <s v="Paris"/>
    <n v="10"/>
    <n v="7"/>
    <x v="0"/>
    <x v="0"/>
    <s v="Robert"/>
    <n v="1"/>
    <n v="69269"/>
    <s v="Normal"/>
  </r>
  <r>
    <x v="0"/>
    <x v="10"/>
    <s v="QA Engineer"/>
    <s v="Junior"/>
    <n v="59430"/>
    <n v="5756"/>
    <s v="GBP"/>
    <s v="Commission-based"/>
    <x v="5"/>
    <s v="Maharashtra"/>
    <s v="Pune"/>
    <n v="10"/>
    <n v="8"/>
    <x v="0"/>
    <x v="2"/>
    <s v="Candice"/>
    <n v="1.25"/>
    <n v="74287.5"/>
    <s v="Normal"/>
  </r>
  <r>
    <x v="2"/>
    <x v="0"/>
    <s v="DevOps Engineer"/>
    <s v="On-site"/>
    <n v="105244"/>
    <n v="6865"/>
    <s v="AUD"/>
    <s v="Fixed salary"/>
    <x v="1"/>
    <s v="Hesse"/>
    <s v="Frankfurt"/>
    <n v="20"/>
    <n v="20"/>
    <x v="5"/>
    <x v="2"/>
    <s v="Elizabeth"/>
    <n v="0.65"/>
    <n v="68408.600000000006"/>
    <s v="Normal"/>
  </r>
  <r>
    <x v="2"/>
    <x v="8"/>
    <s v="HR Manager"/>
    <s v="Contract"/>
    <n v="99894"/>
    <n v="9694"/>
    <s v="GBP"/>
    <s v="Contract"/>
    <x v="7"/>
    <s v="Provence-Alpes-Côte d'Azur"/>
    <s v="Nice"/>
    <n v="20"/>
    <n v="20"/>
    <x v="0"/>
    <x v="0"/>
    <s v="Ronnie"/>
    <n v="1.25"/>
    <n v="124867.5"/>
    <s v="Normal"/>
  </r>
  <r>
    <x v="4"/>
    <x v="4"/>
    <s v="Doctor"/>
    <s v="On-site"/>
    <n v="11916"/>
    <n v="911"/>
    <s v="USD"/>
    <s v="Commission-based"/>
    <x v="1"/>
    <s v="Hesse"/>
    <s v="Frankfurt"/>
    <n v="20"/>
    <n v="19"/>
    <x v="1"/>
    <x v="3"/>
    <s v="Thomas"/>
    <n v="1"/>
    <n v="11916"/>
    <s v="Normal"/>
  </r>
  <r>
    <x v="1"/>
    <x v="3"/>
    <s v="S/W Engineer"/>
    <s v="Contract"/>
    <n v="1007738"/>
    <n v="186823"/>
    <s v="INR"/>
    <s v="Fixed salary"/>
    <x v="8"/>
    <s v="Dubai"/>
    <s v="Dubai"/>
    <n v="1"/>
    <n v="0"/>
    <x v="5"/>
    <x v="2"/>
    <s v="Christopher"/>
    <n v="1.2E-2"/>
    <n v="12092.856"/>
    <s v="Normal"/>
  </r>
  <r>
    <x v="0"/>
    <x v="2"/>
    <s v="DevOps Engineer"/>
    <s v="Lead"/>
    <n v="792393"/>
    <n v="0"/>
    <s v="INR"/>
    <s v="Hourly"/>
    <x v="1"/>
    <s v="Hesse"/>
    <s v="Frankfurt"/>
    <n v="15"/>
    <n v="14"/>
    <x v="3"/>
    <x v="3"/>
    <s v="Emma"/>
    <n v="1.2E-2"/>
    <n v="9508.7160000000003"/>
    <s v="Normal"/>
  </r>
  <r>
    <x v="3"/>
    <x v="4"/>
    <s v="HR Manager"/>
    <s v="Part-time"/>
    <n v="417783"/>
    <n v="0"/>
    <s v="INR"/>
    <s v="Hourly"/>
    <x v="3"/>
    <s v="Victoria"/>
    <s v="Melbourne"/>
    <n v="0"/>
    <n v="0"/>
    <x v="0"/>
    <x v="2"/>
    <s v="Lindsay"/>
    <n v="1.2E-2"/>
    <n v="5013.3959999999997"/>
    <s v="Normal"/>
  </r>
  <r>
    <x v="3"/>
    <x v="3"/>
    <s v="Nurse"/>
    <s v="Unknown"/>
    <n v="72094"/>
    <n v="7674"/>
    <s v="EUR"/>
    <s v="Hourly"/>
    <x v="2"/>
    <s v="Central Region"/>
    <s v="Singapore"/>
    <n v="4"/>
    <n v="4"/>
    <x v="4"/>
    <x v="3"/>
    <s v="Kimberly"/>
    <n v="1.1000000000000001"/>
    <n v="79303.400000000009"/>
    <s v="Normal"/>
  </r>
  <r>
    <x v="0"/>
    <x v="3"/>
    <s v="S/W Engineer"/>
    <s v="Full-time"/>
    <n v="99678"/>
    <n v="4744"/>
    <s v="USD"/>
    <s v="Hourly"/>
    <x v="6"/>
    <s v="California"/>
    <s v="San Francisco"/>
    <n v="25"/>
    <n v="25"/>
    <x v="2"/>
    <x v="2"/>
    <s v="Joseph"/>
    <n v="1"/>
    <n v="99678"/>
    <s v="Normal"/>
  </r>
  <r>
    <x v="3"/>
    <x v="3"/>
    <s v="Product Manager"/>
    <s v="Lead"/>
    <n v="37873"/>
    <n v="9188"/>
    <s v="EUR"/>
    <s v="Fixed salary"/>
    <x v="8"/>
    <s v="Abu Dhabi"/>
    <s v="Abu Dhabi"/>
    <n v="2"/>
    <n v="0"/>
    <x v="3"/>
    <x v="1"/>
    <s v="Kathryn"/>
    <n v="1.1000000000000001"/>
    <n v="41660.300000000003"/>
    <s v="Normal"/>
  </r>
  <r>
    <x v="3"/>
    <x v="8"/>
    <s v="Software Engineer"/>
    <s v="Contract"/>
    <n v="67930"/>
    <n v="2521"/>
    <s v="GBP"/>
    <s v="Fixed salary"/>
    <x v="4"/>
    <s v="Ontario"/>
    <s v="Toronto"/>
    <n v="6"/>
    <n v="6"/>
    <x v="2"/>
    <x v="2"/>
    <s v="Amanda"/>
    <n v="1.25"/>
    <n v="84912.5"/>
    <s v="Normal"/>
  </r>
  <r>
    <x v="2"/>
    <x v="10"/>
    <s v="Developer"/>
    <s v="Contract"/>
    <n v="91319"/>
    <n v="2790"/>
    <s v="CAD"/>
    <s v="Fixed salary"/>
    <x v="5"/>
    <s v="Delhi"/>
    <s v="New Delhi"/>
    <n v="5"/>
    <n v="5"/>
    <x v="0"/>
    <x v="0"/>
    <s v="Craig"/>
    <n v="0.73"/>
    <n v="66662.87"/>
    <s v="Normal"/>
  </r>
  <r>
    <x v="2"/>
    <x v="10"/>
    <s v="Product Manager"/>
    <s v="Junior"/>
    <n v="29226"/>
    <n v="1262"/>
    <s v="CAD"/>
    <s v="Contract"/>
    <x v="4"/>
    <s v="Ontario"/>
    <s v="Ottawa"/>
    <n v="12"/>
    <n v="12"/>
    <x v="1"/>
    <x v="2"/>
    <s v="Sneha"/>
    <n v="0.73"/>
    <n v="21334.98"/>
    <s v="Normal"/>
  </r>
  <r>
    <x v="3"/>
    <x v="3"/>
    <s v="Professor"/>
    <s v="On-site"/>
    <n v="154913"/>
    <n v="2639"/>
    <s v="INR"/>
    <s v="Unknown"/>
    <x v="4"/>
    <s v="Ontario"/>
    <s v="Ottawa"/>
    <n v="5"/>
    <n v="5"/>
    <x v="5"/>
    <x v="1"/>
    <s v="Michael"/>
    <n v="1.2E-2"/>
    <n v="1858.9560000000001"/>
    <s v="Normal"/>
  </r>
  <r>
    <x v="4"/>
    <x v="6"/>
    <s v="Product Manager"/>
    <s v="Lead"/>
    <n v="59568"/>
    <n v="127"/>
    <s v="CAD"/>
    <s v="Hourly"/>
    <x v="3"/>
    <s v="Victoria"/>
    <s v="Melbourne"/>
    <n v="12"/>
    <n v="11"/>
    <x v="0"/>
    <x v="0"/>
    <s v="Christopher"/>
    <n v="0.73"/>
    <n v="43484.639999999999"/>
    <s v="Normal"/>
  </r>
  <r>
    <x v="4"/>
    <x v="10"/>
    <s v="Professor"/>
    <s v="Lead"/>
    <n v="784946"/>
    <n v="0"/>
    <s v="INR"/>
    <s v="Hourly"/>
    <x v="7"/>
    <s v="Provence-Alpes-Côte d'Azur"/>
    <s v="Nice"/>
    <n v="25"/>
    <n v="25"/>
    <x v="0"/>
    <x v="3"/>
    <s v="Raj"/>
    <n v="1.2E-2"/>
    <n v="9419.3520000000008"/>
    <s v="Normal"/>
  </r>
  <r>
    <x v="2"/>
    <x v="6"/>
    <s v="DevOps Engineer"/>
    <s v="On-site"/>
    <n v="77574"/>
    <n v="7291"/>
    <s v="AUD"/>
    <s v="Unknown"/>
    <x v="8"/>
    <s v="Dubai"/>
    <s v="Dubai"/>
    <n v="15"/>
    <n v="13"/>
    <x v="1"/>
    <x v="1"/>
    <s v="Jonathan"/>
    <n v="0.65"/>
    <n v="50423.1"/>
    <s v="Normal"/>
  </r>
  <r>
    <x v="4"/>
    <x v="5"/>
    <s v="Business Analyst"/>
    <s v="Lead"/>
    <n v="117023"/>
    <n v="12546"/>
    <s v="CAD"/>
    <s v="Unknown"/>
    <x v="7"/>
    <s v="Provence-Alpes-Côte d'Azur"/>
    <s v="Nice"/>
    <n v="20"/>
    <n v="19"/>
    <x v="0"/>
    <x v="3"/>
    <s v="Michael"/>
    <n v="0.73"/>
    <n v="85426.79"/>
    <s v="Normal"/>
  </r>
  <r>
    <x v="2"/>
    <x v="0"/>
    <s v="System Administrator"/>
    <s v="Part-time"/>
    <n v="63370"/>
    <n v="1794"/>
    <s v="EUR"/>
    <s v="Unknown"/>
    <x v="3"/>
    <s v="Queensland"/>
    <s v="Brisbane"/>
    <n v="2"/>
    <n v="1"/>
    <x v="2"/>
    <x v="3"/>
    <s v="Clifford"/>
    <n v="1.1000000000000001"/>
    <n v="69707"/>
    <s v="Normal"/>
  </r>
  <r>
    <x v="2"/>
    <x v="6"/>
    <s v="Developer"/>
    <s v="Part-time"/>
    <n v="55637"/>
    <n v="2599"/>
    <s v="AUD"/>
    <s v="Fixed salary"/>
    <x v="8"/>
    <s v="Dubai"/>
    <s v="Dubai"/>
    <n v="6"/>
    <n v="6"/>
    <x v="2"/>
    <x v="1"/>
    <s v="Fernando"/>
    <n v="0.65"/>
    <n v="36164.050000000003"/>
    <s v="Normal"/>
  </r>
  <r>
    <x v="3"/>
    <x v="5"/>
    <s v="System Administrator"/>
    <s v="Unknown"/>
    <n v="1501917"/>
    <n v="222793"/>
    <s v="INR"/>
    <s v="Contract"/>
    <x v="1"/>
    <s v="Berlin"/>
    <s v="Berlin"/>
    <n v="3"/>
    <n v="3"/>
    <x v="3"/>
    <x v="3"/>
    <s v="Angela"/>
    <n v="1.2E-2"/>
    <n v="18023.004000000001"/>
    <s v="Normal"/>
  </r>
  <r>
    <x v="2"/>
    <x v="0"/>
    <s v="Nurse"/>
    <s v="Junior"/>
    <n v="85390"/>
    <n v="10106"/>
    <s v="AUD"/>
    <s v="Contract"/>
    <x v="0"/>
    <s v="North Holland"/>
    <s v="Amsterdam"/>
    <n v="2"/>
    <n v="1"/>
    <x v="3"/>
    <x v="2"/>
    <s v="Holly"/>
    <n v="0.65"/>
    <n v="55503.5"/>
    <s v="Normal"/>
  </r>
  <r>
    <x v="3"/>
    <x v="9"/>
    <s v="Doctor"/>
    <s v="Lead"/>
    <n v="101650"/>
    <n v="3244"/>
    <s v="CAD"/>
    <s v="Unknown"/>
    <x v="6"/>
    <s v="New York"/>
    <s v="New York City"/>
    <n v="1"/>
    <n v="1"/>
    <x v="5"/>
    <x v="3"/>
    <s v="Patrick"/>
    <n v="0.73"/>
    <n v="74204.5"/>
    <s v="Normal"/>
  </r>
  <r>
    <x v="0"/>
    <x v="8"/>
    <s v="Nurse"/>
    <s v="Full-time"/>
    <n v="105670"/>
    <n v="3348"/>
    <s v="EUR"/>
    <s v="Hourly"/>
    <x v="7"/>
    <s v="Provence-Alpes-Côte d'Azur"/>
    <s v="Nice"/>
    <n v="10"/>
    <n v="8"/>
    <x v="3"/>
    <x v="2"/>
    <s v="Emma"/>
    <n v="1.1000000000000001"/>
    <n v="116237.00000000001"/>
    <s v="Normal"/>
  </r>
  <r>
    <x v="2"/>
    <x v="3"/>
    <s v="Business Analyst"/>
    <s v="Full-time"/>
    <n v="62535"/>
    <n v="2714"/>
    <s v="GBP"/>
    <s v="Unknown"/>
    <x v="9"/>
    <s v="Northern Ireland"/>
    <s v="Belfast"/>
    <n v="4"/>
    <n v="3"/>
    <x v="3"/>
    <x v="3"/>
    <s v="Kavya"/>
    <n v="1.25"/>
    <n v="78168.75"/>
    <s v="Normal"/>
  </r>
  <r>
    <x v="4"/>
    <x v="3"/>
    <s v="System Administrator"/>
    <s v="On-site"/>
    <n v="66789"/>
    <n v="43"/>
    <s v="EUR"/>
    <s v="Unknown"/>
    <x v="3"/>
    <s v="Queensland"/>
    <s v="Brisbane"/>
    <n v="9"/>
    <n v="9"/>
    <x v="0"/>
    <x v="0"/>
    <s v="Sara"/>
    <n v="1.1000000000000001"/>
    <n v="73467.900000000009"/>
    <s v="Normal"/>
  </r>
  <r>
    <x v="4"/>
    <x v="11"/>
    <s v="QA Engineer"/>
    <s v="Part-time"/>
    <n v="773568"/>
    <n v="19562"/>
    <s v="INR"/>
    <s v="Hourly"/>
    <x v="0"/>
    <s v="South Holland"/>
    <s v="Rotterdam"/>
    <n v="25"/>
    <n v="22"/>
    <x v="2"/>
    <x v="3"/>
    <s v="Olivia"/>
    <n v="1.2E-2"/>
    <n v="9282.8160000000007"/>
    <s v="Normal"/>
  </r>
  <r>
    <x v="2"/>
    <x v="9"/>
    <s v="Professor"/>
    <s v="Intern"/>
    <n v="119943"/>
    <n v="0"/>
    <s v="GBP"/>
    <s v="Fixed salary"/>
    <x v="7"/>
    <s v="Île-de-France"/>
    <s v="Paris"/>
    <n v="3"/>
    <n v="3"/>
    <x v="0"/>
    <x v="1"/>
    <s v="Kayla"/>
    <n v="1.25"/>
    <n v="149928.75"/>
    <s v="Normal"/>
  </r>
  <r>
    <x v="4"/>
    <x v="3"/>
    <s v="DevOps Engineer"/>
    <s v="Junior"/>
    <n v="471727"/>
    <n v="14618"/>
    <s v="INR"/>
    <s v="Hourly"/>
    <x v="7"/>
    <s v="Île-de-France"/>
    <s v="Paris"/>
    <n v="8"/>
    <n v="8"/>
    <x v="0"/>
    <x v="3"/>
    <s v="Shelby"/>
    <n v="1.2E-2"/>
    <n v="5660.7240000000002"/>
    <s v="Normal"/>
  </r>
  <r>
    <x v="3"/>
    <x v="6"/>
    <s v="Doctor"/>
    <s v="Junior"/>
    <n v="137963"/>
    <n v="4998"/>
    <s v="AUD"/>
    <s v="Fixed salary"/>
    <x v="2"/>
    <s v="Central Region"/>
    <s v="Singapore"/>
    <n v="3"/>
    <n v="2"/>
    <x v="1"/>
    <x v="0"/>
    <s v="Liam"/>
    <n v="0.65"/>
    <n v="89675.95"/>
    <s v="Normal"/>
  </r>
  <r>
    <x v="2"/>
    <x v="0"/>
    <s v="Data Scientist"/>
    <s v="Lead"/>
    <n v="117848"/>
    <n v="2364"/>
    <s v="USD"/>
    <s v="Unknown"/>
    <x v="6"/>
    <s v="Massachusetts"/>
    <s v="Boston"/>
    <n v="8"/>
    <n v="8"/>
    <x v="0"/>
    <x v="3"/>
    <s v="Noah"/>
    <n v="1"/>
    <n v="117848"/>
    <s v="Normal"/>
  </r>
  <r>
    <x v="2"/>
    <x v="7"/>
    <s v="Unknown"/>
    <s v="Senior"/>
    <n v="0"/>
    <n v="12992"/>
    <s v="USD"/>
    <s v="Contract"/>
    <x v="2"/>
    <s v="Central Region"/>
    <s v="Unknown"/>
    <n v="0"/>
    <n v="4"/>
    <x v="0"/>
    <x v="4"/>
    <s v="Ramesh"/>
    <n v="1"/>
    <n v="0"/>
    <s v="Normal"/>
  </r>
  <r>
    <x v="2"/>
    <x v="5"/>
    <s v="QA Engineer"/>
    <s v="Senior"/>
    <n v="41114"/>
    <n v="1575"/>
    <s v="USD"/>
    <s v="Fixed salary"/>
    <x v="8"/>
    <s v="Dubai"/>
    <s v="Dubai"/>
    <n v="9"/>
    <n v="7"/>
    <x v="0"/>
    <x v="3"/>
    <s v="Michelle"/>
    <n v="1"/>
    <n v="41114"/>
    <s v="Normal"/>
  </r>
  <r>
    <x v="2"/>
    <x v="3"/>
    <s v="Sales Executive"/>
    <s v="Intern"/>
    <n v="41979"/>
    <n v="6779"/>
    <s v="GBP"/>
    <s v="Hourly"/>
    <x v="5"/>
    <s v="Telangana"/>
    <s v="Hyderabad"/>
    <n v="25"/>
    <n v="25"/>
    <x v="3"/>
    <x v="2"/>
    <s v="Daniel"/>
    <n v="1.25"/>
    <n v="52473.75"/>
    <s v="Normal"/>
  </r>
  <r>
    <x v="3"/>
    <x v="1"/>
    <s v="Sales Executive"/>
    <s v="Full-time"/>
    <n v="186354"/>
    <n v="15838"/>
    <s v="INR"/>
    <s v="Contract"/>
    <x v="7"/>
    <s v="Île-de-France"/>
    <s v="Paris"/>
    <n v="6"/>
    <n v="6"/>
    <x v="3"/>
    <x v="3"/>
    <s v="Arjun"/>
    <n v="1.2E-2"/>
    <n v="2236.248"/>
    <s v="Normal"/>
  </r>
  <r>
    <x v="2"/>
    <x v="3"/>
    <s v="S/W Engineer"/>
    <s v="Contract"/>
    <n v="13592"/>
    <n v="0"/>
    <s v="GBP"/>
    <s v="Hourly"/>
    <x v="7"/>
    <s v="Île-de-France"/>
    <s v="Paris"/>
    <n v="4"/>
    <n v="3"/>
    <x v="4"/>
    <x v="2"/>
    <s v="Michael"/>
    <n v="1.25"/>
    <n v="16990"/>
    <s v="Normal"/>
  </r>
  <r>
    <x v="4"/>
    <x v="4"/>
    <s v="Sales Executive"/>
    <s v="On-site"/>
    <n v="158897"/>
    <n v="3971"/>
    <s v="AUD"/>
    <s v="Fixed salary"/>
    <x v="6"/>
    <s v="Texas"/>
    <s v="Dallas"/>
    <n v="20"/>
    <n v="20"/>
    <x v="5"/>
    <x v="0"/>
    <s v="April"/>
    <n v="0.65"/>
    <n v="103283.05"/>
    <s v="Normal"/>
  </r>
  <r>
    <x v="2"/>
    <x v="11"/>
    <s v="Product Manager"/>
    <s v="Intern"/>
    <n v="133120"/>
    <n v="3227"/>
    <s v="GBP"/>
    <s v="Hourly"/>
    <x v="3"/>
    <s v="Queensland"/>
    <s v="Brisbane"/>
    <n v="12"/>
    <n v="12"/>
    <x v="3"/>
    <x v="0"/>
    <s v="Elizabeth"/>
    <n v="1.25"/>
    <n v="166400"/>
    <s v="Normal"/>
  </r>
  <r>
    <x v="4"/>
    <x v="2"/>
    <s v="S/W Engineer"/>
    <s v="Remote"/>
    <n v="930770"/>
    <n v="18303"/>
    <s v="INR"/>
    <s v="Contract"/>
    <x v="6"/>
    <s v="California"/>
    <s v="San Francisco"/>
    <n v="10"/>
    <n v="10"/>
    <x v="1"/>
    <x v="0"/>
    <s v="Noah"/>
    <n v="1.2E-2"/>
    <n v="11169.24"/>
    <s v="Normal"/>
  </r>
  <r>
    <x v="4"/>
    <x v="4"/>
    <s v="Data Scientist"/>
    <s v="Contract"/>
    <n v="53047"/>
    <n v="454"/>
    <s v="CAD"/>
    <s v="Commission-based"/>
    <x v="1"/>
    <s v="Hesse"/>
    <s v="Frankfurt"/>
    <n v="9"/>
    <n v="7"/>
    <x v="3"/>
    <x v="2"/>
    <s v="Arjun"/>
    <n v="0.73"/>
    <n v="38724.31"/>
    <s v="Normal"/>
  </r>
  <r>
    <x v="4"/>
    <x v="0"/>
    <s v="Sales Executive"/>
    <s v="Full-time"/>
    <n v="83548"/>
    <n v="667"/>
    <s v="USD"/>
    <s v="Unknown"/>
    <x v="9"/>
    <s v="Northern Ireland"/>
    <s v="Belfast"/>
    <n v="12"/>
    <n v="12"/>
    <x v="5"/>
    <x v="0"/>
    <s v="Emma"/>
    <n v="1"/>
    <n v="83548"/>
    <s v="Normal"/>
  </r>
  <r>
    <x v="3"/>
    <x v="1"/>
    <s v="Accountant"/>
    <s v="Full-time"/>
    <n v="74229"/>
    <n v="15129"/>
    <s v="CAD"/>
    <s v="Commission-based"/>
    <x v="5"/>
    <s v="Tamil Nadu"/>
    <s v="Madurai"/>
    <n v="0"/>
    <n v="0"/>
    <x v="5"/>
    <x v="1"/>
    <s v="Sneha"/>
    <n v="0.73"/>
    <n v="54187.17"/>
    <s v="Normal"/>
  </r>
  <r>
    <x v="4"/>
    <x v="3"/>
    <s v="Teacher"/>
    <s v="Senior"/>
    <n v="16038"/>
    <n v="484"/>
    <s v="USD"/>
    <s v="Commission-based"/>
    <x v="1"/>
    <s v="Bavaria"/>
    <s v="Munich"/>
    <n v="18"/>
    <n v="16"/>
    <x v="3"/>
    <x v="1"/>
    <s v="Troy"/>
    <n v="1"/>
    <n v="16038"/>
    <s v="Normal"/>
  </r>
  <r>
    <x v="2"/>
    <x v="10"/>
    <s v="Product Manager"/>
    <s v="Remote"/>
    <n v="48942"/>
    <n v="12207"/>
    <s v="CAD"/>
    <s v="Unknown"/>
    <x v="4"/>
    <s v="Ontario"/>
    <s v="Toronto"/>
    <n v="3"/>
    <n v="2"/>
    <x v="5"/>
    <x v="3"/>
    <s v="Anita"/>
    <n v="0.73"/>
    <n v="35727.659999999996"/>
    <s v="Normal"/>
  </r>
  <r>
    <x v="4"/>
    <x v="6"/>
    <s v="Doctor"/>
    <s v="Intern"/>
    <n v="100433"/>
    <n v="4693"/>
    <s v="AUD"/>
    <s v="Fixed salary"/>
    <x v="9"/>
    <s v="Northern Ireland"/>
    <s v="Belfast"/>
    <n v="15"/>
    <n v="14"/>
    <x v="2"/>
    <x v="2"/>
    <s v="ijphn"/>
    <n v="0.65"/>
    <n v="65281.450000000004"/>
    <s v="Normal"/>
  </r>
  <r>
    <x v="3"/>
    <x v="11"/>
    <s v="Professor"/>
    <s v="Lead"/>
    <n v="48938"/>
    <n v="186"/>
    <s v="EUR"/>
    <s v="Commission-based"/>
    <x v="6"/>
    <s v="Washington"/>
    <s v="Seattle"/>
    <n v="3"/>
    <n v="1"/>
    <x v="4"/>
    <x v="0"/>
    <s v="Michael"/>
    <n v="1.1000000000000001"/>
    <n v="53831.8"/>
    <s v="Normal"/>
  </r>
  <r>
    <x v="3"/>
    <x v="8"/>
    <s v="S/W Engineer"/>
    <s v="Contract"/>
    <n v="101964"/>
    <n v="1750"/>
    <s v="EUR"/>
    <s v="Commission-based"/>
    <x v="3"/>
    <s v="Queensland"/>
    <s v="Brisbane"/>
    <n v="0"/>
    <n v="0"/>
    <x v="3"/>
    <x v="2"/>
    <s v="Joshua"/>
    <n v="1.1000000000000001"/>
    <n v="112160.40000000001"/>
    <s v="Normal"/>
  </r>
  <r>
    <x v="2"/>
    <x v="0"/>
    <s v="Doctor"/>
    <s v="Lead"/>
    <n v="1005306"/>
    <n v="29098"/>
    <s v="INR"/>
    <s v="Commission-based"/>
    <x v="7"/>
    <s v="Île-de-France"/>
    <s v="Paris"/>
    <n v="3"/>
    <n v="3"/>
    <x v="1"/>
    <x v="2"/>
    <s v="Liam"/>
    <n v="1.2E-2"/>
    <n v="12063.672"/>
    <s v="Normal"/>
  </r>
  <r>
    <x v="0"/>
    <x v="10"/>
    <s v="Accountant"/>
    <s v="Unknown"/>
    <n v="56980"/>
    <n v="4255"/>
    <s v="USD"/>
    <s v="Unknown"/>
    <x v="9"/>
    <s v="Scotland"/>
    <s v="Edinburgh"/>
    <n v="20"/>
    <n v="20"/>
    <x v="5"/>
    <x v="1"/>
    <s v="Derek"/>
    <n v="1"/>
    <n v="56980"/>
    <s v="Normal"/>
  </r>
  <r>
    <x v="2"/>
    <x v="8"/>
    <s v="Teacher"/>
    <s v="Intern"/>
    <n v="66028"/>
    <n v="1198"/>
    <s v="CAD"/>
    <s v="Unknown"/>
    <x v="4"/>
    <s v="British Columbia"/>
    <s v="Vancouver"/>
    <n v="7"/>
    <n v="7"/>
    <x v="5"/>
    <x v="1"/>
    <s v="Emma"/>
    <n v="0.73"/>
    <n v="48200.44"/>
    <s v="Normal"/>
  </r>
  <r>
    <x v="3"/>
    <x v="3"/>
    <s v="Accountant"/>
    <s v="Lead"/>
    <n v="53077"/>
    <n v="356"/>
    <s v="EUR"/>
    <s v="Contract"/>
    <x v="4"/>
    <s v="British Columbia"/>
    <s v="Vancouver"/>
    <n v="4"/>
    <n v="2"/>
    <x v="3"/>
    <x v="0"/>
    <s v="Russell"/>
    <n v="1.1000000000000001"/>
    <n v="58384.700000000004"/>
    <s v="Normal"/>
  </r>
  <r>
    <x v="3"/>
    <x v="1"/>
    <s v="Accountant"/>
    <s v="Junior"/>
    <n v="95561"/>
    <n v="3935"/>
    <s v="AUD"/>
    <s v="Hourly"/>
    <x v="1"/>
    <s v="Berlin"/>
    <s v="Berlin"/>
    <n v="6"/>
    <n v="3"/>
    <x v="3"/>
    <x v="1"/>
    <s v="Michael"/>
    <n v="0.65"/>
    <n v="62114.65"/>
    <s v="Normal"/>
  </r>
  <r>
    <x v="3"/>
    <x v="7"/>
    <s v="Unknown"/>
    <s v="Senior"/>
    <n v="0"/>
    <n v="0"/>
    <s v="AUD"/>
    <s v="Contract"/>
    <x v="1"/>
    <s v="Hesse"/>
    <s v="Unknown"/>
    <n v="0"/>
    <n v="1"/>
    <x v="3"/>
    <x v="4"/>
    <s v="Ronald"/>
    <n v="0.65"/>
    <n v="0"/>
    <s v="Normal"/>
  </r>
  <r>
    <x v="4"/>
    <x v="4"/>
    <s v="Project Manager"/>
    <s v="Unknown"/>
    <n v="56285"/>
    <n v="2848"/>
    <s v="CAD"/>
    <s v="Fixed salary"/>
    <x v="9"/>
    <s v="Northern Ireland"/>
    <s v="Belfast"/>
    <n v="25"/>
    <n v="25"/>
    <x v="0"/>
    <x v="3"/>
    <s v="Brandon"/>
    <n v="0.73"/>
    <n v="41088.049999999996"/>
    <s v="Normal"/>
  </r>
  <r>
    <x v="3"/>
    <x v="3"/>
    <s v="Data Analyst"/>
    <s v="Intern"/>
    <n v="15171"/>
    <n v="598"/>
    <s v="GBP"/>
    <s v="Unknown"/>
    <x v="9"/>
    <s v="Northern Ireland"/>
    <s v="Belfast"/>
    <n v="4"/>
    <n v="4"/>
    <x v="4"/>
    <x v="3"/>
    <s v="Emma"/>
    <n v="1.25"/>
    <n v="18963.75"/>
    <s v="Normal"/>
  </r>
  <r>
    <x v="3"/>
    <x v="7"/>
    <s v="Unknown"/>
    <s v="Senior"/>
    <n v="0"/>
    <n v="0"/>
    <s v="EUR"/>
    <s v="Contract"/>
    <x v="0"/>
    <s v="South Holland"/>
    <s v="Unknown"/>
    <n v="0"/>
    <n v="4"/>
    <x v="0"/>
    <x v="4"/>
    <s v="Sneha"/>
    <n v="1.1000000000000001"/>
    <n v="0"/>
    <s v="Normal"/>
  </r>
  <r>
    <x v="2"/>
    <x v="6"/>
    <s v="Sales Executive"/>
    <s v="Contract"/>
    <n v="58236"/>
    <n v="654"/>
    <s v="EUR"/>
    <s v="Fixed salary"/>
    <x v="9"/>
    <s v="Northern Ireland"/>
    <s v="Belfast"/>
    <n v="2"/>
    <n v="2"/>
    <x v="0"/>
    <x v="3"/>
    <s v="Arjun"/>
    <n v="1.1000000000000001"/>
    <n v="64059.600000000006"/>
    <s v="Normal"/>
  </r>
  <r>
    <x v="2"/>
    <x v="5"/>
    <s v="Sales Executive"/>
    <s v="Full-time"/>
    <n v="28605"/>
    <n v="0"/>
    <s v="CAD"/>
    <s v="Fixed salary"/>
    <x v="8"/>
    <s v="Abu Dhabi"/>
    <s v="Abu Dhabi"/>
    <n v="5"/>
    <n v="5"/>
    <x v="5"/>
    <x v="3"/>
    <s v="Steven"/>
    <n v="0.73"/>
    <n v="20881.649999999998"/>
    <s v="Normal"/>
  </r>
  <r>
    <x v="3"/>
    <x v="2"/>
    <s v="Product Manager"/>
    <s v="On-site"/>
    <n v="56093"/>
    <n v="255"/>
    <s v="CAD"/>
    <s v="Contract"/>
    <x v="8"/>
    <s v="Abu Dhabi"/>
    <s v="Abu Dhabi"/>
    <n v="2"/>
    <n v="2"/>
    <x v="0"/>
    <x v="3"/>
    <s v="Anita"/>
    <n v="0.73"/>
    <n v="40947.89"/>
    <s v="Normal"/>
  </r>
  <r>
    <x v="4"/>
    <x v="8"/>
    <s v="Nurse"/>
    <s v="Full-time"/>
    <n v="679558"/>
    <n v="0"/>
    <s v="INR"/>
    <s v="Unknown"/>
    <x v="8"/>
    <s v="Abu Dhabi"/>
    <s v="Abu Dhabi"/>
    <n v="20"/>
    <n v="20"/>
    <x v="3"/>
    <x v="2"/>
    <s v="Sean"/>
    <n v="1.2E-2"/>
    <n v="8154.6959999999999"/>
    <s v="Normal"/>
  </r>
  <r>
    <x v="2"/>
    <x v="10"/>
    <s v="Business Analyst"/>
    <s v="Intern"/>
    <n v="85374"/>
    <n v="12303"/>
    <s v="USD"/>
    <s v="Fixed salary"/>
    <x v="2"/>
    <s v="Central Region"/>
    <s v="Singapore"/>
    <n v="20"/>
    <n v="17"/>
    <x v="0"/>
    <x v="1"/>
    <s v="Amber"/>
    <n v="1"/>
    <n v="85374"/>
    <s v="Normal"/>
  </r>
  <r>
    <x v="2"/>
    <x v="9"/>
    <s v="Developer"/>
    <s v="Remote"/>
    <n v="141903"/>
    <n v="761"/>
    <s v="AUD"/>
    <s v="Unknown"/>
    <x v="1"/>
    <s v="Berlin"/>
    <s v="Berlin"/>
    <n v="18"/>
    <n v="18"/>
    <x v="4"/>
    <x v="2"/>
    <s v="Heather"/>
    <n v="0.65"/>
    <n v="92236.95"/>
    <s v="Normal"/>
  </r>
  <r>
    <x v="3"/>
    <x v="3"/>
    <s v="Nurse"/>
    <s v="Intern"/>
    <n v="152046"/>
    <n v="3394"/>
    <s v="USD"/>
    <s v="Hourly"/>
    <x v="6"/>
    <s v="California"/>
    <s v="San Francisco"/>
    <n v="0"/>
    <n v="0"/>
    <x v="4"/>
    <x v="1"/>
    <s v="Christine"/>
    <n v="1"/>
    <n v="152046"/>
    <s v="Normal"/>
  </r>
  <r>
    <x v="0"/>
    <x v="5"/>
    <s v="Accountant"/>
    <s v="Part-time"/>
    <n v="69295"/>
    <n v="574"/>
    <s v="USD"/>
    <s v="Unknown"/>
    <x v="0"/>
    <s v="South Holland"/>
    <s v="Rotterdam"/>
    <n v="18"/>
    <n v="18"/>
    <x v="2"/>
    <x v="2"/>
    <s v="Scott"/>
    <n v="1"/>
    <n v="69295"/>
    <s v="Normal"/>
  </r>
  <r>
    <x v="2"/>
    <x v="2"/>
    <s v="Business Analyst"/>
    <s v="Unknown"/>
    <n v="51052"/>
    <n v="489"/>
    <s v="CAD"/>
    <s v="Commission-based"/>
    <x v="8"/>
    <s v="Dubai"/>
    <s v="Dubai"/>
    <n v="3"/>
    <n v="1"/>
    <x v="3"/>
    <x v="1"/>
    <s v="Christopher"/>
    <n v="0.73"/>
    <n v="37267.96"/>
    <s v="Normal"/>
  </r>
  <r>
    <x v="2"/>
    <x v="7"/>
    <s v="Unknown"/>
    <s v="Junior"/>
    <n v="0"/>
    <n v="1818"/>
    <s v="USD"/>
    <s v="Hourly"/>
    <x v="5"/>
    <s v="Delhi"/>
    <s v="Unknown"/>
    <n v="0"/>
    <n v="7"/>
    <x v="4"/>
    <x v="4"/>
    <s v="Heather"/>
    <n v="1"/>
    <n v="0"/>
    <s v="Normal"/>
  </r>
  <r>
    <x v="4"/>
    <x v="2"/>
    <s v="Teacher"/>
    <s v="On-site"/>
    <n v="88574"/>
    <n v="2588"/>
    <s v="GBP"/>
    <s v="Contract"/>
    <x v="4"/>
    <s v="British Columbia"/>
    <s v="Vancouver"/>
    <n v="8"/>
    <n v="8"/>
    <x v="4"/>
    <x v="1"/>
    <s v="Noah"/>
    <n v="1.25"/>
    <n v="110717.5"/>
    <s v="Normal"/>
  </r>
  <r>
    <x v="2"/>
    <x v="0"/>
    <s v="DevOps Engineer"/>
    <s v="Intern"/>
    <n v="44183"/>
    <n v="3250"/>
    <s v="INR"/>
    <s v="Contract"/>
    <x v="0"/>
    <s v="South Holland"/>
    <s v="Rotterdam"/>
    <n v="9"/>
    <n v="6"/>
    <x v="4"/>
    <x v="0"/>
    <s v="April"/>
    <n v="1.2E-2"/>
    <n v="530.19600000000003"/>
    <s v="Normal"/>
  </r>
  <r>
    <x v="3"/>
    <x v="1"/>
    <s v="S/W Engineer"/>
    <s v="On-site"/>
    <n v="73755"/>
    <n v="0"/>
    <s v="AUD"/>
    <s v="Hourly"/>
    <x v="7"/>
    <s v="Provence-Alpes-Côte d'Azur"/>
    <s v="Nice"/>
    <n v="7"/>
    <n v="4"/>
    <x v="2"/>
    <x v="3"/>
    <s v="Theodore"/>
    <n v="0.65"/>
    <n v="47940.75"/>
    <s v="Normal"/>
  </r>
  <r>
    <x v="3"/>
    <x v="4"/>
    <s v="Business Analyst"/>
    <s v="Senior"/>
    <n v="63769"/>
    <n v="3443"/>
    <s v="AUD"/>
    <s v="Unknown"/>
    <x v="9"/>
    <s v="Scotland"/>
    <s v="Edinburgh"/>
    <n v="4"/>
    <n v="3"/>
    <x v="3"/>
    <x v="3"/>
    <s v="Jessica"/>
    <n v="0.65"/>
    <n v="41449.85"/>
    <s v="Normal"/>
  </r>
  <r>
    <x v="2"/>
    <x v="2"/>
    <s v="Sales Executive"/>
    <s v="Unknown"/>
    <n v="65588"/>
    <n v="0"/>
    <s v="EUR"/>
    <s v="Hourly"/>
    <x v="7"/>
    <s v="Provence-Alpes-Côte d'Azur"/>
    <s v="Nice"/>
    <n v="4"/>
    <n v="4"/>
    <x v="0"/>
    <x v="3"/>
    <s v="Charles"/>
    <n v="1.1000000000000001"/>
    <n v="72146.8"/>
    <s v="Normal"/>
  </r>
  <r>
    <x v="3"/>
    <x v="3"/>
    <s v="Business Analyst"/>
    <s v="Intern"/>
    <n v="48131"/>
    <n v="2080"/>
    <s v="GBP"/>
    <s v="Hourly"/>
    <x v="5"/>
    <s v="Tamil Nadu"/>
    <s v="Coimbatore"/>
    <n v="1"/>
    <n v="1"/>
    <x v="5"/>
    <x v="2"/>
    <s v="Tina"/>
    <n v="1.25"/>
    <n v="60163.75"/>
    <s v="Normal"/>
  </r>
  <r>
    <x v="4"/>
    <x v="2"/>
    <s v="Business Analyst"/>
    <s v="Junior"/>
    <n v="72627"/>
    <n v="789"/>
    <s v="CAD"/>
    <s v="Hourly"/>
    <x v="7"/>
    <s v="Provence-Alpes-Côte d'Azur"/>
    <s v="Nice"/>
    <n v="20"/>
    <n v="17"/>
    <x v="2"/>
    <x v="1"/>
    <s v="Madison"/>
    <n v="0.73"/>
    <n v="53017.71"/>
    <s v="Normal"/>
  </r>
  <r>
    <x v="2"/>
    <x v="1"/>
    <s v="Data Scientist"/>
    <s v="Junior"/>
    <n v="54819"/>
    <n v="2312"/>
    <s v="AUD"/>
    <s v="Fixed salary"/>
    <x v="7"/>
    <s v="Provence-Alpes-Côte d'Azur"/>
    <s v="Nice"/>
    <n v="15"/>
    <n v="15"/>
    <x v="2"/>
    <x v="0"/>
    <s v="Emma"/>
    <n v="0.65"/>
    <n v="35632.35"/>
    <s v="Normal"/>
  </r>
  <r>
    <x v="0"/>
    <x v="11"/>
    <s v="Nurse"/>
    <s v="Contract"/>
    <n v="114872"/>
    <n v="29117"/>
    <s v="USD"/>
    <s v="Unknown"/>
    <x v="2"/>
    <s v="Central Region"/>
    <s v="Singapore"/>
    <n v="12"/>
    <n v="10"/>
    <x v="5"/>
    <x v="1"/>
    <s v="Richard"/>
    <n v="1"/>
    <n v="114872"/>
    <s v="Normal"/>
  </r>
  <r>
    <x v="3"/>
    <x v="5"/>
    <s v="Data Scientist"/>
    <s v="On-site"/>
    <n v="1074504"/>
    <n v="87377"/>
    <s v="INR"/>
    <s v="Contract"/>
    <x v="8"/>
    <s v="Dubai"/>
    <s v="Dubai"/>
    <n v="5"/>
    <n v="4"/>
    <x v="5"/>
    <x v="3"/>
    <s v="Emma"/>
    <n v="1.2E-2"/>
    <n v="12894.048000000001"/>
    <s v="Normal"/>
  </r>
  <r>
    <x v="3"/>
    <x v="7"/>
    <s v="Unknown"/>
    <s v="Intern"/>
    <n v="0"/>
    <n v="0"/>
    <s v="GBP"/>
    <s v="Unknown"/>
    <x v="3"/>
    <s v="New South Wales"/>
    <s v="Unknown"/>
    <n v="0"/>
    <n v="1"/>
    <x v="3"/>
    <x v="4"/>
    <s v="Sara"/>
    <n v="1.25"/>
    <n v="0"/>
    <s v="Normal"/>
  </r>
  <r>
    <x v="3"/>
    <x v="11"/>
    <s v="Sales Executive"/>
    <s v="Remote"/>
    <n v="87025"/>
    <n v="7321"/>
    <s v="AUD"/>
    <s v="Contract"/>
    <x v="9"/>
    <s v="Wales"/>
    <s v="Cardiff"/>
    <n v="3"/>
    <n v="3"/>
    <x v="3"/>
    <x v="3"/>
    <s v="Denise"/>
    <n v="0.65"/>
    <n v="56566.25"/>
    <s v="Normal"/>
  </r>
  <r>
    <x v="2"/>
    <x v="8"/>
    <s v="Product Manager"/>
    <s v="Remote"/>
    <n v="79444"/>
    <n v="12494"/>
    <s v="CAD"/>
    <s v="Unknown"/>
    <x v="0"/>
    <s v="North Holland"/>
    <s v="Amsterdam"/>
    <n v="7"/>
    <n v="7"/>
    <x v="0"/>
    <x v="0"/>
    <s v="Ramesh"/>
    <n v="0.73"/>
    <n v="57994.119999999995"/>
    <s v="Normal"/>
  </r>
  <r>
    <x v="2"/>
    <x v="4"/>
    <s v="Sales Executive"/>
    <s v="Part-time"/>
    <n v="109874"/>
    <n v="0"/>
    <s v="EUR"/>
    <s v="Contract"/>
    <x v="4"/>
    <s v="British Columbia"/>
    <s v="Vancouver"/>
    <n v="20"/>
    <n v="17"/>
    <x v="4"/>
    <x v="3"/>
    <s v="Anita"/>
    <n v="1.1000000000000001"/>
    <n v="120861.40000000001"/>
    <s v="Normal"/>
  </r>
  <r>
    <x v="2"/>
    <x v="8"/>
    <s v="DevOps Engineer"/>
    <s v="Part-time"/>
    <n v="66393"/>
    <n v="3205"/>
    <s v="GBP"/>
    <s v="Contract"/>
    <x v="5"/>
    <s v="Delhi"/>
    <s v="New Delhi"/>
    <n v="9"/>
    <n v="9"/>
    <x v="4"/>
    <x v="0"/>
    <s v="Olivia"/>
    <n v="1.25"/>
    <n v="82991.25"/>
    <s v="Normal"/>
  </r>
  <r>
    <x v="0"/>
    <x v="2"/>
    <s v="System Administrator"/>
    <s v="Full-time"/>
    <n v="40333"/>
    <n v="2334"/>
    <s v="GBP"/>
    <s v="Hourly"/>
    <x v="9"/>
    <s v="Northern Ireland"/>
    <s v="Belfast"/>
    <n v="15"/>
    <n v="15"/>
    <x v="2"/>
    <x v="0"/>
    <s v="Alex"/>
    <n v="1.25"/>
    <n v="50416.25"/>
    <s v="Normal"/>
  </r>
  <r>
    <x v="2"/>
    <x v="3"/>
    <s v="S/W Engineer"/>
    <s v="Contract"/>
    <n v="15692"/>
    <n v="0"/>
    <s v="INR"/>
    <s v="Contract"/>
    <x v="4"/>
    <s v="Quebec"/>
    <s v="Montreal"/>
    <n v="20"/>
    <n v="19"/>
    <x v="4"/>
    <x v="1"/>
    <s v="William"/>
    <n v="1.2E-2"/>
    <n v="188.304"/>
    <s v="Normal"/>
  </r>
  <r>
    <x v="3"/>
    <x v="3"/>
    <s v="HR Manager"/>
    <s v="Junior"/>
    <n v="1189021"/>
    <n v="155994"/>
    <s v="INR"/>
    <s v="Unknown"/>
    <x v="3"/>
    <s v="Victoria"/>
    <s v="Melbourne"/>
    <n v="7"/>
    <n v="7"/>
    <x v="2"/>
    <x v="2"/>
    <s v="Manuel"/>
    <n v="1.2E-2"/>
    <n v="14268.252"/>
    <s v="Normal"/>
  </r>
  <r>
    <x v="2"/>
    <x v="8"/>
    <s v="S/W Engineer"/>
    <s v="On-site"/>
    <n v="65074"/>
    <n v="9498"/>
    <s v="USD"/>
    <s v="Fixed salary"/>
    <x v="9"/>
    <s v="Northern Ireland"/>
    <s v="Belfast"/>
    <n v="12"/>
    <n v="12"/>
    <x v="1"/>
    <x v="0"/>
    <s v="Kenneth"/>
    <n v="1"/>
    <n v="65074"/>
    <s v="Normal"/>
  </r>
  <r>
    <x v="3"/>
    <x v="5"/>
    <s v="Developer"/>
    <s v="Contract"/>
    <n v="116614"/>
    <n v="12768"/>
    <s v="AUD"/>
    <s v="Hourly"/>
    <x v="9"/>
    <s v="Wales"/>
    <s v="Cardiff"/>
    <n v="7"/>
    <n v="7"/>
    <x v="5"/>
    <x v="2"/>
    <s v="Raj"/>
    <n v="0.65"/>
    <n v="75799.100000000006"/>
    <s v="Normal"/>
  </r>
  <r>
    <x v="2"/>
    <x v="2"/>
    <s v="Professor"/>
    <s v="Intern"/>
    <n v="75598"/>
    <n v="3626"/>
    <s v="EUR"/>
    <s v="Contract"/>
    <x v="3"/>
    <s v="Queensland"/>
    <s v="Brisbane"/>
    <n v="10"/>
    <n v="10"/>
    <x v="2"/>
    <x v="0"/>
    <s v="Tara"/>
    <n v="1.1000000000000001"/>
    <n v="83157.8"/>
    <s v="Normal"/>
  </r>
  <r>
    <x v="0"/>
    <x v="0"/>
    <s v="Project Manager"/>
    <s v="On-site"/>
    <n v="7189350"/>
    <n v="15121"/>
    <s v="INR"/>
    <s v="Fixed salary"/>
    <x v="6"/>
    <s v="New York"/>
    <s v="Buffalo"/>
    <n v="25"/>
    <n v="24"/>
    <x v="3"/>
    <x v="2"/>
    <s v="Michele"/>
    <n v="1.2E-2"/>
    <n v="86272.2"/>
    <s v="Normal"/>
  </r>
  <r>
    <x v="4"/>
    <x v="6"/>
    <s v="Teacher"/>
    <s v="Lead"/>
    <n v="80552"/>
    <n v="0"/>
    <s v="CAD"/>
    <s v="Fixed salary"/>
    <x v="6"/>
    <s v="Texas"/>
    <s v="Dallas"/>
    <n v="10"/>
    <n v="9"/>
    <x v="0"/>
    <x v="2"/>
    <s v="Jason"/>
    <n v="0.73"/>
    <n v="58802.96"/>
    <s v="Normal"/>
  </r>
  <r>
    <x v="2"/>
    <x v="1"/>
    <s v="Business Analyst"/>
    <s v="Contract"/>
    <n v="75849"/>
    <n v="1511"/>
    <s v="GBP"/>
    <s v="Contract"/>
    <x v="1"/>
    <s v="Hesse"/>
    <s v="Frankfurt"/>
    <n v="15"/>
    <n v="14"/>
    <x v="2"/>
    <x v="2"/>
    <s v="Erin"/>
    <n v="1.25"/>
    <n v="94811.25"/>
    <s v="Normal"/>
  </r>
  <r>
    <x v="0"/>
    <x v="1"/>
    <s v="Data Analyst"/>
    <s v="Lead"/>
    <n v="52024"/>
    <n v="2323"/>
    <s v="USD"/>
    <s v="Commission-based"/>
    <x v="4"/>
    <s v="Ontario"/>
    <s v="Toronto"/>
    <n v="12"/>
    <n v="11"/>
    <x v="3"/>
    <x v="3"/>
    <s v="Tiffany"/>
    <n v="1"/>
    <n v="52024"/>
    <s v="Normal"/>
  </r>
  <r>
    <x v="3"/>
    <x v="8"/>
    <s v="Sales Executive"/>
    <s v="Part-time"/>
    <n v="128991"/>
    <n v="217"/>
    <s v="GBP"/>
    <s v="Unknown"/>
    <x v="4"/>
    <s v="Quebec"/>
    <s v="Montreal"/>
    <n v="3"/>
    <n v="1"/>
    <x v="1"/>
    <x v="3"/>
    <s v="Alex"/>
    <n v="1.25"/>
    <n v="161238.75"/>
    <s v="Normal"/>
  </r>
  <r>
    <x v="2"/>
    <x v="10"/>
    <s v="Project Manager"/>
    <s v="Unknown"/>
    <n v="96316"/>
    <n v="10527"/>
    <s v="AUD"/>
    <s v="Hourly"/>
    <x v="4"/>
    <s v="British Columbia"/>
    <s v="Vancouver"/>
    <n v="10"/>
    <n v="10"/>
    <x v="0"/>
    <x v="2"/>
    <s v="Cynthia"/>
    <n v="0.65"/>
    <n v="62605.4"/>
    <s v="Normal"/>
  </r>
  <r>
    <x v="2"/>
    <x v="3"/>
    <s v="System Administrator"/>
    <s v="Unknown"/>
    <n v="130070"/>
    <n v="15866"/>
    <s v="AUD"/>
    <s v="Unknown"/>
    <x v="0"/>
    <s v="South Holland"/>
    <s v="Rotterdam"/>
    <n v="6"/>
    <n v="6"/>
    <x v="4"/>
    <x v="1"/>
    <s v="Ramesh"/>
    <n v="0.65"/>
    <n v="84545.5"/>
    <s v="Normal"/>
  </r>
  <r>
    <x v="2"/>
    <x v="8"/>
    <s v="Doctor"/>
    <s v="Contract"/>
    <n v="99290"/>
    <n v="18835"/>
    <s v="USD"/>
    <s v="Fixed salary"/>
    <x v="3"/>
    <s v="New South Wales"/>
    <s v="Sydney"/>
    <n v="5"/>
    <n v="2"/>
    <x v="3"/>
    <x v="2"/>
    <s v="Arjun"/>
    <n v="1"/>
    <n v="99290"/>
    <s v="Normal"/>
  </r>
  <r>
    <x v="3"/>
    <x v="4"/>
    <s v="S/W Engineer"/>
    <s v="Full-time"/>
    <n v="1128761"/>
    <n v="75293"/>
    <s v="INR"/>
    <s v="Fixed salary"/>
    <x v="6"/>
    <s v="Washington"/>
    <s v="Seattle"/>
    <n v="7"/>
    <n v="7"/>
    <x v="1"/>
    <x v="0"/>
    <s v="Monique"/>
    <n v="1.2E-2"/>
    <n v="13545.132"/>
    <s v="Normal"/>
  </r>
  <r>
    <x v="2"/>
    <x v="10"/>
    <s v="HR Manager"/>
    <s v="Junior"/>
    <n v="85603"/>
    <n v="17967"/>
    <s v="CAD"/>
    <s v="Contract"/>
    <x v="5"/>
    <s v="Karnataka"/>
    <s v="Bengaluru"/>
    <n v="6"/>
    <n v="5"/>
    <x v="4"/>
    <x v="0"/>
    <s v="Kavya"/>
    <n v="0.73"/>
    <n v="62490.189999999995"/>
    <s v="Normal"/>
  </r>
  <r>
    <x v="1"/>
    <x v="9"/>
    <s v="Sales Executive"/>
    <s v="Full-time"/>
    <n v="95997"/>
    <n v="0"/>
    <s v="AUD"/>
    <s v="Contract"/>
    <x v="3"/>
    <s v="Queensland"/>
    <s v="Brisbane"/>
    <n v="1"/>
    <n v="1"/>
    <x v="4"/>
    <x v="3"/>
    <s v="William"/>
    <n v="0.65"/>
    <n v="62398.05"/>
    <s v="Normal"/>
  </r>
  <r>
    <x v="2"/>
    <x v="4"/>
    <s v="System Administrator"/>
    <s v="Full-time"/>
    <n v="54596"/>
    <n v="0"/>
    <s v="CAD"/>
    <s v="Fixed salary"/>
    <x v="0"/>
    <s v="North Holland"/>
    <s v="Amsterdam"/>
    <n v="20"/>
    <n v="18"/>
    <x v="0"/>
    <x v="3"/>
    <s v="Joan"/>
    <n v="0.73"/>
    <n v="39855.08"/>
    <s v="Normal"/>
  </r>
  <r>
    <x v="2"/>
    <x v="3"/>
    <s v="DevOps Engineer"/>
    <s v="Unknown"/>
    <n v="36924"/>
    <n v="4645"/>
    <s v="CAD"/>
    <s v="Unknown"/>
    <x v="8"/>
    <s v="Dubai"/>
    <s v="Dubai"/>
    <n v="25"/>
    <n v="23"/>
    <x v="1"/>
    <x v="1"/>
    <s v="Anita"/>
    <n v="0.73"/>
    <n v="26954.52"/>
    <s v="Normal"/>
  </r>
  <r>
    <x v="3"/>
    <x v="6"/>
    <s v="Professor"/>
    <s v="Contract"/>
    <n v="19245"/>
    <n v="2647"/>
    <s v="CAD"/>
    <s v="Commission-based"/>
    <x v="6"/>
    <s v="Washington"/>
    <s v="Seattle"/>
    <n v="0"/>
    <n v="0"/>
    <x v="5"/>
    <x v="2"/>
    <s v="Michael"/>
    <n v="0.73"/>
    <n v="14048.85"/>
    <s v="Normal"/>
  </r>
  <r>
    <x v="4"/>
    <x v="9"/>
    <s v="Data Analyst"/>
    <s v="Remote"/>
    <n v="367380"/>
    <n v="21407"/>
    <s v="INR"/>
    <s v="Commission-based"/>
    <x v="7"/>
    <s v="Provence-Alpes-Côte d'Azur"/>
    <s v="Nice"/>
    <n v="15"/>
    <n v="15"/>
    <x v="5"/>
    <x v="1"/>
    <s v="Tommy"/>
    <n v="1.2E-2"/>
    <n v="4408.5600000000004"/>
    <s v="Normal"/>
  </r>
  <r>
    <x v="0"/>
    <x v="0"/>
    <s v="Data Analyst"/>
    <s v="Junior"/>
    <n v="43252"/>
    <n v="1120"/>
    <s v="USD"/>
    <s v="Contract"/>
    <x v="8"/>
    <s v="Abu Dhabi"/>
    <s v="Abu Dhabi"/>
    <n v="20"/>
    <n v="20"/>
    <x v="4"/>
    <x v="0"/>
    <s v="Sneha"/>
    <n v="1"/>
    <n v="43252"/>
    <s v="Normal"/>
  </r>
  <r>
    <x v="4"/>
    <x v="2"/>
    <s v="Data Scientist"/>
    <s v="Part-time"/>
    <n v="77026"/>
    <n v="6314"/>
    <s v="EUR"/>
    <s v="Hourly"/>
    <x v="6"/>
    <s v="Washington"/>
    <s v="Seattle"/>
    <n v="18"/>
    <n v="16"/>
    <x v="3"/>
    <x v="3"/>
    <s v="Christine"/>
    <n v="1.1000000000000001"/>
    <n v="84728.6"/>
    <s v="Normal"/>
  </r>
  <r>
    <x v="0"/>
    <x v="11"/>
    <s v="Accountant"/>
    <s v="On-site"/>
    <n v="77831"/>
    <n v="3535"/>
    <s v="AUD"/>
    <s v="Unknown"/>
    <x v="9"/>
    <s v="Northern Ireland"/>
    <s v="Belfast"/>
    <n v="12"/>
    <n v="9"/>
    <x v="1"/>
    <x v="2"/>
    <s v="Manuel"/>
    <n v="0.65"/>
    <n v="50590.15"/>
    <s v="Normal"/>
  </r>
  <r>
    <x v="3"/>
    <x v="3"/>
    <s v="Teacher"/>
    <s v="Intern"/>
    <n v="92700"/>
    <n v="12180"/>
    <s v="USD"/>
    <s v="Hourly"/>
    <x v="3"/>
    <s v="Queensland"/>
    <s v="Brisbane"/>
    <n v="6"/>
    <n v="6"/>
    <x v="2"/>
    <x v="3"/>
    <s v="Jocelyn"/>
    <n v="1"/>
    <n v="92700"/>
    <s v="Normal"/>
  </r>
  <r>
    <x v="2"/>
    <x v="3"/>
    <s v="Nurse"/>
    <s v="On-site"/>
    <n v="91389"/>
    <n v="815"/>
    <s v="EUR"/>
    <s v="Hourly"/>
    <x v="9"/>
    <s v="Wales"/>
    <s v="Cardiff"/>
    <n v="5"/>
    <n v="2"/>
    <x v="4"/>
    <x v="2"/>
    <s v="Samuel"/>
    <n v="1.1000000000000001"/>
    <n v="100527.90000000001"/>
    <s v="Normal"/>
  </r>
  <r>
    <x v="2"/>
    <x v="0"/>
    <s v="Project Manager"/>
    <s v="Intern"/>
    <n v="50283"/>
    <n v="3761"/>
    <s v="CAD"/>
    <s v="Hourly"/>
    <x v="9"/>
    <s v="Wales"/>
    <s v="Cardiff"/>
    <n v="9"/>
    <n v="8"/>
    <x v="5"/>
    <x v="2"/>
    <s v="Lisa"/>
    <n v="0.73"/>
    <n v="36706.589999999997"/>
    <s v="Normal"/>
  </r>
  <r>
    <x v="2"/>
    <x v="0"/>
    <s v="Data Analyst"/>
    <s v="Unknown"/>
    <n v="83958"/>
    <n v="2094"/>
    <s v="AUD"/>
    <s v="Commission-based"/>
    <x v="7"/>
    <s v="Provence-Alpes-Côte d'Azur"/>
    <s v="Nice"/>
    <n v="15"/>
    <n v="13"/>
    <x v="4"/>
    <x v="0"/>
    <s v="Kimberly"/>
    <n v="0.65"/>
    <n v="54572.700000000004"/>
    <s v="Normal"/>
  </r>
  <r>
    <x v="2"/>
    <x v="3"/>
    <s v="Teacher"/>
    <s v="Full-time"/>
    <n v="126006"/>
    <n v="677"/>
    <s v="AUD"/>
    <s v="Hourly"/>
    <x v="5"/>
    <s v="Telangana"/>
    <s v="Hyderabad"/>
    <n v="10"/>
    <n v="9"/>
    <x v="0"/>
    <x v="0"/>
    <s v="Christopher"/>
    <n v="0.65"/>
    <n v="81903.900000000009"/>
    <s v="Normal"/>
  </r>
  <r>
    <x v="2"/>
    <x v="3"/>
    <s v="Product Manager"/>
    <s v="Unknown"/>
    <n v="7542"/>
    <n v="82"/>
    <s v="EUR"/>
    <s v="Fixed salary"/>
    <x v="9"/>
    <s v="Scotland"/>
    <s v="Edinburgh"/>
    <n v="4"/>
    <n v="4"/>
    <x v="0"/>
    <x v="1"/>
    <s v="Ramesh"/>
    <n v="1.1000000000000001"/>
    <n v="8296.2000000000007"/>
    <s v="Normal"/>
  </r>
  <r>
    <x v="2"/>
    <x v="3"/>
    <s v="Accountant"/>
    <s v="Remote"/>
    <n v="77631"/>
    <n v="20246"/>
    <s v="USD"/>
    <s v="Hourly"/>
    <x v="1"/>
    <s v="Berlin"/>
    <s v="Berlin"/>
    <n v="20"/>
    <n v="19"/>
    <x v="2"/>
    <x v="0"/>
    <s v="Henry"/>
    <n v="1"/>
    <n v="77631"/>
    <s v="Normal"/>
  </r>
  <r>
    <x v="0"/>
    <x v="0"/>
    <s v="Accountant"/>
    <s v="Full-time"/>
    <n v="107770"/>
    <n v="3690"/>
    <s v="USD"/>
    <s v="Fixed salary"/>
    <x v="6"/>
    <s v="Washington"/>
    <s v="Seattle"/>
    <n v="25"/>
    <n v="25"/>
    <x v="1"/>
    <x v="2"/>
    <s v="Raj"/>
    <n v="1"/>
    <n v="107770"/>
    <s v="Normal"/>
  </r>
  <r>
    <x v="1"/>
    <x v="2"/>
    <s v="Sales Executive"/>
    <s v="Senior"/>
    <n v="78027"/>
    <n v="159"/>
    <s v="CAD"/>
    <s v="Commission-based"/>
    <x v="4"/>
    <s v="Quebec"/>
    <s v="Montreal"/>
    <n v="1"/>
    <n v="0"/>
    <x v="1"/>
    <x v="0"/>
    <s v="Kavya"/>
    <n v="0.73"/>
    <n v="56959.71"/>
    <s v="Normal"/>
  </r>
  <r>
    <x v="0"/>
    <x v="8"/>
    <s v="S/W Engineer"/>
    <s v="On-site"/>
    <n v="61809"/>
    <n v="6677"/>
    <s v="AUD"/>
    <s v="Unknown"/>
    <x v="0"/>
    <s v="North Holland"/>
    <s v="Amsterdam"/>
    <n v="15"/>
    <n v="13"/>
    <x v="3"/>
    <x v="3"/>
    <s v="Kelly"/>
    <n v="0.65"/>
    <n v="40175.85"/>
    <s v="Normal"/>
  </r>
  <r>
    <x v="4"/>
    <x v="2"/>
    <s v="System Administrator"/>
    <s v="On-site"/>
    <n v="66798"/>
    <n v="7180"/>
    <s v="CAD"/>
    <s v="Unknown"/>
    <x v="5"/>
    <s v="Karnataka"/>
    <s v="Mysore"/>
    <n v="12"/>
    <n v="9"/>
    <x v="5"/>
    <x v="3"/>
    <s v="Emma"/>
    <n v="0.73"/>
    <n v="48762.54"/>
    <s v="Normal"/>
  </r>
  <r>
    <x v="2"/>
    <x v="11"/>
    <s v="System Administrator"/>
    <s v="Full-time"/>
    <n v="56180"/>
    <n v="7647"/>
    <s v="EUR"/>
    <s v="Unknown"/>
    <x v="2"/>
    <s v="Central Region"/>
    <s v="Singapore"/>
    <n v="9"/>
    <n v="9"/>
    <x v="5"/>
    <x v="1"/>
    <s v="Cynthia"/>
    <n v="1.1000000000000001"/>
    <n v="61798.000000000007"/>
    <s v="Normal"/>
  </r>
  <r>
    <x v="4"/>
    <x v="5"/>
    <s v="System Administrator"/>
    <s v="Lead"/>
    <n v="58596"/>
    <n v="10853"/>
    <s v="GBP"/>
    <s v="Unknown"/>
    <x v="7"/>
    <s v="Provence-Alpes-Côte d'Azur"/>
    <s v="Nice"/>
    <n v="8"/>
    <n v="8"/>
    <x v="0"/>
    <x v="2"/>
    <s v="ijphn"/>
    <n v="1.25"/>
    <n v="73245"/>
    <s v="Normal"/>
  </r>
  <r>
    <x v="4"/>
    <x v="4"/>
    <s v="Developer"/>
    <s v="Full-time"/>
    <n v="96559"/>
    <n v="4794"/>
    <s v="AUD"/>
    <s v="Unknown"/>
    <x v="3"/>
    <s v="New South Wales"/>
    <s v="Sydney"/>
    <n v="15"/>
    <n v="12"/>
    <x v="1"/>
    <x v="1"/>
    <s v="Marie"/>
    <n v="0.65"/>
    <n v="62763.35"/>
    <s v="Normal"/>
  </r>
  <r>
    <x v="0"/>
    <x v="3"/>
    <s v="S/W Engineer"/>
    <s v="Part-time"/>
    <n v="13459"/>
    <n v="9827"/>
    <s v="EUR"/>
    <s v="Commission-based"/>
    <x v="9"/>
    <s v="Scotland"/>
    <s v="Edinburgh"/>
    <n v="20"/>
    <n v="20"/>
    <x v="2"/>
    <x v="3"/>
    <s v="Anita"/>
    <n v="1.1000000000000001"/>
    <n v="14804.900000000001"/>
    <s v="Normal"/>
  </r>
  <r>
    <x v="2"/>
    <x v="3"/>
    <s v="Data Scientist"/>
    <s v="On-site"/>
    <n v="63335"/>
    <n v="1976"/>
    <s v="CAD"/>
    <s v="Hourly"/>
    <x v="1"/>
    <s v="Berlin"/>
    <s v="Berlin"/>
    <n v="18"/>
    <n v="17"/>
    <x v="4"/>
    <x v="2"/>
    <s v="Bruce"/>
    <n v="0.73"/>
    <n v="46234.549999999996"/>
    <s v="Normal"/>
  </r>
  <r>
    <x v="2"/>
    <x v="0"/>
    <s v="Business Analyst"/>
    <s v="Part-time"/>
    <n v="31587"/>
    <n v="8607"/>
    <s v="EUR"/>
    <s v="Unknown"/>
    <x v="6"/>
    <s v="Washington"/>
    <s v="Seattle"/>
    <n v="5"/>
    <n v="5"/>
    <x v="5"/>
    <x v="1"/>
    <s v="Alex"/>
    <n v="1.1000000000000001"/>
    <n v="34745.700000000004"/>
    <s v="Normal"/>
  </r>
  <r>
    <x v="0"/>
    <x v="3"/>
    <s v="Nurse"/>
    <s v="Senior"/>
    <n v="50965"/>
    <n v="1114"/>
    <s v="USD"/>
    <s v="Unknown"/>
    <x v="7"/>
    <s v="Provence-Alpes-Côte d'Azur"/>
    <s v="Nice"/>
    <n v="12"/>
    <n v="10"/>
    <x v="5"/>
    <x v="1"/>
    <s v="Jennifer"/>
    <n v="1"/>
    <n v="50965"/>
    <s v="Normal"/>
  </r>
  <r>
    <x v="2"/>
    <x v="5"/>
    <s v="Software Engineer"/>
    <s v="Junior"/>
    <n v="34268"/>
    <n v="580"/>
    <s v="GBP"/>
    <s v="Unknown"/>
    <x v="8"/>
    <s v="Abu Dhabi"/>
    <s v="Abu Dhabi"/>
    <n v="18"/>
    <n v="17"/>
    <x v="5"/>
    <x v="0"/>
    <s v="Stephanie"/>
    <n v="1.25"/>
    <n v="42835"/>
    <s v="Normal"/>
  </r>
  <r>
    <x v="2"/>
    <x v="2"/>
    <s v="Doctor"/>
    <s v="Intern"/>
    <n v="764351"/>
    <n v="141272"/>
    <s v="INR"/>
    <s v="Commission-based"/>
    <x v="3"/>
    <s v="New South Wales"/>
    <s v="Sydney"/>
    <n v="9"/>
    <n v="9"/>
    <x v="1"/>
    <x v="1"/>
    <s v="Sara"/>
    <n v="1.2E-2"/>
    <n v="9172.2119999999995"/>
    <s v="Normal"/>
  </r>
  <r>
    <x v="0"/>
    <x v="6"/>
    <s v="Accountant"/>
    <s v="Intern"/>
    <n v="1027906"/>
    <n v="0"/>
    <s v="INR"/>
    <s v="Unknown"/>
    <x v="5"/>
    <s v="Karnataka"/>
    <s v="Mysore"/>
    <n v="12"/>
    <n v="11"/>
    <x v="3"/>
    <x v="1"/>
    <s v="Joshua"/>
    <n v="1.2E-2"/>
    <n v="12334.871999999999"/>
    <s v="Normal"/>
  </r>
  <r>
    <x v="3"/>
    <x v="10"/>
    <s v="Developer"/>
    <s v="Contract"/>
    <n v="79372"/>
    <n v="6487"/>
    <s v="CAD"/>
    <s v="Unknown"/>
    <x v="3"/>
    <s v="Victoria"/>
    <s v="Melbourne"/>
    <n v="6"/>
    <n v="6"/>
    <x v="3"/>
    <x v="3"/>
    <s v="Matthew"/>
    <n v="0.73"/>
    <n v="57941.56"/>
    <s v="Normal"/>
  </r>
  <r>
    <x v="0"/>
    <x v="0"/>
    <s v="Project Manager"/>
    <s v="Remote"/>
    <n v="77310"/>
    <n v="5662"/>
    <s v="EUR"/>
    <s v="Commission-based"/>
    <x v="0"/>
    <s v="South Holland"/>
    <s v="Rotterdam"/>
    <n v="8"/>
    <n v="6"/>
    <x v="2"/>
    <x v="3"/>
    <s v="Scott"/>
    <n v="1.1000000000000001"/>
    <n v="85041"/>
    <s v="Normal"/>
  </r>
  <r>
    <x v="4"/>
    <x v="6"/>
    <s v="Developer"/>
    <s v="Contract"/>
    <n v="51235"/>
    <n v="10116"/>
    <s v="AUD"/>
    <s v="Commission-based"/>
    <x v="8"/>
    <s v="Dubai"/>
    <s v="Dubai"/>
    <n v="20"/>
    <n v="20"/>
    <x v="5"/>
    <x v="2"/>
    <s v="Shelby"/>
    <n v="0.65"/>
    <n v="33302.75"/>
    <s v="Normal"/>
  </r>
  <r>
    <x v="4"/>
    <x v="7"/>
    <s v="Unknown"/>
    <s v="Senior"/>
    <n v="0"/>
    <n v="9002"/>
    <s v="GBP"/>
    <s v="Commission-based"/>
    <x v="1"/>
    <s v="Berlin"/>
    <s v="Unknown"/>
    <n v="0"/>
    <n v="15"/>
    <x v="1"/>
    <x v="4"/>
    <s v="Ramesh"/>
    <n v="1.25"/>
    <n v="0"/>
    <s v="Normal"/>
  </r>
  <r>
    <x v="2"/>
    <x v="8"/>
    <s v="Sales Executive"/>
    <s v="Part-time"/>
    <n v="73909"/>
    <n v="0"/>
    <s v="GBP"/>
    <s v="Hourly"/>
    <x v="9"/>
    <s v="Northern Ireland"/>
    <s v="Belfast"/>
    <n v="4"/>
    <n v="1"/>
    <x v="5"/>
    <x v="1"/>
    <s v="Ian"/>
    <n v="1.25"/>
    <n v="92386.25"/>
    <s v="Normal"/>
  </r>
  <r>
    <x v="2"/>
    <x v="3"/>
    <s v="Sales Executive"/>
    <s v="Part-time"/>
    <n v="82605"/>
    <n v="2527"/>
    <s v="GBP"/>
    <s v="Commission-based"/>
    <x v="0"/>
    <s v="North Holland"/>
    <s v="Amsterdam"/>
    <n v="4"/>
    <n v="4"/>
    <x v="1"/>
    <x v="0"/>
    <s v="Robert"/>
    <n v="1.25"/>
    <n v="103256.25"/>
    <s v="Normal"/>
  </r>
  <r>
    <x v="4"/>
    <x v="6"/>
    <s v="Product Manager"/>
    <s v="Senior"/>
    <n v="72883"/>
    <n v="12598"/>
    <s v="EUR"/>
    <s v="Contract"/>
    <x v="5"/>
    <s v="Maharashtra"/>
    <s v="Pune"/>
    <n v="15"/>
    <n v="15"/>
    <x v="5"/>
    <x v="1"/>
    <s v="Ryan"/>
    <n v="1.1000000000000001"/>
    <n v="80171.3"/>
    <s v="Normal"/>
  </r>
  <r>
    <x v="2"/>
    <x v="3"/>
    <s v="Product Manager"/>
    <s v="Lead"/>
    <n v="1604081"/>
    <n v="244359"/>
    <s v="INR"/>
    <s v="Unknown"/>
    <x v="6"/>
    <s v="New York"/>
    <s v="Buffalo"/>
    <n v="25"/>
    <n v="24"/>
    <x v="3"/>
    <x v="3"/>
    <s v="Lori"/>
    <n v="1.2E-2"/>
    <n v="19248.972000000002"/>
    <s v="Normal"/>
  </r>
  <r>
    <x v="2"/>
    <x v="0"/>
    <s v="Data Analyst"/>
    <s v="Remote"/>
    <n v="74722"/>
    <n v="8908"/>
    <s v="GBP"/>
    <s v="Contract"/>
    <x v="8"/>
    <s v="Abu Dhabi"/>
    <s v="Abu Dhabi"/>
    <n v="7"/>
    <n v="5"/>
    <x v="0"/>
    <x v="2"/>
    <s v="Scott"/>
    <n v="1.25"/>
    <n v="93402.5"/>
    <s v="Normal"/>
  </r>
  <r>
    <x v="3"/>
    <x v="8"/>
    <s v="Data Analyst"/>
    <s v="Lead"/>
    <n v="80201"/>
    <n v="20438"/>
    <s v="AUD"/>
    <s v="Unknown"/>
    <x v="1"/>
    <s v="Berlin"/>
    <s v="Berlin"/>
    <n v="0"/>
    <n v="0"/>
    <x v="5"/>
    <x v="0"/>
    <s v="Elizabeth"/>
    <n v="0.65"/>
    <n v="52130.65"/>
    <s v="Normal"/>
  </r>
  <r>
    <x v="2"/>
    <x v="3"/>
    <s v="Doctor"/>
    <s v="Remote"/>
    <n v="47196"/>
    <n v="434"/>
    <s v="USD"/>
    <s v="Commission-based"/>
    <x v="5"/>
    <s v="Delhi"/>
    <s v="New Delhi"/>
    <n v="6"/>
    <n v="6"/>
    <x v="5"/>
    <x v="2"/>
    <s v="Sneha"/>
    <n v="1"/>
    <n v="47196"/>
    <s v="Normal"/>
  </r>
  <r>
    <x v="3"/>
    <x v="10"/>
    <s v="Business Analyst"/>
    <s v="Remote"/>
    <n v="21775"/>
    <n v="0"/>
    <s v="EUR"/>
    <s v="Unknown"/>
    <x v="4"/>
    <s v="Ontario"/>
    <s v="Ottawa"/>
    <n v="3"/>
    <n v="3"/>
    <x v="0"/>
    <x v="0"/>
    <s v="Jeffrey"/>
    <n v="1.1000000000000001"/>
    <n v="23952.500000000004"/>
    <s v="Normal"/>
  </r>
  <r>
    <x v="2"/>
    <x v="9"/>
    <s v="System Administrator"/>
    <s v="Remote"/>
    <n v="78997"/>
    <n v="0"/>
    <s v="USD"/>
    <s v="Hourly"/>
    <x v="0"/>
    <s v="South Holland"/>
    <s v="Rotterdam"/>
    <n v="3"/>
    <n v="2"/>
    <x v="4"/>
    <x v="2"/>
    <s v="Karen"/>
    <n v="1"/>
    <n v="78997"/>
    <s v="Normal"/>
  </r>
  <r>
    <x v="4"/>
    <x v="10"/>
    <s v="Doctor"/>
    <s v="Unknown"/>
    <n v="1295126"/>
    <n v="136419"/>
    <s v="INR"/>
    <s v="Hourly"/>
    <x v="2"/>
    <s v="Central Region"/>
    <s v="Singapore"/>
    <n v="15"/>
    <n v="12"/>
    <x v="1"/>
    <x v="2"/>
    <s v="Julia"/>
    <n v="1.2E-2"/>
    <n v="15541.512000000001"/>
    <s v="Normal"/>
  </r>
  <r>
    <x v="4"/>
    <x v="1"/>
    <s v="Software Engineer"/>
    <s v="Senior"/>
    <n v="68426"/>
    <n v="0"/>
    <s v="GBP"/>
    <s v="Hourly"/>
    <x v="2"/>
    <s v="Central Region"/>
    <s v="Singapore"/>
    <n v="18"/>
    <n v="15"/>
    <x v="4"/>
    <x v="0"/>
    <s v="Jose"/>
    <n v="1.25"/>
    <n v="85532.5"/>
    <s v="Normal"/>
  </r>
  <r>
    <x v="0"/>
    <x v="5"/>
    <s v="Data Scientist"/>
    <s v="On-site"/>
    <n v="87909"/>
    <n v="3578"/>
    <s v="AUD"/>
    <s v="Commission-based"/>
    <x v="3"/>
    <s v="Victoria"/>
    <s v="Melbourne"/>
    <n v="8"/>
    <n v="8"/>
    <x v="0"/>
    <x v="2"/>
    <s v="Noah"/>
    <n v="0.65"/>
    <n v="57140.85"/>
    <s v="Normal"/>
  </r>
  <r>
    <x v="2"/>
    <x v="6"/>
    <s v="Product Manager"/>
    <s v="Remote"/>
    <n v="27630"/>
    <n v="1289"/>
    <s v="EUR"/>
    <s v="Contract"/>
    <x v="8"/>
    <s v="Dubai"/>
    <s v="Dubai"/>
    <n v="2"/>
    <n v="2"/>
    <x v="4"/>
    <x v="1"/>
    <s v="Courtney"/>
    <n v="1.1000000000000001"/>
    <n v="30393.000000000004"/>
    <s v="Normal"/>
  </r>
  <r>
    <x v="0"/>
    <x v="3"/>
    <s v="Doctor"/>
    <s v="Contract"/>
    <n v="132387"/>
    <n v="5253"/>
    <s v="AUD"/>
    <s v="Hourly"/>
    <x v="4"/>
    <s v="Quebec"/>
    <s v="Montreal"/>
    <n v="25"/>
    <n v="25"/>
    <x v="4"/>
    <x v="0"/>
    <s v="Melissa"/>
    <n v="0.65"/>
    <n v="86051.55"/>
    <s v="Normal"/>
  </r>
  <r>
    <x v="4"/>
    <x v="11"/>
    <s v="Professor"/>
    <s v="Junior"/>
    <n v="98885"/>
    <n v="6813"/>
    <s v="USD"/>
    <s v="Contract"/>
    <x v="3"/>
    <s v="Victoria"/>
    <s v="Melbourne"/>
    <n v="18"/>
    <n v="18"/>
    <x v="1"/>
    <x v="1"/>
    <s v="Patricia"/>
    <n v="1"/>
    <n v="98885"/>
    <s v="Normal"/>
  </r>
  <r>
    <x v="3"/>
    <x v="11"/>
    <s v="Data Scientist"/>
    <s v="Contract"/>
    <n v="148135"/>
    <n v="15685"/>
    <s v="USD"/>
    <s v="Commission-based"/>
    <x v="4"/>
    <s v="Quebec"/>
    <s v="Montreal"/>
    <n v="5"/>
    <n v="5"/>
    <x v="3"/>
    <x v="0"/>
    <s v="Julie"/>
    <n v="1"/>
    <n v="148135"/>
    <s v="Normal"/>
  </r>
  <r>
    <x v="3"/>
    <x v="3"/>
    <s v="Data Scientist"/>
    <s v="Intern"/>
    <n v="65728"/>
    <n v="858"/>
    <s v="EUR"/>
    <s v="Unknown"/>
    <x v="5"/>
    <s v="Tamil Nadu"/>
    <s v="Madurai"/>
    <n v="7"/>
    <n v="6"/>
    <x v="3"/>
    <x v="3"/>
    <s v="Donna"/>
    <n v="1.1000000000000001"/>
    <n v="72300.800000000003"/>
    <s v="Normal"/>
  </r>
  <r>
    <x v="3"/>
    <x v="5"/>
    <s v="Doctor"/>
    <s v="Remote"/>
    <n v="73463"/>
    <n v="0"/>
    <s v="AUD"/>
    <s v="Contract"/>
    <x v="6"/>
    <s v="New York"/>
    <s v="New York City"/>
    <n v="2"/>
    <n v="2"/>
    <x v="3"/>
    <x v="1"/>
    <s v="Joanna"/>
    <n v="0.65"/>
    <n v="47750.950000000004"/>
    <s v="Normal"/>
  </r>
  <r>
    <x v="0"/>
    <x v="3"/>
    <s v="Project Manager"/>
    <s v="Full-time"/>
    <n v="15354"/>
    <n v="264"/>
    <s v="GBP"/>
    <s v="Contract"/>
    <x v="3"/>
    <s v="Queensland"/>
    <s v="Brisbane"/>
    <n v="15"/>
    <n v="14"/>
    <x v="2"/>
    <x v="0"/>
    <s v="ijphn"/>
    <n v="1.25"/>
    <n v="19192.5"/>
    <s v="Normal"/>
  </r>
  <r>
    <x v="4"/>
    <x v="3"/>
    <s v="Nurse"/>
    <s v="Part-time"/>
    <n v="30154"/>
    <n v="685"/>
    <s v="EUR"/>
    <s v="Hourly"/>
    <x v="9"/>
    <s v="Northern Ireland"/>
    <s v="Belfast"/>
    <n v="10"/>
    <n v="9"/>
    <x v="0"/>
    <x v="0"/>
    <s v="Ramesh"/>
    <n v="1.1000000000000001"/>
    <n v="33169.4"/>
    <s v="Normal"/>
  </r>
  <r>
    <x v="2"/>
    <x v="5"/>
    <s v="System Administrator"/>
    <s v="Junior"/>
    <n v="109815"/>
    <n v="591"/>
    <s v="AUD"/>
    <s v="Hourly"/>
    <x v="1"/>
    <s v="Bavaria"/>
    <s v="Munich"/>
    <n v="20"/>
    <n v="17"/>
    <x v="0"/>
    <x v="0"/>
    <s v="Sneha"/>
    <n v="0.65"/>
    <n v="71379.75"/>
    <s v="Normal"/>
  </r>
  <r>
    <x v="2"/>
    <x v="0"/>
    <s v="Sales Executive"/>
    <s v="Contract"/>
    <n v="74964"/>
    <n v="12358"/>
    <s v="AUD"/>
    <s v="Fixed salary"/>
    <x v="1"/>
    <s v="Berlin"/>
    <s v="Berlin"/>
    <n v="15"/>
    <n v="13"/>
    <x v="5"/>
    <x v="0"/>
    <s v="Vincent"/>
    <n v="0.65"/>
    <n v="48726.6"/>
    <s v="Normal"/>
  </r>
  <r>
    <x v="2"/>
    <x v="6"/>
    <s v="Developer"/>
    <s v="Full-time"/>
    <n v="99773"/>
    <n v="9039"/>
    <s v="AUD"/>
    <s v="Hourly"/>
    <x v="8"/>
    <s v="Dubai"/>
    <s v="Dubai"/>
    <n v="15"/>
    <n v="15"/>
    <x v="1"/>
    <x v="0"/>
    <s v="Ramesh"/>
    <n v="0.65"/>
    <n v="64852.450000000004"/>
    <s v="Normal"/>
  </r>
  <r>
    <x v="2"/>
    <x v="3"/>
    <s v="Accountant"/>
    <s v="Intern"/>
    <n v="64264"/>
    <n v="0"/>
    <s v="CAD"/>
    <s v="Commission-based"/>
    <x v="7"/>
    <s v="Île-de-France"/>
    <s v="Paris"/>
    <n v="4"/>
    <n v="1"/>
    <x v="5"/>
    <x v="3"/>
    <s v="Emma"/>
    <n v="0.73"/>
    <n v="46912.72"/>
    <s v="Normal"/>
  </r>
  <r>
    <x v="0"/>
    <x v="3"/>
    <s v="Nurse"/>
    <s v="Contract"/>
    <n v="118310"/>
    <n v="4562"/>
    <s v="USD"/>
    <s v="Fixed salary"/>
    <x v="0"/>
    <s v="North Holland"/>
    <s v="Amsterdam"/>
    <n v="9"/>
    <n v="9"/>
    <x v="0"/>
    <x v="3"/>
    <s v="Veronica"/>
    <n v="1"/>
    <n v="118310"/>
    <s v="Normal"/>
  </r>
  <r>
    <x v="4"/>
    <x v="9"/>
    <s v="HR Manager"/>
    <s v="Junior"/>
    <n v="63795"/>
    <n v="16000"/>
    <s v="GBP"/>
    <s v="Hourly"/>
    <x v="4"/>
    <s v="Ontario"/>
    <s v="Ottawa"/>
    <n v="9"/>
    <n v="7"/>
    <x v="3"/>
    <x v="0"/>
    <s v="Olivia"/>
    <n v="1.25"/>
    <n v="79743.75"/>
    <s v="Normal"/>
  </r>
  <r>
    <x v="2"/>
    <x v="8"/>
    <s v="Data Scientist"/>
    <s v="Contract"/>
    <n v="73792"/>
    <n v="2783"/>
    <s v="GBP"/>
    <s v="Unknown"/>
    <x v="7"/>
    <s v="Provence-Alpes-Côte d'Azur"/>
    <s v="Nice"/>
    <n v="25"/>
    <n v="25"/>
    <x v="4"/>
    <x v="1"/>
    <s v="Jennifer"/>
    <n v="1.25"/>
    <n v="92240"/>
    <s v="Normal"/>
  </r>
  <r>
    <x v="4"/>
    <x v="6"/>
    <s v="System Administrator"/>
    <s v="Senior"/>
    <n v="87649"/>
    <n v="3279"/>
    <s v="EUR"/>
    <s v="Commission-based"/>
    <x v="5"/>
    <s v="Telangana"/>
    <s v="Hyderabad"/>
    <n v="12"/>
    <n v="12"/>
    <x v="1"/>
    <x v="1"/>
    <s v="Sara"/>
    <n v="1.1000000000000001"/>
    <n v="96413.900000000009"/>
    <s v="Normal"/>
  </r>
  <r>
    <x v="2"/>
    <x v="3"/>
    <s v="System Administrator"/>
    <s v="Lead"/>
    <n v="86772"/>
    <n v="4160"/>
    <s v="GBP"/>
    <s v="Hourly"/>
    <x v="7"/>
    <s v="Île-de-France"/>
    <s v="Paris"/>
    <n v="12"/>
    <n v="9"/>
    <x v="3"/>
    <x v="1"/>
    <s v="Kavya"/>
    <n v="1.25"/>
    <n v="108465"/>
    <s v="Normal"/>
  </r>
  <r>
    <x v="2"/>
    <x v="0"/>
    <s v="Sales Executive"/>
    <s v="Lead"/>
    <n v="54454"/>
    <n v="833"/>
    <s v="GBP"/>
    <s v="Commission-based"/>
    <x v="5"/>
    <s v="Karnataka"/>
    <s v="Bengaluru"/>
    <n v="15"/>
    <n v="13"/>
    <x v="4"/>
    <x v="0"/>
    <s v="Ramesh"/>
    <n v="1.25"/>
    <n v="68067.5"/>
    <s v="Normal"/>
  </r>
  <r>
    <x v="4"/>
    <x v="3"/>
    <s v="Business Analyst"/>
    <s v="On-site"/>
    <n v="106009"/>
    <n v="19704"/>
    <s v="AUD"/>
    <s v="Unknown"/>
    <x v="8"/>
    <s v="Dubai"/>
    <s v="Dubai"/>
    <n v="25"/>
    <n v="25"/>
    <x v="1"/>
    <x v="3"/>
    <s v="Kavya"/>
    <n v="0.65"/>
    <n v="68905.850000000006"/>
    <s v="Normal"/>
  </r>
  <r>
    <x v="3"/>
    <x v="6"/>
    <s v="Developer"/>
    <s v="Junior"/>
    <n v="102569"/>
    <n v="1394"/>
    <s v="USD"/>
    <s v="Contract"/>
    <x v="2"/>
    <s v="Central Region"/>
    <s v="Singapore"/>
    <n v="7"/>
    <n v="6"/>
    <x v="3"/>
    <x v="1"/>
    <s v="Alex"/>
    <n v="1"/>
    <n v="102569"/>
    <s v="Normal"/>
  </r>
  <r>
    <x v="0"/>
    <x v="3"/>
    <s v="S/W Engineer"/>
    <s v="Contract"/>
    <n v="48011"/>
    <n v="8472"/>
    <s v="GBP"/>
    <s v="Commission-based"/>
    <x v="4"/>
    <s v="Ontario"/>
    <s v="Ottawa"/>
    <n v="25"/>
    <n v="25"/>
    <x v="5"/>
    <x v="3"/>
    <s v="Dylan"/>
    <n v="1.25"/>
    <n v="60013.75"/>
    <s v="Normal"/>
  </r>
  <r>
    <x v="4"/>
    <x v="10"/>
    <s v="Nurse"/>
    <s v="Intern"/>
    <n v="60453"/>
    <n v="0"/>
    <s v="AUD"/>
    <s v="Unknown"/>
    <x v="9"/>
    <s v="England"/>
    <s v="London"/>
    <n v="10"/>
    <n v="10"/>
    <x v="4"/>
    <x v="0"/>
    <s v="Kyle"/>
    <n v="0.65"/>
    <n v="39294.450000000004"/>
    <s v="Normal"/>
  </r>
  <r>
    <x v="1"/>
    <x v="3"/>
    <s v="HR Manager"/>
    <s v="Lead"/>
    <n v="70472"/>
    <n v="744"/>
    <s v="AUD"/>
    <s v="Hourly"/>
    <x v="4"/>
    <s v="Ontario"/>
    <s v="Ottawa"/>
    <n v="0"/>
    <n v="0"/>
    <x v="5"/>
    <x v="0"/>
    <s v="Alex"/>
    <n v="0.65"/>
    <n v="45806.8"/>
    <s v="Normal"/>
  </r>
  <r>
    <x v="0"/>
    <x v="0"/>
    <s v="Accountant"/>
    <s v="Intern"/>
    <n v="106328"/>
    <n v="0"/>
    <s v="AUD"/>
    <s v="Commission-based"/>
    <x v="9"/>
    <s v="Northern Ireland"/>
    <s v="Belfast"/>
    <n v="20"/>
    <n v="17"/>
    <x v="0"/>
    <x v="3"/>
    <s v="Ramesh"/>
    <n v="0.65"/>
    <n v="69113.2"/>
    <s v="Normal"/>
  </r>
  <r>
    <x v="2"/>
    <x v="2"/>
    <s v="Accountant"/>
    <s v="Remote"/>
    <n v="89855"/>
    <n v="11706"/>
    <s v="USD"/>
    <s v="Fixed salary"/>
    <x v="0"/>
    <s v="South Holland"/>
    <s v="Rotterdam"/>
    <n v="10"/>
    <n v="9"/>
    <x v="4"/>
    <x v="3"/>
    <s v="Alexander"/>
    <n v="1"/>
    <n v="89855"/>
    <s v="Normal"/>
  </r>
  <r>
    <x v="2"/>
    <x v="9"/>
    <s v="S/W Engineer"/>
    <s v="On-site"/>
    <n v="56604"/>
    <n v="3182"/>
    <s v="EUR"/>
    <s v="Unknown"/>
    <x v="9"/>
    <s v="Scotland"/>
    <s v="Edinburgh"/>
    <n v="5"/>
    <n v="5"/>
    <x v="4"/>
    <x v="0"/>
    <s v="Lisa"/>
    <n v="1.1000000000000001"/>
    <n v="62264.4"/>
    <s v="Normal"/>
  </r>
  <r>
    <x v="4"/>
    <x v="5"/>
    <s v="S/W Engineer"/>
    <s v="On-site"/>
    <n v="920618"/>
    <n v="124262"/>
    <s v="INR"/>
    <s v="Fixed salary"/>
    <x v="1"/>
    <s v="Berlin"/>
    <s v="Berlin"/>
    <n v="12"/>
    <n v="12"/>
    <x v="5"/>
    <x v="1"/>
    <s v="Christopher"/>
    <n v="1.2E-2"/>
    <n v="11047.416000000001"/>
    <s v="Normal"/>
  </r>
  <r>
    <x v="2"/>
    <x v="1"/>
    <s v="Project Manager"/>
    <s v="Part-time"/>
    <n v="110886"/>
    <n v="0"/>
    <s v="GBP"/>
    <s v="Fixed salary"/>
    <x v="3"/>
    <s v="Victoria"/>
    <s v="Melbourne"/>
    <n v="18"/>
    <n v="15"/>
    <x v="3"/>
    <x v="1"/>
    <s v="Sneha"/>
    <n v="1.25"/>
    <n v="138607.5"/>
    <s v="Normal"/>
  </r>
  <r>
    <x v="0"/>
    <x v="3"/>
    <s v="Project Manager"/>
    <s v="Full-time"/>
    <n v="490484"/>
    <n v="19766"/>
    <s v="INR"/>
    <s v="Commission-based"/>
    <x v="7"/>
    <s v="Provence-Alpes-Côte d'Azur"/>
    <s v="Nice"/>
    <n v="25"/>
    <n v="25"/>
    <x v="5"/>
    <x v="2"/>
    <s v="Olivia"/>
    <n v="1.2E-2"/>
    <n v="5885.808"/>
    <s v="Normal"/>
  </r>
  <r>
    <x v="2"/>
    <x v="3"/>
    <s v="Sales Executive"/>
    <s v="Intern"/>
    <n v="88770"/>
    <n v="0"/>
    <s v="EUR"/>
    <s v="Commission-based"/>
    <x v="0"/>
    <s v="South Holland"/>
    <s v="Rotterdam"/>
    <n v="3"/>
    <n v="3"/>
    <x v="1"/>
    <x v="3"/>
    <s v="Sara"/>
    <n v="1.1000000000000001"/>
    <n v="97647.000000000015"/>
    <s v="Normal"/>
  </r>
  <r>
    <x v="2"/>
    <x v="11"/>
    <s v="Professor"/>
    <s v="Intern"/>
    <n v="63194"/>
    <n v="870"/>
    <s v="CAD"/>
    <s v="Contract"/>
    <x v="9"/>
    <s v="Wales"/>
    <s v="Cardiff"/>
    <n v="15"/>
    <n v="14"/>
    <x v="5"/>
    <x v="3"/>
    <s v="Noah"/>
    <n v="0.73"/>
    <n v="46131.619999999995"/>
    <s v="Normal"/>
  </r>
  <r>
    <x v="2"/>
    <x v="8"/>
    <s v="Software Engineer"/>
    <s v="Part-time"/>
    <n v="26590"/>
    <n v="1109"/>
    <s v="GBP"/>
    <s v="Unknown"/>
    <x v="3"/>
    <s v="New South Wales"/>
    <s v="Sydney"/>
    <n v="6"/>
    <n v="5"/>
    <x v="3"/>
    <x v="3"/>
    <s v="Holly"/>
    <n v="1.25"/>
    <n v="33237.5"/>
    <s v="Normal"/>
  </r>
  <r>
    <x v="2"/>
    <x v="3"/>
    <s v="Product Manager"/>
    <s v="Full-time"/>
    <n v="68807"/>
    <n v="4856"/>
    <s v="AUD"/>
    <s v="Contract"/>
    <x v="3"/>
    <s v="Victoria"/>
    <s v="Melbourne"/>
    <n v="9"/>
    <n v="6"/>
    <x v="5"/>
    <x v="1"/>
    <s v="Evelyn"/>
    <n v="0.65"/>
    <n v="44724.55"/>
    <s v="Normal"/>
  </r>
  <r>
    <x v="2"/>
    <x v="9"/>
    <s v="Data Scientist"/>
    <s v="Lead"/>
    <n v="100431"/>
    <n v="2090"/>
    <s v="EUR"/>
    <s v="Contract"/>
    <x v="8"/>
    <s v="Abu Dhabi"/>
    <s v="Abu Dhabi"/>
    <n v="6"/>
    <n v="6"/>
    <x v="5"/>
    <x v="0"/>
    <s v="Carolyn"/>
    <n v="1.1000000000000001"/>
    <n v="110474.1"/>
    <s v="Normal"/>
  </r>
  <r>
    <x v="2"/>
    <x v="0"/>
    <s v="Project Manager"/>
    <s v="Contract"/>
    <n v="83775"/>
    <n v="12624"/>
    <s v="EUR"/>
    <s v="Contract"/>
    <x v="3"/>
    <s v="Victoria"/>
    <s v="Melbourne"/>
    <n v="7"/>
    <n v="4"/>
    <x v="2"/>
    <x v="3"/>
    <s v="Olivia"/>
    <n v="1.1000000000000001"/>
    <n v="92152.500000000015"/>
    <s v="Normal"/>
  </r>
  <r>
    <x v="0"/>
    <x v="3"/>
    <s v="Project Manager"/>
    <s v="Contract"/>
    <n v="55673"/>
    <n v="1306"/>
    <s v="AUD"/>
    <s v="Commission-based"/>
    <x v="1"/>
    <s v="Berlin"/>
    <s v="Berlin"/>
    <n v="20"/>
    <n v="20"/>
    <x v="2"/>
    <x v="0"/>
    <s v="Alyssa"/>
    <n v="0.65"/>
    <n v="36187.450000000004"/>
    <s v="Normal"/>
  </r>
  <r>
    <x v="3"/>
    <x v="11"/>
    <s v="QA Engineer"/>
    <s v="Intern"/>
    <n v="43404"/>
    <n v="0"/>
    <s v="GBP"/>
    <s v="Contract"/>
    <x v="7"/>
    <s v="Provence-Alpes-Côte d'Azur"/>
    <s v="Nice"/>
    <n v="7"/>
    <n v="6"/>
    <x v="4"/>
    <x v="0"/>
    <s v="Stephen"/>
    <n v="1.25"/>
    <n v="54255"/>
    <s v="Normal"/>
  </r>
  <r>
    <x v="3"/>
    <x v="5"/>
    <s v="S/W Engineer"/>
    <s v="Full-time"/>
    <n v="63232"/>
    <n v="0"/>
    <s v="CAD"/>
    <s v="Commission-based"/>
    <x v="8"/>
    <s v="Abu Dhabi"/>
    <s v="Abu Dhabi"/>
    <n v="2"/>
    <n v="0"/>
    <x v="3"/>
    <x v="2"/>
    <s v="Sara"/>
    <n v="0.73"/>
    <n v="46159.360000000001"/>
    <s v="Normal"/>
  </r>
  <r>
    <x v="0"/>
    <x v="11"/>
    <s v="QA Engineer"/>
    <s v="Lead"/>
    <n v="99214"/>
    <n v="13964"/>
    <s v="AUD"/>
    <s v="Hourly"/>
    <x v="4"/>
    <s v="British Columbia"/>
    <s v="Vancouver"/>
    <n v="15"/>
    <n v="15"/>
    <x v="4"/>
    <x v="0"/>
    <s v="Jennifer"/>
    <n v="0.65"/>
    <n v="64489.100000000006"/>
    <s v="Normal"/>
  </r>
  <r>
    <x v="3"/>
    <x v="8"/>
    <s v="QA Engineer"/>
    <s v="Contract"/>
    <n v="569744"/>
    <n v="0"/>
    <s v="INR"/>
    <s v="Unknown"/>
    <x v="0"/>
    <s v="North Holland"/>
    <s v="Amsterdam"/>
    <n v="0"/>
    <n v="0"/>
    <x v="1"/>
    <x v="3"/>
    <s v="Andrew"/>
    <n v="1.2E-2"/>
    <n v="6836.9279999999999"/>
    <s v="Normal"/>
  </r>
  <r>
    <x v="2"/>
    <x v="9"/>
    <s v="Developer"/>
    <s v="Remote"/>
    <n v="473675"/>
    <n v="49366"/>
    <s v="INR"/>
    <s v="Hourly"/>
    <x v="3"/>
    <s v="Victoria"/>
    <s v="Melbourne"/>
    <n v="15"/>
    <n v="15"/>
    <x v="4"/>
    <x v="0"/>
    <s v="Rebecca"/>
    <n v="1.2E-2"/>
    <n v="5684.1"/>
    <s v="Normal"/>
  </r>
  <r>
    <x v="3"/>
    <x v="3"/>
    <s v="Product Manager"/>
    <s v="Contract"/>
    <n v="394867"/>
    <n v="0"/>
    <s v="INR"/>
    <s v="Contract"/>
    <x v="3"/>
    <s v="Victoria"/>
    <s v="Melbourne"/>
    <n v="1"/>
    <n v="0"/>
    <x v="5"/>
    <x v="3"/>
    <s v="Grant"/>
    <n v="1.2E-2"/>
    <n v="4738.4040000000005"/>
    <s v="Normal"/>
  </r>
  <r>
    <x v="3"/>
    <x v="0"/>
    <s v="Project Manager"/>
    <s v="Senior"/>
    <n v="83492"/>
    <n v="4330"/>
    <s v="AUD"/>
    <s v="Unknown"/>
    <x v="3"/>
    <s v="Victoria"/>
    <s v="Melbourne"/>
    <n v="3"/>
    <n v="2"/>
    <x v="5"/>
    <x v="2"/>
    <s v="Raj"/>
    <n v="0.65"/>
    <n v="54269.8"/>
    <s v="Normal"/>
  </r>
  <r>
    <x v="2"/>
    <x v="4"/>
    <s v="S/W Engineer"/>
    <s v="Unknown"/>
    <n v="90308"/>
    <n v="6298"/>
    <s v="CAD"/>
    <s v="Hourly"/>
    <x v="3"/>
    <s v="New South Wales"/>
    <s v="Sydney"/>
    <n v="4"/>
    <n v="1"/>
    <x v="5"/>
    <x v="3"/>
    <s v="Becky"/>
    <n v="0.73"/>
    <n v="65924.84"/>
    <s v="Normal"/>
  </r>
  <r>
    <x v="2"/>
    <x v="3"/>
    <s v="Doctor"/>
    <s v="Intern"/>
    <n v="8330"/>
    <n v="753"/>
    <s v="USD"/>
    <s v="Unknown"/>
    <x v="1"/>
    <s v="Berlin"/>
    <s v="Berlin"/>
    <n v="15"/>
    <n v="15"/>
    <x v="5"/>
    <x v="3"/>
    <s v="Gregory"/>
    <n v="1"/>
    <n v="8330"/>
    <s v="Normal"/>
  </r>
  <r>
    <x v="2"/>
    <x v="4"/>
    <s v="Developer"/>
    <s v="Unknown"/>
    <n v="988566"/>
    <n v="91181"/>
    <s v="INR"/>
    <s v="Contract"/>
    <x v="4"/>
    <s v="Quebec"/>
    <s v="Montreal"/>
    <n v="7"/>
    <n v="4"/>
    <x v="2"/>
    <x v="1"/>
    <s v="Michael"/>
    <n v="1.2E-2"/>
    <n v="11862.791999999999"/>
    <s v="Normal"/>
  </r>
  <r>
    <x v="4"/>
    <x v="4"/>
    <s v="Accountant"/>
    <s v="Unknown"/>
    <n v="92661"/>
    <n v="0"/>
    <s v="EUR"/>
    <s v="Hourly"/>
    <x v="8"/>
    <s v="Dubai"/>
    <s v="Dubai"/>
    <n v="18"/>
    <n v="17"/>
    <x v="1"/>
    <x v="0"/>
    <s v="Alex"/>
    <n v="1.1000000000000001"/>
    <n v="101927.1"/>
    <s v="Normal"/>
  </r>
  <r>
    <x v="0"/>
    <x v="3"/>
    <s v="Software Engineer"/>
    <s v="Senior"/>
    <n v="91574"/>
    <n v="3334"/>
    <s v="AUD"/>
    <s v="Hourly"/>
    <x v="7"/>
    <s v="Provence-Alpes-Côte d'Azur"/>
    <s v="Nice"/>
    <n v="25"/>
    <n v="25"/>
    <x v="0"/>
    <x v="0"/>
    <s v="Kavya"/>
    <n v="0.65"/>
    <n v="59523.1"/>
    <s v="Normal"/>
  </r>
  <r>
    <x v="4"/>
    <x v="6"/>
    <s v="Product Manager"/>
    <s v="Full-time"/>
    <n v="61162"/>
    <n v="735"/>
    <s v="GBP"/>
    <s v="Hourly"/>
    <x v="8"/>
    <s v="Abu Dhabi"/>
    <s v="Abu Dhabi"/>
    <n v="9"/>
    <n v="8"/>
    <x v="4"/>
    <x v="3"/>
    <s v="Olivia"/>
    <n v="1.25"/>
    <n v="76452.5"/>
    <s v="Normal"/>
  </r>
  <r>
    <x v="3"/>
    <x v="11"/>
    <s v="Data Scientist"/>
    <s v="Unknown"/>
    <n v="27865"/>
    <n v="2772"/>
    <s v="GBP"/>
    <s v="Contract"/>
    <x v="2"/>
    <s v="Central Region"/>
    <s v="Singapore"/>
    <n v="2"/>
    <n v="2"/>
    <x v="2"/>
    <x v="0"/>
    <s v="Sneha"/>
    <n v="1.25"/>
    <n v="34831.25"/>
    <s v="Normal"/>
  </r>
  <r>
    <x v="4"/>
    <x v="6"/>
    <s v="Project Manager"/>
    <s v="Contract"/>
    <n v="115874"/>
    <n v="10289"/>
    <s v="AUD"/>
    <s v="Unknown"/>
    <x v="6"/>
    <s v="Texas"/>
    <s v="Dallas"/>
    <n v="15"/>
    <n v="13"/>
    <x v="4"/>
    <x v="0"/>
    <s v="Noah"/>
    <n v="0.65"/>
    <n v="75318.100000000006"/>
    <s v="Normal"/>
  </r>
  <r>
    <x v="2"/>
    <x v="2"/>
    <s v="Data Analyst"/>
    <s v="Contract"/>
    <n v="97745"/>
    <n v="10823"/>
    <s v="GBP"/>
    <s v="Fixed salary"/>
    <x v="3"/>
    <s v="Queensland"/>
    <s v="Brisbane"/>
    <n v="8"/>
    <n v="5"/>
    <x v="5"/>
    <x v="1"/>
    <s v="Michael"/>
    <n v="1.25"/>
    <n v="122181.25"/>
    <s v="Normal"/>
  </r>
  <r>
    <x v="3"/>
    <x v="1"/>
    <s v="Project Manager"/>
    <s v="Part-time"/>
    <n v="102668"/>
    <n v="21206"/>
    <s v="EUR"/>
    <s v="Commission-based"/>
    <x v="2"/>
    <s v="Central Region"/>
    <s v="Singapore"/>
    <n v="4"/>
    <n v="4"/>
    <x v="1"/>
    <x v="2"/>
    <s v="Alex"/>
    <n v="1.1000000000000001"/>
    <n v="112934.8"/>
    <s v="Normal"/>
  </r>
  <r>
    <x v="3"/>
    <x v="2"/>
    <s v="DevOps Engineer"/>
    <s v="Part-time"/>
    <n v="50470"/>
    <n v="3342"/>
    <s v="AUD"/>
    <s v="Unknown"/>
    <x v="3"/>
    <s v="New South Wales"/>
    <s v="Sydney"/>
    <n v="0"/>
    <n v="0"/>
    <x v="2"/>
    <x v="0"/>
    <s v="Alex"/>
    <n v="0.65"/>
    <n v="32805.5"/>
    <s v="Normal"/>
  </r>
  <r>
    <x v="2"/>
    <x v="9"/>
    <s v="System Administrator"/>
    <s v="Senior"/>
    <n v="85849"/>
    <n v="0"/>
    <s v="AUD"/>
    <s v="Fixed salary"/>
    <x v="6"/>
    <s v="Texas"/>
    <s v="Dallas"/>
    <n v="12"/>
    <n v="10"/>
    <x v="2"/>
    <x v="2"/>
    <s v="Emma"/>
    <n v="0.65"/>
    <n v="55801.85"/>
    <s v="Normal"/>
  </r>
  <r>
    <x v="3"/>
    <x v="6"/>
    <s v="Teacher"/>
    <s v="Unknown"/>
    <n v="34795"/>
    <n v="1908"/>
    <s v="USD"/>
    <s v="Commission-based"/>
    <x v="1"/>
    <s v="Hesse"/>
    <s v="Frankfurt"/>
    <n v="1"/>
    <n v="1"/>
    <x v="2"/>
    <x v="3"/>
    <s v="Olivia"/>
    <n v="1"/>
    <n v="34795"/>
    <s v="Normal"/>
  </r>
  <r>
    <x v="2"/>
    <x v="6"/>
    <s v="Software Engineer"/>
    <s v="Contract"/>
    <n v="27076"/>
    <n v="87"/>
    <s v="EUR"/>
    <s v="Unknown"/>
    <x v="3"/>
    <s v="Victoria"/>
    <s v="Melbourne"/>
    <n v="2"/>
    <n v="1"/>
    <x v="1"/>
    <x v="3"/>
    <s v="Rebecca"/>
    <n v="1.1000000000000001"/>
    <n v="29783.600000000002"/>
    <s v="Normal"/>
  </r>
  <r>
    <x v="3"/>
    <x v="0"/>
    <s v="Data Scientist"/>
    <s v="Part-time"/>
    <n v="90704"/>
    <n v="5973"/>
    <s v="EUR"/>
    <s v="Fixed salary"/>
    <x v="7"/>
    <s v="Île-de-France"/>
    <s v="Paris"/>
    <n v="4"/>
    <n v="4"/>
    <x v="3"/>
    <x v="1"/>
    <s v="Anita"/>
    <n v="1.1000000000000001"/>
    <n v="99774.400000000009"/>
    <s v="Normal"/>
  </r>
  <r>
    <x v="2"/>
    <x v="3"/>
    <s v="Professor"/>
    <s v="Junior"/>
    <n v="85387"/>
    <n v="3125"/>
    <s v="GBP"/>
    <s v="Commission-based"/>
    <x v="1"/>
    <s v="Berlin"/>
    <s v="Berlin"/>
    <n v="2"/>
    <n v="2"/>
    <x v="1"/>
    <x v="3"/>
    <s v="Jennifer"/>
    <n v="1.25"/>
    <n v="106733.75"/>
    <s v="Normal"/>
  </r>
  <r>
    <x v="0"/>
    <x v="11"/>
    <s v="Project Manager"/>
    <s v="Intern"/>
    <n v="16131"/>
    <n v="1723"/>
    <s v="INR"/>
    <s v="Hourly"/>
    <x v="7"/>
    <s v="Provence-Alpes-Côte d'Azur"/>
    <s v="Nice"/>
    <n v="15"/>
    <n v="13"/>
    <x v="1"/>
    <x v="3"/>
    <s v="Ramesh"/>
    <n v="1.2E-2"/>
    <n v="193.572"/>
    <s v="Normal"/>
  </r>
  <r>
    <x v="3"/>
    <x v="11"/>
    <s v="Data Scientist"/>
    <s v="Intern"/>
    <n v="43665"/>
    <n v="0"/>
    <s v="USD"/>
    <s v="Fixed salary"/>
    <x v="8"/>
    <s v="Dubai"/>
    <s v="Dubai"/>
    <n v="3"/>
    <n v="1"/>
    <x v="1"/>
    <x v="1"/>
    <s v="Ramesh"/>
    <n v="1"/>
    <n v="43665"/>
    <s v="Normal"/>
  </r>
  <r>
    <x v="0"/>
    <x v="3"/>
    <s v="S/W Engineer"/>
    <s v="Part-time"/>
    <n v="134595"/>
    <n v="9827"/>
    <s v="EUR"/>
    <s v="Commission-based"/>
    <x v="9"/>
    <s v="Scotland"/>
    <s v="Edinburgh"/>
    <n v="20"/>
    <n v="20"/>
    <x v="2"/>
    <x v="3"/>
    <s v="Anita"/>
    <n v="1.1000000000000001"/>
    <n v="148054.5"/>
    <s v="Normal"/>
  </r>
  <r>
    <x v="2"/>
    <x v="8"/>
    <s v="Professor"/>
    <s v="Junior"/>
    <n v="52725"/>
    <n v="6571"/>
    <s v="EUR"/>
    <s v="Hourly"/>
    <x v="0"/>
    <s v="North Holland"/>
    <s v="Amsterdam"/>
    <n v="2"/>
    <n v="0"/>
    <x v="0"/>
    <x v="1"/>
    <s v="Roger"/>
    <n v="1.1000000000000001"/>
    <n v="57997.500000000007"/>
    <s v="Normal"/>
  </r>
  <r>
    <x v="1"/>
    <x v="9"/>
    <s v="Nurse"/>
    <s v="Lead"/>
    <n v="1150944"/>
    <n v="0"/>
    <s v="INR"/>
    <s v="Commission-based"/>
    <x v="0"/>
    <s v="North Holland"/>
    <s v="Amsterdam"/>
    <n v="0"/>
    <n v="0"/>
    <x v="0"/>
    <x v="3"/>
    <s v="Alex"/>
    <n v="1.2E-2"/>
    <n v="13811.328"/>
    <s v="Normal"/>
  </r>
  <r>
    <x v="3"/>
    <x v="11"/>
    <s v="Product Manager"/>
    <s v="Full-time"/>
    <n v="95033"/>
    <n v="0"/>
    <s v="AUD"/>
    <s v="Hourly"/>
    <x v="5"/>
    <s v="Telangana"/>
    <s v="Hyderabad"/>
    <n v="3"/>
    <n v="3"/>
    <x v="4"/>
    <x v="3"/>
    <s v="Arjun"/>
    <n v="0.65"/>
    <n v="61771.450000000004"/>
    <s v="Normal"/>
  </r>
  <r>
    <x v="0"/>
    <x v="6"/>
    <s v="Data Analyst"/>
    <s v="On-site"/>
    <n v="84364"/>
    <n v="2785"/>
    <s v="GBP"/>
    <s v="Unknown"/>
    <x v="6"/>
    <s v="Massachusetts"/>
    <s v="Boston"/>
    <n v="9"/>
    <n v="9"/>
    <x v="1"/>
    <x v="2"/>
    <s v="Michael"/>
    <n v="1.25"/>
    <n v="105455"/>
    <s v="Normal"/>
  </r>
  <r>
    <x v="2"/>
    <x v="9"/>
    <s v="Business Analyst"/>
    <s v="Senior"/>
    <n v="288169"/>
    <n v="52265"/>
    <s v="INR"/>
    <s v="Hourly"/>
    <x v="0"/>
    <s v="North Holland"/>
    <s v="Amsterdam"/>
    <n v="7"/>
    <n v="5"/>
    <x v="2"/>
    <x v="0"/>
    <s v="Arjun"/>
    <n v="1.2E-2"/>
    <n v="3458.0280000000002"/>
    <s v="Normal"/>
  </r>
  <r>
    <x v="1"/>
    <x v="1"/>
    <s v="Sales Executive"/>
    <s v="Unknown"/>
    <n v="96927"/>
    <n v="2138"/>
    <s v="USD"/>
    <s v="Commission-based"/>
    <x v="5"/>
    <s v="Tamil Nadu"/>
    <s v="Coimbatore"/>
    <n v="0"/>
    <n v="0"/>
    <x v="1"/>
    <x v="1"/>
    <s v="Vincent"/>
    <n v="1"/>
    <n v="96927"/>
    <s v="Normal"/>
  </r>
  <r>
    <x v="0"/>
    <x v="1"/>
    <s v="Professor"/>
    <s v="Remote"/>
    <n v="93200"/>
    <n v="13089"/>
    <s v="CAD"/>
    <s v="Commission-based"/>
    <x v="0"/>
    <s v="North Holland"/>
    <s v="Amsterdam"/>
    <n v="15"/>
    <n v="13"/>
    <x v="2"/>
    <x v="0"/>
    <s v="Frank"/>
    <n v="0.73"/>
    <n v="68036"/>
    <s v="Normal"/>
  </r>
  <r>
    <x v="2"/>
    <x v="11"/>
    <s v="Product Manager"/>
    <s v="Junior"/>
    <n v="54073"/>
    <n v="1846"/>
    <s v="EUR"/>
    <s v="Contract"/>
    <x v="1"/>
    <s v="Berlin"/>
    <s v="Berlin"/>
    <n v="12"/>
    <n v="12"/>
    <x v="1"/>
    <x v="0"/>
    <s v="David"/>
    <n v="1.1000000000000001"/>
    <n v="59480.3"/>
    <s v="Normal"/>
  </r>
  <r>
    <x v="1"/>
    <x v="6"/>
    <s v="QA Engineer"/>
    <s v="Intern"/>
    <n v="101889"/>
    <n v="6054"/>
    <s v="AUD"/>
    <s v="Contract"/>
    <x v="9"/>
    <s v="England"/>
    <s v="London"/>
    <n v="0"/>
    <n v="0"/>
    <x v="1"/>
    <x v="2"/>
    <s v="Valerie"/>
    <n v="0.65"/>
    <n v="66227.850000000006"/>
    <s v="Normal"/>
  </r>
  <r>
    <x v="2"/>
    <x v="5"/>
    <s v="S/W Engineer"/>
    <s v="Lead"/>
    <n v="810754"/>
    <n v="79691"/>
    <s v="INR"/>
    <s v="Commission-based"/>
    <x v="6"/>
    <s v="California"/>
    <s v="San Francisco"/>
    <n v="12"/>
    <n v="9"/>
    <x v="3"/>
    <x v="0"/>
    <s v="Sarah"/>
    <n v="1.2E-2"/>
    <n v="9729.0480000000007"/>
    <s v="Normal"/>
  </r>
  <r>
    <x v="2"/>
    <x v="5"/>
    <s v="Accountant"/>
    <s v="Junior"/>
    <n v="158659"/>
    <n v="4326"/>
    <s v="AUD"/>
    <s v="Fixed salary"/>
    <x v="3"/>
    <s v="Queensland"/>
    <s v="Brisbane"/>
    <n v="18"/>
    <n v="18"/>
    <x v="0"/>
    <x v="1"/>
    <s v="John"/>
    <n v="0.65"/>
    <n v="103128.35"/>
    <s v="Normal"/>
  </r>
  <r>
    <x v="0"/>
    <x v="11"/>
    <s v="Developer"/>
    <s v="Part-time"/>
    <n v="1257501"/>
    <n v="54729"/>
    <s v="INR"/>
    <s v="Contract"/>
    <x v="9"/>
    <s v="Northern Ireland"/>
    <s v="Belfast"/>
    <n v="9"/>
    <n v="8"/>
    <x v="1"/>
    <x v="2"/>
    <s v="Sara"/>
    <n v="1.2E-2"/>
    <n v="15090.012000000001"/>
    <s v="Normal"/>
  </r>
  <r>
    <x v="3"/>
    <x v="6"/>
    <s v="Professor"/>
    <s v="Full-time"/>
    <n v="58371"/>
    <n v="11737"/>
    <s v="GBP"/>
    <s v="Contract"/>
    <x v="4"/>
    <s v="Ontario"/>
    <s v="Toronto"/>
    <n v="0"/>
    <n v="0"/>
    <x v="0"/>
    <x v="3"/>
    <s v="Brian"/>
    <n v="1.25"/>
    <n v="72963.75"/>
    <s v="Normal"/>
  </r>
  <r>
    <x v="3"/>
    <x v="1"/>
    <s v="QA Engineer"/>
    <s v="Unknown"/>
    <n v="136343"/>
    <n v="15042"/>
    <s v="USD"/>
    <s v="Contract"/>
    <x v="1"/>
    <s v="Bavaria"/>
    <s v="Munich"/>
    <n v="0"/>
    <n v="0"/>
    <x v="3"/>
    <x v="0"/>
    <s v="Priya"/>
    <n v="1"/>
    <n v="136343"/>
    <s v="Normal"/>
  </r>
  <r>
    <x v="2"/>
    <x v="6"/>
    <s v="S/W Engineer"/>
    <s v="Part-time"/>
    <n v="74509"/>
    <n v="21994"/>
    <s v="EUR"/>
    <s v="Commission-based"/>
    <x v="6"/>
    <s v="Massachusetts"/>
    <s v="Boston"/>
    <n v="25"/>
    <n v="22"/>
    <x v="4"/>
    <x v="3"/>
    <s v="Priya"/>
    <n v="1.1000000000000001"/>
    <n v="81959.900000000009"/>
    <s v="Normal"/>
  </r>
  <r>
    <x v="3"/>
    <x v="11"/>
    <s v="S/W Engineer"/>
    <s v="Part-time"/>
    <n v="44599"/>
    <n v="1203"/>
    <s v="GBP"/>
    <s v="Commission-based"/>
    <x v="8"/>
    <s v="Dubai"/>
    <s v="Dubai"/>
    <n v="1"/>
    <n v="1"/>
    <x v="2"/>
    <x v="0"/>
    <s v="Taylor"/>
    <n v="1.25"/>
    <n v="55748.75"/>
    <s v="Normal"/>
  </r>
  <r>
    <x v="2"/>
    <x v="8"/>
    <s v="Business Analyst"/>
    <s v="Full-time"/>
    <n v="79783"/>
    <n v="6795"/>
    <s v="EUR"/>
    <s v="Commission-based"/>
    <x v="6"/>
    <s v="Washington"/>
    <s v="Seattle"/>
    <n v="10"/>
    <n v="10"/>
    <x v="0"/>
    <x v="2"/>
    <s v="Mary"/>
    <n v="1.1000000000000001"/>
    <n v="87761.3"/>
    <s v="Normal"/>
  </r>
  <r>
    <x v="3"/>
    <x v="0"/>
    <s v="Software Engineer"/>
    <s v="Contract"/>
    <n v="134132"/>
    <n v="31519"/>
    <s v="USD"/>
    <s v="Contract"/>
    <x v="9"/>
    <s v="Wales"/>
    <s v="Cardiff"/>
    <n v="0"/>
    <n v="0"/>
    <x v="2"/>
    <x v="2"/>
    <s v="Alex"/>
    <n v="1"/>
    <n v="134132"/>
    <s v="Normal"/>
  </r>
  <r>
    <x v="2"/>
    <x v="3"/>
    <s v="Data Analyst"/>
    <s v="Contract"/>
    <n v="116965"/>
    <n v="4136"/>
    <s v="EUR"/>
    <s v="Commission-based"/>
    <x v="0"/>
    <s v="North Holland"/>
    <s v="Amsterdam"/>
    <n v="8"/>
    <n v="7"/>
    <x v="2"/>
    <x v="0"/>
    <s v="Jesse"/>
    <n v="1.1000000000000001"/>
    <n v="128661.50000000001"/>
    <s v="Normal"/>
  </r>
  <r>
    <x v="4"/>
    <x v="4"/>
    <s v="Teacher"/>
    <s v="Unknown"/>
    <n v="84204"/>
    <n v="2300"/>
    <s v="AUD"/>
    <s v="Fixed salary"/>
    <x v="3"/>
    <s v="New South Wales"/>
    <s v="Sydney"/>
    <n v="12"/>
    <n v="11"/>
    <x v="1"/>
    <x v="2"/>
    <s v="Brittney"/>
    <n v="0.65"/>
    <n v="54732.6"/>
    <s v="Normal"/>
  </r>
  <r>
    <x v="2"/>
    <x v="1"/>
    <s v="Data Analyst"/>
    <s v="Intern"/>
    <n v="825712"/>
    <n v="61543"/>
    <s v="INR"/>
    <s v="Hourly"/>
    <x v="8"/>
    <s v="Abu Dhabi"/>
    <s v="Abu Dhabi"/>
    <n v="7"/>
    <n v="7"/>
    <x v="2"/>
    <x v="3"/>
    <s v="Mark"/>
    <n v="1.2E-2"/>
    <n v="9908.5439999999999"/>
    <s v="Normal"/>
  </r>
  <r>
    <x v="0"/>
    <x v="5"/>
    <s v="Accountant"/>
    <s v="Unknown"/>
    <n v="42746"/>
    <n v="1674"/>
    <s v="AUD"/>
    <s v="Commission-based"/>
    <x v="9"/>
    <s v="England"/>
    <s v="London"/>
    <n v="20"/>
    <n v="17"/>
    <x v="4"/>
    <x v="1"/>
    <s v="Kathy"/>
    <n v="0.65"/>
    <n v="27784.9"/>
    <s v="Normal"/>
  </r>
  <r>
    <x v="3"/>
    <x v="3"/>
    <s v="QA Engineer"/>
    <s v="Full-time"/>
    <n v="55931"/>
    <n v="0"/>
    <s v="CAD"/>
    <s v="Contract"/>
    <x v="8"/>
    <s v="Dubai"/>
    <s v="Dubai"/>
    <n v="3"/>
    <n v="3"/>
    <x v="2"/>
    <x v="0"/>
    <s v="Cristian"/>
    <n v="0.73"/>
    <n v="40829.629999999997"/>
    <s v="Normal"/>
  </r>
  <r>
    <x v="1"/>
    <x v="3"/>
    <s v="S/W Engineer"/>
    <s v="Junior"/>
    <n v="117660"/>
    <n v="672"/>
    <s v="GBP"/>
    <s v="Fixed salary"/>
    <x v="0"/>
    <s v="North Holland"/>
    <s v="Amsterdam"/>
    <n v="1"/>
    <n v="1"/>
    <x v="5"/>
    <x v="1"/>
    <s v="Arjun"/>
    <n v="1.25"/>
    <n v="147075"/>
    <s v="Normal"/>
  </r>
  <r>
    <x v="0"/>
    <x v="0"/>
    <s v="HR Manager"/>
    <s v="Unknown"/>
    <n v="65867"/>
    <n v="1456"/>
    <s v="AUD"/>
    <s v="Contract"/>
    <x v="0"/>
    <s v="South Holland"/>
    <s v="Rotterdam"/>
    <n v="9"/>
    <n v="6"/>
    <x v="3"/>
    <x v="2"/>
    <s v="Brandi"/>
    <n v="0.65"/>
    <n v="42813.55"/>
    <s v="Normal"/>
  </r>
  <r>
    <x v="2"/>
    <x v="3"/>
    <s v="Software Engineer"/>
    <s v="On-site"/>
    <n v="71625"/>
    <n v="1053"/>
    <s v="USD"/>
    <s v="Commission-based"/>
    <x v="0"/>
    <s v="South Holland"/>
    <s v="Rotterdam"/>
    <n v="15"/>
    <n v="15"/>
    <x v="1"/>
    <x v="3"/>
    <s v="Terry"/>
    <n v="1"/>
    <n v="71625"/>
    <s v="Normal"/>
  </r>
  <r>
    <x v="3"/>
    <x v="8"/>
    <s v="Accountant"/>
    <s v="Intern"/>
    <n v="63813"/>
    <n v="2495"/>
    <s v="GBP"/>
    <s v="Unknown"/>
    <x v="1"/>
    <s v="Berlin"/>
    <s v="Berlin"/>
    <n v="1"/>
    <n v="1"/>
    <x v="1"/>
    <x v="1"/>
    <s v="Elizabeth"/>
    <n v="1.25"/>
    <n v="79766.25"/>
    <s v="Normal"/>
  </r>
  <r>
    <x v="3"/>
    <x v="3"/>
    <s v="Business Analyst"/>
    <s v="Remote"/>
    <n v="69719"/>
    <n v="16968"/>
    <s v="CAD"/>
    <s v="Commission-based"/>
    <x v="0"/>
    <s v="North Holland"/>
    <s v="Amsterdam"/>
    <n v="7"/>
    <n v="4"/>
    <x v="2"/>
    <x v="0"/>
    <s v="ijphn"/>
    <n v="0.73"/>
    <n v="50894.869999999995"/>
    <s v="Normal"/>
  </r>
  <r>
    <x v="0"/>
    <x v="9"/>
    <s v="System Administrator"/>
    <s v="Junior"/>
    <n v="102557"/>
    <n v="0"/>
    <s v="CAD"/>
    <s v="Contract"/>
    <x v="8"/>
    <s v="Abu Dhabi"/>
    <s v="Abu Dhabi"/>
    <n v="15"/>
    <n v="12"/>
    <x v="0"/>
    <x v="2"/>
    <s v="Andrew"/>
    <n v="0.73"/>
    <n v="74866.61"/>
    <s v="Normal"/>
  </r>
  <r>
    <x v="0"/>
    <x v="1"/>
    <s v="Data Scientist"/>
    <s v="Contract"/>
    <n v="1044670"/>
    <n v="0"/>
    <s v="INR"/>
    <s v="Unknown"/>
    <x v="6"/>
    <s v="Massachusetts"/>
    <s v="Boston"/>
    <n v="9"/>
    <n v="7"/>
    <x v="3"/>
    <x v="0"/>
    <s v="Claudia"/>
    <n v="1.2E-2"/>
    <n v="12536.04"/>
    <s v="Normal"/>
  </r>
  <r>
    <x v="1"/>
    <x v="11"/>
    <s v="Data Analyst"/>
    <s v="Unknown"/>
    <n v="95393"/>
    <n v="8798"/>
    <s v="AUD"/>
    <s v="Hourly"/>
    <x v="9"/>
    <s v="Wales"/>
    <s v="Cardiff"/>
    <n v="0"/>
    <n v="0"/>
    <x v="5"/>
    <x v="3"/>
    <s v="Alex"/>
    <n v="0.65"/>
    <n v="62005.450000000004"/>
    <s v="Normal"/>
  </r>
  <r>
    <x v="2"/>
    <x v="3"/>
    <s v="QA Engineer"/>
    <s v="Full-time"/>
    <n v="91879"/>
    <n v="8848"/>
    <s v="USD"/>
    <s v="Contract"/>
    <x v="8"/>
    <s v="Abu Dhabi"/>
    <s v="Abu Dhabi"/>
    <n v="2"/>
    <n v="2"/>
    <x v="0"/>
    <x v="3"/>
    <s v="Matthew"/>
    <n v="1"/>
    <n v="91879"/>
    <s v="Normal"/>
  </r>
  <r>
    <x v="3"/>
    <x v="2"/>
    <s v="Nurse"/>
    <s v="Remote"/>
    <n v="1083601"/>
    <n v="45777"/>
    <s v="INR"/>
    <s v="Unknown"/>
    <x v="7"/>
    <s v="Provence-Alpes-Côte d'Azur"/>
    <s v="Nice"/>
    <n v="2"/>
    <n v="1"/>
    <x v="1"/>
    <x v="0"/>
    <s v="Dawn"/>
    <n v="1.2E-2"/>
    <n v="13003.212"/>
    <s v="Normal"/>
  </r>
  <r>
    <x v="4"/>
    <x v="3"/>
    <s v="Project Manager"/>
    <s v="Unknown"/>
    <n v="95413"/>
    <n v="21200"/>
    <s v="CAD"/>
    <s v="Fixed salary"/>
    <x v="0"/>
    <s v="South Holland"/>
    <s v="Rotterdam"/>
    <n v="18"/>
    <n v="18"/>
    <x v="2"/>
    <x v="2"/>
    <s v="Andrew"/>
    <n v="0.73"/>
    <n v="69651.490000000005"/>
    <s v="Normal"/>
  </r>
  <r>
    <x v="0"/>
    <x v="6"/>
    <s v="Data Analyst"/>
    <s v="Junior"/>
    <n v="879233"/>
    <n v="0"/>
    <s v="INR"/>
    <s v="Fixed salary"/>
    <x v="3"/>
    <s v="Queensland"/>
    <s v="Brisbane"/>
    <n v="9"/>
    <n v="9"/>
    <x v="2"/>
    <x v="0"/>
    <s v="Anita"/>
    <n v="1.2E-2"/>
    <n v="10550.796"/>
    <s v="Normal"/>
  </r>
  <r>
    <x v="4"/>
    <x v="6"/>
    <s v="Data Analyst"/>
    <s v="Remote"/>
    <n v="87022"/>
    <n v="8220"/>
    <s v="USD"/>
    <s v="Fixed salary"/>
    <x v="6"/>
    <s v="New York"/>
    <s v="Buffalo"/>
    <n v="20"/>
    <n v="20"/>
    <x v="2"/>
    <x v="0"/>
    <s v="Daniel"/>
    <n v="1"/>
    <n v="87022"/>
    <s v="Normal"/>
  </r>
  <r>
    <x v="2"/>
    <x v="3"/>
    <s v="Doctor"/>
    <s v="Part-time"/>
    <n v="612210"/>
    <n v="298"/>
    <s v="INR"/>
    <s v="Contract"/>
    <x v="3"/>
    <s v="Queensland"/>
    <s v="Brisbane"/>
    <n v="8"/>
    <n v="6"/>
    <x v="3"/>
    <x v="3"/>
    <s v="Joshua"/>
    <n v="1.2E-2"/>
    <n v="7346.52"/>
    <s v="Normal"/>
  </r>
  <r>
    <x v="1"/>
    <x v="11"/>
    <s v="Developer"/>
    <s v="Junior"/>
    <n v="56634"/>
    <n v="7097"/>
    <s v="EUR"/>
    <s v="Unknown"/>
    <x v="6"/>
    <s v="California"/>
    <s v="San Francisco"/>
    <n v="0"/>
    <n v="0"/>
    <x v="2"/>
    <x v="0"/>
    <s v="Lori"/>
    <n v="1.1000000000000001"/>
    <n v="62297.4"/>
    <s v="Normal"/>
  </r>
  <r>
    <x v="3"/>
    <x v="9"/>
    <s v="Accountant"/>
    <s v="Part-time"/>
    <n v="86265"/>
    <n v="19011"/>
    <s v="CAD"/>
    <s v="Unknown"/>
    <x v="5"/>
    <s v="Maharashtra"/>
    <s v="Pune"/>
    <n v="7"/>
    <n v="6"/>
    <x v="4"/>
    <x v="2"/>
    <s v="Courtney"/>
    <n v="0.73"/>
    <n v="62973.45"/>
    <s v="Normal"/>
  </r>
  <r>
    <x v="0"/>
    <x v="0"/>
    <s v="Software Engineer"/>
    <s v="Unknown"/>
    <n v="405709"/>
    <n v="12178"/>
    <s v="INR"/>
    <s v="Commission-based"/>
    <x v="3"/>
    <s v="Victoria"/>
    <s v="Melbourne"/>
    <n v="25"/>
    <n v="25"/>
    <x v="1"/>
    <x v="0"/>
    <s v="Karen"/>
    <n v="1.2E-2"/>
    <n v="4868.5079999999998"/>
    <s v="Normal"/>
  </r>
  <r>
    <x v="3"/>
    <x v="2"/>
    <s v="Business Analyst"/>
    <s v="Lead"/>
    <n v="103796"/>
    <n v="0"/>
    <s v="EUR"/>
    <s v="Fixed salary"/>
    <x v="3"/>
    <s v="Victoria"/>
    <s v="Melbourne"/>
    <n v="0"/>
    <n v="0"/>
    <x v="2"/>
    <x v="0"/>
    <s v="Beverly"/>
    <n v="1.1000000000000001"/>
    <n v="114175.6"/>
    <s v="Normal"/>
  </r>
  <r>
    <x v="2"/>
    <x v="3"/>
    <s v="Professor"/>
    <s v="Remote"/>
    <n v="1212986"/>
    <n v="0"/>
    <s v="INR"/>
    <s v="Hourly"/>
    <x v="4"/>
    <s v="British Columbia"/>
    <s v="Vancouver"/>
    <n v="7"/>
    <n v="7"/>
    <x v="4"/>
    <x v="1"/>
    <s v="Kavya"/>
    <n v="1.2E-2"/>
    <n v="14555.832"/>
    <s v="Normal"/>
  </r>
  <r>
    <x v="4"/>
    <x v="10"/>
    <s v="S/W Engineer"/>
    <s v="Remote"/>
    <n v="83311"/>
    <n v="3909"/>
    <s v="GBP"/>
    <s v="Commission-based"/>
    <x v="7"/>
    <s v="Provence-Alpes-Côte d'Azur"/>
    <s v="Nice"/>
    <n v="25"/>
    <n v="24"/>
    <x v="3"/>
    <x v="3"/>
    <s v="Peter"/>
    <n v="1.25"/>
    <n v="104138.75"/>
    <s v="Normal"/>
  </r>
  <r>
    <x v="1"/>
    <x v="0"/>
    <s v="Business Analyst"/>
    <s v="Remote"/>
    <n v="156802"/>
    <n v="0"/>
    <s v="CAD"/>
    <s v="Commission-based"/>
    <x v="4"/>
    <s v="Ontario"/>
    <s v="Toronto"/>
    <n v="0"/>
    <n v="0"/>
    <x v="5"/>
    <x v="3"/>
    <s v="Arjun"/>
    <n v="0.73"/>
    <n v="114465.45999999999"/>
    <s v="Normal"/>
  </r>
  <r>
    <x v="3"/>
    <x v="8"/>
    <s v="Software Engineer"/>
    <s v="Junior"/>
    <n v="115293"/>
    <n v="1531"/>
    <s v="GBP"/>
    <s v="Commission-based"/>
    <x v="0"/>
    <s v="South Holland"/>
    <s v="Rotterdam"/>
    <n v="2"/>
    <n v="2"/>
    <x v="4"/>
    <x v="3"/>
    <s v="Lauren"/>
    <n v="1.25"/>
    <n v="144116.25"/>
    <s v="Normal"/>
  </r>
  <r>
    <x v="0"/>
    <x v="3"/>
    <s v="S/W Engineer"/>
    <s v="Senior"/>
    <n v="120362"/>
    <n v="12222"/>
    <s v="CAD"/>
    <s v="Unknown"/>
    <x v="6"/>
    <s v="Texas"/>
    <s v="Dallas"/>
    <n v="18"/>
    <n v="18"/>
    <x v="1"/>
    <x v="2"/>
    <s v="Brian"/>
    <n v="0.73"/>
    <n v="87864.26"/>
    <s v="Normal"/>
  </r>
  <r>
    <x v="1"/>
    <x v="10"/>
    <s v="Project Manager"/>
    <s v="Lead"/>
    <n v="48433"/>
    <n v="13984"/>
    <s v="GBP"/>
    <s v="Hourly"/>
    <x v="6"/>
    <s v="Massachusetts"/>
    <s v="Boston"/>
    <n v="0"/>
    <n v="0"/>
    <x v="1"/>
    <x v="2"/>
    <s v="Yvonne"/>
    <n v="1.25"/>
    <n v="60541.25"/>
    <s v="Normal"/>
  </r>
  <r>
    <x v="2"/>
    <x v="8"/>
    <s v="Nurse"/>
    <s v="Lead"/>
    <n v="44249"/>
    <n v="0"/>
    <s v="EUR"/>
    <s v="Contract"/>
    <x v="5"/>
    <s v="Tamil Nadu"/>
    <s v="Chennai"/>
    <n v="10"/>
    <n v="7"/>
    <x v="2"/>
    <x v="2"/>
    <s v="Sneha"/>
    <n v="1.1000000000000001"/>
    <n v="48673.9"/>
    <s v="Normal"/>
  </r>
  <r>
    <x v="1"/>
    <x v="11"/>
    <s v="QA Engineer"/>
    <s v="Part-time"/>
    <n v="12238"/>
    <n v="69"/>
    <s v="AUD"/>
    <s v="Commission-based"/>
    <x v="0"/>
    <s v="South Holland"/>
    <s v="Rotterdam"/>
    <n v="1"/>
    <n v="1"/>
    <x v="0"/>
    <x v="2"/>
    <s v="Betty"/>
    <n v="0.65"/>
    <n v="7954.7"/>
    <s v="Normal"/>
  </r>
  <r>
    <x v="2"/>
    <x v="8"/>
    <s v="S/W Engineer"/>
    <s v="Full-time"/>
    <n v="89630"/>
    <n v="0"/>
    <s v="EUR"/>
    <s v="Fixed salary"/>
    <x v="1"/>
    <s v="Hesse"/>
    <s v="Frankfurt"/>
    <n v="15"/>
    <n v="12"/>
    <x v="5"/>
    <x v="3"/>
    <s v="Adrian"/>
    <n v="1.1000000000000001"/>
    <n v="98593.000000000015"/>
    <s v="Normal"/>
  </r>
  <r>
    <x v="3"/>
    <x v="2"/>
    <s v="Teacher"/>
    <s v="Intern"/>
    <n v="74218"/>
    <n v="97"/>
    <s v="GBP"/>
    <s v="Fixed salary"/>
    <x v="7"/>
    <s v="Île-de-France"/>
    <s v="Paris"/>
    <n v="4"/>
    <n v="3"/>
    <x v="2"/>
    <x v="3"/>
    <s v="Jessica"/>
    <n v="1.25"/>
    <n v="92772.5"/>
    <s v="Normal"/>
  </r>
  <r>
    <x v="3"/>
    <x v="11"/>
    <s v="Professor"/>
    <s v="Contract"/>
    <n v="932925"/>
    <n v="0"/>
    <s v="INR"/>
    <s v="Fixed salary"/>
    <x v="0"/>
    <s v="South Holland"/>
    <s v="Rotterdam"/>
    <n v="1"/>
    <n v="0"/>
    <x v="4"/>
    <x v="3"/>
    <s v="Latasha"/>
    <n v="1.2E-2"/>
    <n v="11195.1"/>
    <s v="Normal"/>
  </r>
  <r>
    <x v="4"/>
    <x v="10"/>
    <s v="Software Engineer"/>
    <s v="Unknown"/>
    <n v="77514"/>
    <n v="7830"/>
    <s v="EUR"/>
    <s v="Fixed salary"/>
    <x v="2"/>
    <s v="Central Region"/>
    <s v="Singapore"/>
    <n v="18"/>
    <n v="16"/>
    <x v="2"/>
    <x v="1"/>
    <s v="Erika"/>
    <n v="1.1000000000000001"/>
    <n v="85265.400000000009"/>
    <s v="Normal"/>
  </r>
  <r>
    <x v="2"/>
    <x v="9"/>
    <s v="QA Engineer"/>
    <s v="Lead"/>
    <n v="24527"/>
    <n v="0"/>
    <s v="EUR"/>
    <s v="Fixed salary"/>
    <x v="1"/>
    <s v="Bavaria"/>
    <s v="Munich"/>
    <n v="2"/>
    <n v="1"/>
    <x v="2"/>
    <x v="0"/>
    <s v="Taylor"/>
    <n v="1.1000000000000001"/>
    <n v="26979.7"/>
    <s v="Normal"/>
  </r>
  <r>
    <x v="4"/>
    <x v="3"/>
    <s v="Teacher"/>
    <s v="Junior"/>
    <n v="69926"/>
    <n v="6660"/>
    <s v="CAD"/>
    <s v="Fixed salary"/>
    <x v="2"/>
    <s v="Central Region"/>
    <s v="Singapore"/>
    <n v="18"/>
    <n v="17"/>
    <x v="2"/>
    <x v="0"/>
    <s v="Raj"/>
    <n v="0.73"/>
    <n v="51045.979999999996"/>
    <s v="Normal"/>
  </r>
  <r>
    <x v="3"/>
    <x v="9"/>
    <s v="Business Analyst"/>
    <s v="Junior"/>
    <n v="256057"/>
    <n v="31588"/>
    <s v="INR"/>
    <s v="Contract"/>
    <x v="8"/>
    <s v="Dubai"/>
    <s v="Dubai"/>
    <n v="7"/>
    <n v="6"/>
    <x v="1"/>
    <x v="2"/>
    <s v="Steven"/>
    <n v="1.2E-2"/>
    <n v="3072.6840000000002"/>
    <s v="Normal"/>
  </r>
  <r>
    <x v="4"/>
    <x v="4"/>
    <s v="QA Engineer"/>
    <s v="On-site"/>
    <n v="834635"/>
    <n v="0"/>
    <s v="INR"/>
    <s v="Contract"/>
    <x v="0"/>
    <s v="South Holland"/>
    <s v="Rotterdam"/>
    <n v="15"/>
    <n v="15"/>
    <x v="3"/>
    <x v="2"/>
    <s v="Sara"/>
    <n v="1.2E-2"/>
    <n v="10015.620000000001"/>
    <s v="Normal"/>
  </r>
  <r>
    <x v="2"/>
    <x v="2"/>
    <s v="Sales Executive"/>
    <s v="Intern"/>
    <n v="65637"/>
    <n v="11271"/>
    <s v="CAD"/>
    <s v="Commission-based"/>
    <x v="0"/>
    <s v="South Holland"/>
    <s v="Rotterdam"/>
    <n v="2"/>
    <n v="2"/>
    <x v="1"/>
    <x v="3"/>
    <s v="Rodney"/>
    <n v="0.73"/>
    <n v="47915.01"/>
    <s v="Normal"/>
  </r>
  <r>
    <x v="0"/>
    <x v="9"/>
    <s v="Business Analyst"/>
    <s v="Unknown"/>
    <n v="120614"/>
    <n v="0"/>
    <s v="EUR"/>
    <s v="Unknown"/>
    <x v="9"/>
    <s v="Northern Ireland"/>
    <s v="Belfast"/>
    <n v="25"/>
    <n v="24"/>
    <x v="0"/>
    <x v="0"/>
    <s v="Tracey"/>
    <n v="1.1000000000000001"/>
    <n v="132675.40000000002"/>
    <s v="Normal"/>
  </r>
  <r>
    <x v="0"/>
    <x v="9"/>
    <s v="Product Manager"/>
    <s v="Intern"/>
    <n v="71330"/>
    <n v="4533"/>
    <s v="GBP"/>
    <s v="Commission-based"/>
    <x v="8"/>
    <s v="Abu Dhabi"/>
    <s v="Abu Dhabi"/>
    <n v="8"/>
    <n v="8"/>
    <x v="5"/>
    <x v="2"/>
    <s v="Brianna"/>
    <n v="1.25"/>
    <n v="89162.5"/>
    <s v="Normal"/>
  </r>
  <r>
    <x v="4"/>
    <x v="6"/>
    <s v="Data Scientist"/>
    <s v="Remote"/>
    <n v="25386"/>
    <n v="2147"/>
    <s v="GBP"/>
    <s v="Fixed salary"/>
    <x v="2"/>
    <s v="Central Region"/>
    <s v="Singapore"/>
    <n v="20"/>
    <n v="17"/>
    <x v="1"/>
    <x v="3"/>
    <s v="Catherine"/>
    <n v="1.25"/>
    <n v="31732.5"/>
    <s v="Normal"/>
  </r>
  <r>
    <x v="2"/>
    <x v="3"/>
    <s v="System Administrator"/>
    <s v="Remote"/>
    <n v="305219"/>
    <n v="32759"/>
    <s v="INR"/>
    <s v="Unknown"/>
    <x v="6"/>
    <s v="Massachusetts"/>
    <s v="Boston"/>
    <n v="5"/>
    <n v="5"/>
    <x v="5"/>
    <x v="1"/>
    <s v="Brittney"/>
    <n v="1.2E-2"/>
    <n v="3662.6280000000002"/>
    <s v="Normal"/>
  </r>
  <r>
    <x v="3"/>
    <x v="6"/>
    <s v="Doctor"/>
    <s v="Senior"/>
    <n v="77680"/>
    <n v="0"/>
    <s v="EUR"/>
    <s v="Unknown"/>
    <x v="8"/>
    <s v="Dubai"/>
    <s v="Dubai"/>
    <n v="6"/>
    <n v="6"/>
    <x v="5"/>
    <x v="2"/>
    <s v="Sara"/>
    <n v="1.1000000000000001"/>
    <n v="85448"/>
    <s v="Normal"/>
  </r>
  <r>
    <x v="2"/>
    <x v="3"/>
    <s v="Doctor"/>
    <s v="Junior"/>
    <n v="72300"/>
    <n v="6376"/>
    <s v="GBP"/>
    <s v="Unknown"/>
    <x v="2"/>
    <s v="Central Region"/>
    <s v="Singapore"/>
    <n v="12"/>
    <n v="9"/>
    <x v="0"/>
    <x v="0"/>
    <s v="Michael"/>
    <n v="1.25"/>
    <n v="90375"/>
    <s v="Normal"/>
  </r>
  <r>
    <x v="4"/>
    <x v="6"/>
    <s v="Accountant"/>
    <s v="Remote"/>
    <n v="48446"/>
    <n v="2298"/>
    <s v="EUR"/>
    <s v="Hourly"/>
    <x v="6"/>
    <s v="New York"/>
    <s v="New York City"/>
    <n v="20"/>
    <n v="20"/>
    <x v="3"/>
    <x v="0"/>
    <s v="Heather"/>
    <n v="1.1000000000000001"/>
    <n v="53290.600000000006"/>
    <s v="Normal"/>
  </r>
  <r>
    <x v="3"/>
    <x v="6"/>
    <s v="Data Analyst"/>
    <s v="Junior"/>
    <n v="76419"/>
    <n v="4861"/>
    <s v="EUR"/>
    <s v="Unknown"/>
    <x v="0"/>
    <s v="South Holland"/>
    <s v="Rotterdam"/>
    <n v="7"/>
    <n v="6"/>
    <x v="4"/>
    <x v="3"/>
    <s v="Christopher"/>
    <n v="1.1000000000000001"/>
    <n v="84060.900000000009"/>
    <s v="Normal"/>
  </r>
  <r>
    <x v="0"/>
    <x v="11"/>
    <s v="Nurse"/>
    <s v="On-site"/>
    <n v="48574"/>
    <n v="1976"/>
    <s v="AUD"/>
    <s v="Commission-based"/>
    <x v="1"/>
    <s v="Hesse"/>
    <s v="Frankfurt"/>
    <n v="20"/>
    <n v="20"/>
    <x v="3"/>
    <x v="2"/>
    <s v="Tiffany"/>
    <n v="0.65"/>
    <n v="31573.100000000002"/>
    <s v="Normal"/>
  </r>
  <r>
    <x v="0"/>
    <x v="10"/>
    <s v="Teacher"/>
    <s v="Unknown"/>
    <n v="79197"/>
    <n v="772"/>
    <s v="GBP"/>
    <s v="Hourly"/>
    <x v="1"/>
    <s v="Berlin"/>
    <s v="Berlin"/>
    <n v="15"/>
    <n v="13"/>
    <x v="1"/>
    <x v="2"/>
    <s v="Charles"/>
    <n v="1.25"/>
    <n v="98996.25"/>
    <s v="Normal"/>
  </r>
  <r>
    <x v="4"/>
    <x v="9"/>
    <s v="Business Analyst"/>
    <s v="On-site"/>
    <n v="42944"/>
    <n v="0"/>
    <s v="AUD"/>
    <s v="Fixed salary"/>
    <x v="3"/>
    <s v="Queensland"/>
    <s v="Brisbane"/>
    <n v="9"/>
    <n v="6"/>
    <x v="0"/>
    <x v="1"/>
    <s v="Rachel"/>
    <n v="0.65"/>
    <n v="27913.600000000002"/>
    <s v="Normal"/>
  </r>
  <r>
    <x v="2"/>
    <x v="6"/>
    <s v="Developer"/>
    <s v="Intern"/>
    <n v="729221"/>
    <n v="0"/>
    <s v="INR"/>
    <s v="Unknown"/>
    <x v="4"/>
    <s v="Quebec"/>
    <s v="Montreal"/>
    <n v="6"/>
    <n v="4"/>
    <x v="4"/>
    <x v="3"/>
    <s v="Tammy"/>
    <n v="1.2E-2"/>
    <n v="8750.652"/>
    <s v="Normal"/>
  </r>
  <r>
    <x v="3"/>
    <x v="2"/>
    <s v="Software Engineer"/>
    <s v="On-site"/>
    <n v="88511"/>
    <n v="6441"/>
    <s v="INR"/>
    <s v="Unknown"/>
    <x v="6"/>
    <s v="Texas"/>
    <s v="Austin"/>
    <n v="3"/>
    <n v="3"/>
    <x v="4"/>
    <x v="3"/>
    <s v="Alex"/>
    <n v="1.2E-2"/>
    <n v="1062.1320000000001"/>
    <s v="Normal"/>
  </r>
  <r>
    <x v="3"/>
    <x v="6"/>
    <s v="Nurse"/>
    <s v="Full-time"/>
    <n v="75539"/>
    <n v="10921"/>
    <s v="EUR"/>
    <s v="Unknown"/>
    <x v="3"/>
    <s v="Victoria"/>
    <s v="Melbourne"/>
    <n v="0"/>
    <n v="0"/>
    <x v="1"/>
    <x v="1"/>
    <s v="Arjun"/>
    <n v="1.1000000000000001"/>
    <n v="83092.900000000009"/>
    <s v="Normal"/>
  </r>
  <r>
    <x v="2"/>
    <x v="10"/>
    <s v="HR Manager"/>
    <s v="Intern"/>
    <n v="32482"/>
    <n v="4339"/>
    <s v="CAD"/>
    <s v="Unknown"/>
    <x v="8"/>
    <s v="Dubai"/>
    <s v="Dubai"/>
    <n v="10"/>
    <n v="8"/>
    <x v="0"/>
    <x v="1"/>
    <s v="Maria"/>
    <n v="0.73"/>
    <n v="23711.86"/>
    <s v="Normal"/>
  </r>
  <r>
    <x v="2"/>
    <x v="0"/>
    <s v="Accountant"/>
    <s v="Senior"/>
    <n v="89611"/>
    <n v="0"/>
    <s v="AUD"/>
    <s v="Unknown"/>
    <x v="9"/>
    <s v="Northern Ireland"/>
    <s v="Belfast"/>
    <n v="12"/>
    <n v="12"/>
    <x v="0"/>
    <x v="1"/>
    <s v="Michael"/>
    <n v="0.65"/>
    <n v="58247.15"/>
    <s v="Normal"/>
  </r>
  <r>
    <x v="4"/>
    <x v="8"/>
    <s v="DevOps Engineer"/>
    <s v="Contract"/>
    <n v="109881"/>
    <n v="12475"/>
    <s v="GBP"/>
    <s v="Commission-based"/>
    <x v="4"/>
    <s v="British Columbia"/>
    <s v="Vancouver"/>
    <n v="18"/>
    <n v="18"/>
    <x v="1"/>
    <x v="0"/>
    <s v="Charles"/>
    <n v="1.25"/>
    <n v="137351.25"/>
    <s v="Normal"/>
  </r>
  <r>
    <x v="2"/>
    <x v="9"/>
    <s v="Professor"/>
    <s v="Remote"/>
    <n v="645874"/>
    <n v="16812"/>
    <s v="INR"/>
    <s v="Commission-based"/>
    <x v="8"/>
    <s v="Abu Dhabi"/>
    <s v="Abu Dhabi"/>
    <n v="5"/>
    <n v="4"/>
    <x v="5"/>
    <x v="0"/>
    <s v="Emma"/>
    <n v="1.2E-2"/>
    <n v="7750.4880000000003"/>
    <s v="Normal"/>
  </r>
  <r>
    <x v="2"/>
    <x v="8"/>
    <s v="HR Manager"/>
    <s v="On-site"/>
    <n v="110488"/>
    <n v="1479"/>
    <s v="AUD"/>
    <s v="Contract"/>
    <x v="0"/>
    <s v="North Holland"/>
    <s v="Amsterdam"/>
    <n v="2"/>
    <n v="1"/>
    <x v="3"/>
    <x v="3"/>
    <s v="Kristi"/>
    <n v="0.65"/>
    <n v="71817.2"/>
    <s v="Normal"/>
  </r>
  <r>
    <x v="2"/>
    <x v="6"/>
    <s v="Data Scientist"/>
    <s v="Lead"/>
    <n v="32167"/>
    <n v="4069"/>
    <s v="CAD"/>
    <s v="Unknown"/>
    <x v="7"/>
    <s v="Île-de-France"/>
    <s v="Paris"/>
    <n v="12"/>
    <n v="11"/>
    <x v="4"/>
    <x v="1"/>
    <s v="Anita"/>
    <n v="0.73"/>
    <n v="23481.91"/>
    <s v="Normal"/>
  </r>
  <r>
    <x v="2"/>
    <x v="5"/>
    <s v="Data Scientist"/>
    <s v="Junior"/>
    <n v="127083"/>
    <n v="18316"/>
    <s v="AUD"/>
    <s v="Contract"/>
    <x v="8"/>
    <s v="Dubai"/>
    <s v="Dubai"/>
    <n v="10"/>
    <n v="8"/>
    <x v="5"/>
    <x v="3"/>
    <s v="Alex"/>
    <n v="0.65"/>
    <n v="82603.95"/>
    <s v="Normal"/>
  </r>
  <r>
    <x v="2"/>
    <x v="4"/>
    <s v="QA Engineer"/>
    <s v="Remote"/>
    <n v="99474"/>
    <n v="5938"/>
    <s v="AUD"/>
    <s v="Contract"/>
    <x v="4"/>
    <s v="Quebec"/>
    <s v="Montreal"/>
    <n v="15"/>
    <n v="13"/>
    <x v="4"/>
    <x v="0"/>
    <s v="Jason"/>
    <n v="0.65"/>
    <n v="64658.100000000006"/>
    <s v="Normal"/>
  </r>
  <r>
    <x v="3"/>
    <x v="8"/>
    <s v="Accountant"/>
    <s v="Senior"/>
    <n v="117491"/>
    <n v="12633"/>
    <s v="AUD"/>
    <s v="Commission-based"/>
    <x v="2"/>
    <s v="Central Region"/>
    <s v="Singapore"/>
    <n v="4"/>
    <n v="4"/>
    <x v="4"/>
    <x v="3"/>
    <s v="Philip"/>
    <n v="0.65"/>
    <n v="76369.150000000009"/>
    <s v="Normal"/>
  </r>
  <r>
    <x v="2"/>
    <x v="1"/>
    <s v="QA Engineer"/>
    <s v="On-site"/>
    <n v="33898"/>
    <n v="1276"/>
    <s v="AUD"/>
    <s v="Unknown"/>
    <x v="1"/>
    <s v="Bavaria"/>
    <s v="Munich"/>
    <n v="7"/>
    <n v="7"/>
    <x v="4"/>
    <x v="2"/>
    <s v="Jeremy"/>
    <n v="0.65"/>
    <n v="22033.7"/>
    <s v="Normal"/>
  </r>
  <r>
    <x v="2"/>
    <x v="2"/>
    <s v="Nurse"/>
    <s v="Full-time"/>
    <n v="55751"/>
    <n v="3657"/>
    <s v="EUR"/>
    <s v="Contract"/>
    <x v="6"/>
    <s v="Washington"/>
    <s v="Seattle"/>
    <n v="9"/>
    <n v="9"/>
    <x v="3"/>
    <x v="1"/>
    <s v="Arjun"/>
    <n v="1.1000000000000001"/>
    <n v="61326.100000000006"/>
    <s v="Normal"/>
  </r>
  <r>
    <x v="2"/>
    <x v="6"/>
    <s v="Product Manager"/>
    <s v="On-site"/>
    <n v="42545"/>
    <n v="1373"/>
    <s v="GBP"/>
    <s v="Fixed salary"/>
    <x v="9"/>
    <s v="Northern Ireland"/>
    <s v="Belfast"/>
    <n v="3"/>
    <n v="3"/>
    <x v="2"/>
    <x v="3"/>
    <s v="Paul"/>
    <n v="1.25"/>
    <n v="53181.25"/>
    <s v="Normal"/>
  </r>
  <r>
    <x v="3"/>
    <x v="6"/>
    <s v="Product Manager"/>
    <s v="Unknown"/>
    <n v="73147"/>
    <n v="0"/>
    <s v="GBP"/>
    <s v="Contract"/>
    <x v="4"/>
    <s v="British Columbia"/>
    <s v="Vancouver"/>
    <n v="6"/>
    <n v="3"/>
    <x v="5"/>
    <x v="2"/>
    <s v="Lauren"/>
    <n v="1.25"/>
    <n v="91433.75"/>
    <s v="Normal"/>
  </r>
  <r>
    <x v="2"/>
    <x v="8"/>
    <s v="Business Analyst"/>
    <s v="Remote"/>
    <n v="265862"/>
    <n v="26277"/>
    <s v="INR"/>
    <s v="Hourly"/>
    <x v="1"/>
    <s v="Bavaria"/>
    <s v="Munich"/>
    <n v="6"/>
    <n v="6"/>
    <x v="5"/>
    <x v="1"/>
    <s v="Raj"/>
    <n v="1.2E-2"/>
    <n v="3190.3440000000001"/>
    <s v="Normal"/>
  </r>
  <r>
    <x v="3"/>
    <x v="11"/>
    <s v="Teacher"/>
    <s v="Remote"/>
    <n v="519951"/>
    <n v="20990"/>
    <s v="INR"/>
    <s v="Commission-based"/>
    <x v="6"/>
    <s v="Massachusetts"/>
    <s v="Boston"/>
    <n v="1"/>
    <n v="0"/>
    <x v="0"/>
    <x v="2"/>
    <s v="Sneha"/>
    <n v="1.2E-2"/>
    <n v="6239.4120000000003"/>
    <s v="Normal"/>
  </r>
  <r>
    <x v="3"/>
    <x v="9"/>
    <s v="QA Engineer"/>
    <s v="Junior"/>
    <n v="101793"/>
    <n v="3683"/>
    <s v="AUD"/>
    <s v="Hourly"/>
    <x v="0"/>
    <s v="South Holland"/>
    <s v="Rotterdam"/>
    <n v="2"/>
    <n v="2"/>
    <x v="3"/>
    <x v="0"/>
    <s v="Kimberly"/>
    <n v="0.65"/>
    <n v="66165.45"/>
    <s v="Normal"/>
  </r>
  <r>
    <x v="3"/>
    <x v="3"/>
    <s v="Data Analyst"/>
    <s v="Junior"/>
    <n v="90732"/>
    <n v="23380"/>
    <s v="AUD"/>
    <s v="Fixed salary"/>
    <x v="2"/>
    <s v="Central Region"/>
    <s v="Singapore"/>
    <n v="7"/>
    <n v="4"/>
    <x v="3"/>
    <x v="2"/>
    <s v="Noah"/>
    <n v="0.65"/>
    <n v="58975.8"/>
    <s v="Normal"/>
  </r>
  <r>
    <x v="2"/>
    <x v="3"/>
    <s v="Data Analyst"/>
    <s v="Part-time"/>
    <n v="54895"/>
    <n v="3062"/>
    <s v="EUR"/>
    <s v="Unknown"/>
    <x v="2"/>
    <s v="Central Region"/>
    <s v="Singapore"/>
    <n v="12"/>
    <n v="12"/>
    <x v="3"/>
    <x v="2"/>
    <s v="Sean"/>
    <n v="1.1000000000000001"/>
    <n v="60384.500000000007"/>
    <s v="Normal"/>
  </r>
  <r>
    <x v="2"/>
    <x v="4"/>
    <s v="Business Analyst"/>
    <s v="Remote"/>
    <n v="87199"/>
    <n v="1330"/>
    <s v="AUD"/>
    <s v="Unknown"/>
    <x v="1"/>
    <s v="Berlin"/>
    <s v="Berlin"/>
    <n v="2"/>
    <n v="2"/>
    <x v="4"/>
    <x v="3"/>
    <s v="Ramesh"/>
    <n v="0.65"/>
    <n v="56679.35"/>
    <s v="Normal"/>
  </r>
  <r>
    <x v="2"/>
    <x v="8"/>
    <s v="Teacher"/>
    <s v="Lead"/>
    <n v="802097"/>
    <n v="72738"/>
    <s v="INR"/>
    <s v="Contract"/>
    <x v="2"/>
    <s v="Central Region"/>
    <s v="Singapore"/>
    <n v="25"/>
    <n v="22"/>
    <x v="1"/>
    <x v="0"/>
    <s v="Robert"/>
    <n v="1.2E-2"/>
    <n v="9625.1640000000007"/>
    <s v="Normal"/>
  </r>
  <r>
    <x v="4"/>
    <x v="3"/>
    <s v="HR Manager"/>
    <s v="Lead"/>
    <n v="127531"/>
    <n v="9563"/>
    <s v="USD"/>
    <s v="Unknown"/>
    <x v="9"/>
    <s v="Wales"/>
    <s v="Cardiff"/>
    <n v="15"/>
    <n v="12"/>
    <x v="2"/>
    <x v="0"/>
    <s v="Ramesh"/>
    <n v="1"/>
    <n v="127531"/>
    <s v="Normal"/>
  </r>
  <r>
    <x v="4"/>
    <x v="10"/>
    <s v="Product Manager"/>
    <s v="Part-time"/>
    <n v="105017"/>
    <n v="6039"/>
    <s v="CAD"/>
    <s v="Fixed salary"/>
    <x v="9"/>
    <s v="Scotland"/>
    <s v="Edinburgh"/>
    <n v="10"/>
    <n v="10"/>
    <x v="4"/>
    <x v="1"/>
    <s v="Raj"/>
    <n v="0.73"/>
    <n v="76662.41"/>
    <s v="Normal"/>
  </r>
  <r>
    <x v="1"/>
    <x v="8"/>
    <s v="Sales Executive"/>
    <s v="On-site"/>
    <n v="84177"/>
    <n v="927"/>
    <s v="EUR"/>
    <s v="Fixed salary"/>
    <x v="8"/>
    <s v="Abu Dhabi"/>
    <s v="Abu Dhabi"/>
    <n v="0"/>
    <n v="0"/>
    <x v="0"/>
    <x v="1"/>
    <s v="David"/>
    <n v="1.1000000000000001"/>
    <n v="92594.700000000012"/>
    <s v="Normal"/>
  </r>
  <r>
    <x v="2"/>
    <x v="3"/>
    <s v="Professor"/>
    <s v="Part-time"/>
    <n v="53344"/>
    <n v="0"/>
    <s v="EUR"/>
    <s v="Contract"/>
    <x v="5"/>
    <s v="Telangana"/>
    <s v="Hyderabad"/>
    <n v="12"/>
    <n v="12"/>
    <x v="2"/>
    <x v="2"/>
    <s v="Liam"/>
    <n v="1.1000000000000001"/>
    <n v="58678.400000000001"/>
    <s v="Normal"/>
  </r>
  <r>
    <x v="3"/>
    <x v="3"/>
    <s v="Nurse"/>
    <s v="Part-time"/>
    <n v="832749"/>
    <n v="24914"/>
    <s v="INR"/>
    <s v="Contract"/>
    <x v="2"/>
    <s v="Central Region"/>
    <s v="Singapore"/>
    <n v="7"/>
    <n v="4"/>
    <x v="0"/>
    <x v="0"/>
    <s v="Debbie"/>
    <n v="1.2E-2"/>
    <n v="9992.9879999999994"/>
    <s v="Normal"/>
  </r>
  <r>
    <x v="4"/>
    <x v="4"/>
    <s v="Doctor"/>
    <s v="Intern"/>
    <n v="120070"/>
    <n v="2558"/>
    <s v="EUR"/>
    <s v="Contract"/>
    <x v="4"/>
    <s v="British Columbia"/>
    <s v="Vancouver"/>
    <n v="15"/>
    <n v="15"/>
    <x v="1"/>
    <x v="3"/>
    <s v="Jessica"/>
    <n v="1.1000000000000001"/>
    <n v="132077"/>
    <s v="Normal"/>
  </r>
  <r>
    <x v="2"/>
    <x v="9"/>
    <s v="Doctor"/>
    <s v="Contract"/>
    <n v="32079"/>
    <n v="2191"/>
    <s v="USD"/>
    <s v="Hourly"/>
    <x v="8"/>
    <s v="Dubai"/>
    <s v="Dubai"/>
    <n v="5"/>
    <n v="5"/>
    <x v="2"/>
    <x v="1"/>
    <s v="Nicholas"/>
    <n v="1"/>
    <n v="32079"/>
    <s v="Normal"/>
  </r>
  <r>
    <x v="2"/>
    <x v="5"/>
    <s v="Data Analyst"/>
    <s v="Senior"/>
    <n v="45878"/>
    <n v="484"/>
    <s v="GBP"/>
    <s v="Contract"/>
    <x v="2"/>
    <s v="Central Region"/>
    <s v="Singapore"/>
    <n v="3"/>
    <n v="1"/>
    <x v="2"/>
    <x v="1"/>
    <s v="Patrick"/>
    <n v="1.25"/>
    <n v="57347.5"/>
    <s v="Normal"/>
  </r>
  <r>
    <x v="0"/>
    <x v="3"/>
    <s v="Software Engineer"/>
    <s v="Contract"/>
    <n v="59114"/>
    <n v="4146"/>
    <s v="EUR"/>
    <s v="Unknown"/>
    <x v="4"/>
    <s v="British Columbia"/>
    <s v="Vancouver"/>
    <n v="10"/>
    <n v="9"/>
    <x v="1"/>
    <x v="3"/>
    <s v="Ronald"/>
    <n v="1.1000000000000001"/>
    <n v="65025.400000000009"/>
    <s v="Normal"/>
  </r>
  <r>
    <x v="2"/>
    <x v="0"/>
    <s v="Teacher"/>
    <s v="Remote"/>
    <n v="118334"/>
    <n v="31016"/>
    <s v="USD"/>
    <s v="Unknown"/>
    <x v="5"/>
    <s v="Maharashtra"/>
    <s v="Pune"/>
    <n v="5"/>
    <n v="3"/>
    <x v="1"/>
    <x v="3"/>
    <s v="Olivia"/>
    <n v="1"/>
    <n v="118334"/>
    <s v="Normal"/>
  </r>
  <r>
    <x v="2"/>
    <x v="6"/>
    <s v="Doctor"/>
    <s v="On-site"/>
    <n v="1437274"/>
    <n v="321317"/>
    <s v="INR"/>
    <s v="Unknown"/>
    <x v="6"/>
    <s v="New York"/>
    <s v="Buffalo"/>
    <n v="2"/>
    <n v="1"/>
    <x v="4"/>
    <x v="2"/>
    <s v="Gabriella"/>
    <n v="1.2E-2"/>
    <n v="17247.288"/>
    <s v="Normal"/>
  </r>
  <r>
    <x v="2"/>
    <x v="0"/>
    <s v="Software Engineer"/>
    <s v="On-site"/>
    <n v="571701"/>
    <n v="17428"/>
    <s v="INR"/>
    <s v="Commission-based"/>
    <x v="7"/>
    <s v="Provence-Alpes-Côte d'Azur"/>
    <s v="Nice"/>
    <n v="2"/>
    <n v="0"/>
    <x v="5"/>
    <x v="0"/>
    <s v="Belinda"/>
    <n v="1.2E-2"/>
    <n v="6860.4120000000003"/>
    <s v="Normal"/>
  </r>
  <r>
    <x v="0"/>
    <x v="8"/>
    <s v="Data Scientist"/>
    <s v="Full-time"/>
    <n v="703505"/>
    <n v="44441"/>
    <s v="INR"/>
    <s v="Hourly"/>
    <x v="0"/>
    <s v="South Holland"/>
    <s v="Rotterdam"/>
    <n v="18"/>
    <n v="17"/>
    <x v="0"/>
    <x v="2"/>
    <s v="Monica"/>
    <n v="1.2E-2"/>
    <n v="8442.06"/>
    <s v="Normal"/>
  </r>
  <r>
    <x v="2"/>
    <x v="3"/>
    <s v="Data Analyst"/>
    <s v="Full-time"/>
    <n v="103670"/>
    <n v="4734"/>
    <s v="USD"/>
    <s v="Fixed salary"/>
    <x v="3"/>
    <s v="New South Wales"/>
    <s v="Sydney"/>
    <n v="20"/>
    <n v="18"/>
    <x v="0"/>
    <x v="1"/>
    <s v="Noah"/>
    <n v="1"/>
    <n v="103670"/>
    <s v="Normal"/>
  </r>
  <r>
    <x v="2"/>
    <x v="10"/>
    <s v="Product Manager"/>
    <s v="On-site"/>
    <n v="62584"/>
    <n v="2902"/>
    <s v="EUR"/>
    <s v="Unknown"/>
    <x v="4"/>
    <s v="Ontario"/>
    <s v="Ottawa"/>
    <n v="7"/>
    <n v="5"/>
    <x v="2"/>
    <x v="3"/>
    <s v="Carla"/>
    <n v="1.1000000000000001"/>
    <n v="68842.400000000009"/>
    <s v="Normal"/>
  </r>
  <r>
    <x v="0"/>
    <x v="3"/>
    <s v="DevOps Engineer"/>
    <s v="Senior"/>
    <n v="55071"/>
    <n v="3411"/>
    <s v="CAD"/>
    <s v="Fixed salary"/>
    <x v="5"/>
    <s v="Telangana"/>
    <s v="Hyderabad"/>
    <n v="20"/>
    <n v="17"/>
    <x v="3"/>
    <x v="0"/>
    <s v="Gregory"/>
    <n v="0.73"/>
    <n v="40201.83"/>
    <s v="Normal"/>
  </r>
  <r>
    <x v="0"/>
    <x v="8"/>
    <s v="S/W Engineer"/>
    <s v="Remote"/>
    <n v="37095"/>
    <n v="0"/>
    <s v="CAD"/>
    <s v="Fixed salary"/>
    <x v="5"/>
    <s v="Tamil Nadu"/>
    <s v="Chennai"/>
    <n v="9"/>
    <n v="7"/>
    <x v="2"/>
    <x v="2"/>
    <s v="Paul"/>
    <n v="0.73"/>
    <n v="27079.35"/>
    <s v="Normal"/>
  </r>
  <r>
    <x v="3"/>
    <x v="5"/>
    <s v="Project Manager"/>
    <s v="Lead"/>
    <n v="116515"/>
    <n v="3959"/>
    <s v="EUR"/>
    <s v="Hourly"/>
    <x v="8"/>
    <s v="Dubai"/>
    <s v="Dubai"/>
    <n v="0"/>
    <n v="0"/>
    <x v="5"/>
    <x v="1"/>
    <s v="Anita"/>
    <n v="1.1000000000000001"/>
    <n v="128166.50000000001"/>
    <s v="Normal"/>
  </r>
  <r>
    <x v="3"/>
    <x v="2"/>
    <s v="Business Analyst"/>
    <s v="Intern"/>
    <n v="84019"/>
    <n v="541"/>
    <s v="AUD"/>
    <s v="Contract"/>
    <x v="2"/>
    <s v="Central Region"/>
    <s v="Singapore"/>
    <n v="6"/>
    <n v="6"/>
    <x v="2"/>
    <x v="0"/>
    <s v="Patricia"/>
    <n v="0.65"/>
    <n v="54612.35"/>
    <s v="Normal"/>
  </r>
  <r>
    <x v="0"/>
    <x v="3"/>
    <s v="System Administrator"/>
    <s v="Unknown"/>
    <n v="48510"/>
    <n v="4516"/>
    <s v="USD"/>
    <s v="Fixed salary"/>
    <x v="7"/>
    <s v="Provence-Alpes-Côte d'Azur"/>
    <s v="Nice"/>
    <n v="25"/>
    <n v="25"/>
    <x v="1"/>
    <x v="3"/>
    <s v="ijphn"/>
    <n v="1"/>
    <n v="48510"/>
    <s v="Normal"/>
  </r>
  <r>
    <x v="2"/>
    <x v="2"/>
    <s v="DevOps Engineer"/>
    <s v="Contract"/>
    <n v="92409"/>
    <n v="11768"/>
    <s v="USD"/>
    <s v="Unknown"/>
    <x v="9"/>
    <s v="Northern Ireland"/>
    <s v="Belfast"/>
    <n v="18"/>
    <n v="16"/>
    <x v="3"/>
    <x v="0"/>
    <s v="Douglas"/>
    <n v="1"/>
    <n v="92409"/>
    <s v="Normal"/>
  </r>
  <r>
    <x v="4"/>
    <x v="4"/>
    <s v="Nurse"/>
    <s v="Junior"/>
    <n v="136373"/>
    <n v="472"/>
    <s v="USD"/>
    <s v="Contract"/>
    <x v="4"/>
    <s v="Ontario"/>
    <s v="Ottawa"/>
    <n v="15"/>
    <n v="15"/>
    <x v="1"/>
    <x v="2"/>
    <s v="Joshua"/>
    <n v="1"/>
    <n v="136373"/>
    <s v="Normal"/>
  </r>
  <r>
    <x v="4"/>
    <x v="4"/>
    <s v="Accountant"/>
    <s v="Intern"/>
    <n v="66367"/>
    <n v="5276"/>
    <s v="GBP"/>
    <s v="Hourly"/>
    <x v="6"/>
    <s v="Washington"/>
    <s v="Seattle"/>
    <n v="15"/>
    <n v="15"/>
    <x v="0"/>
    <x v="0"/>
    <s v="Liam"/>
    <n v="1.25"/>
    <n v="82958.75"/>
    <s v="Normal"/>
  </r>
  <r>
    <x v="3"/>
    <x v="1"/>
    <s v="Product Manager"/>
    <s v="On-site"/>
    <n v="87517"/>
    <n v="22769"/>
    <s v="EUR"/>
    <s v="Unknown"/>
    <x v="1"/>
    <s v="Hesse"/>
    <s v="Frankfurt"/>
    <n v="4"/>
    <n v="4"/>
    <x v="2"/>
    <x v="0"/>
    <s v="Liam"/>
    <n v="1.1000000000000001"/>
    <n v="96268.700000000012"/>
    <s v="Normal"/>
  </r>
  <r>
    <x v="3"/>
    <x v="9"/>
    <s v="Product Manager"/>
    <s v="Contract"/>
    <n v="27660"/>
    <n v="2600"/>
    <s v="GBP"/>
    <s v="Hourly"/>
    <x v="4"/>
    <s v="Ontario"/>
    <s v="Toronto"/>
    <n v="3"/>
    <n v="0"/>
    <x v="5"/>
    <x v="0"/>
    <s v="Ramesh"/>
    <n v="1.25"/>
    <n v="34575"/>
    <s v="Normal"/>
  </r>
  <r>
    <x v="2"/>
    <x v="8"/>
    <s v="QA Engineer"/>
    <s v="Part-time"/>
    <n v="17798"/>
    <n v="1780"/>
    <s v="CAD"/>
    <s v="Contract"/>
    <x v="1"/>
    <s v="Berlin"/>
    <s v="Berlin"/>
    <n v="7"/>
    <n v="6"/>
    <x v="3"/>
    <x v="2"/>
    <s v="April"/>
    <n v="0.73"/>
    <n v="12992.539999999999"/>
    <s v="Normal"/>
  </r>
  <r>
    <x v="2"/>
    <x v="6"/>
    <s v="Teacher"/>
    <s v="Senior"/>
    <n v="108778"/>
    <n v="12534"/>
    <s v="CAD"/>
    <s v="Contract"/>
    <x v="6"/>
    <s v="California"/>
    <s v="Los Angeles"/>
    <n v="5"/>
    <n v="4"/>
    <x v="5"/>
    <x v="1"/>
    <s v="Todd"/>
    <n v="0.73"/>
    <n v="79407.94"/>
    <s v="Normal"/>
  </r>
  <r>
    <x v="3"/>
    <x v="7"/>
    <s v="Unknown"/>
    <s v="Senior"/>
    <n v="0"/>
    <n v="13457"/>
    <s v="AUD"/>
    <s v="Hourly"/>
    <x v="7"/>
    <s v="Île-de-France"/>
    <s v="Unknown"/>
    <n v="0"/>
    <n v="0"/>
    <x v="1"/>
    <x v="4"/>
    <s v="Christopher"/>
    <n v="0.65"/>
    <n v="0"/>
    <s v="Normal"/>
  </r>
  <r>
    <x v="2"/>
    <x v="6"/>
    <s v="Nurse"/>
    <s v="Lead"/>
    <n v="50451"/>
    <n v="621"/>
    <s v="EUR"/>
    <s v="Contract"/>
    <x v="5"/>
    <s v="Maharashtra"/>
    <s v="Pune"/>
    <n v="3"/>
    <n v="3"/>
    <x v="3"/>
    <x v="2"/>
    <s v="Emma"/>
    <n v="1.1000000000000001"/>
    <n v="55496.100000000006"/>
    <s v="Normal"/>
  </r>
  <r>
    <x v="0"/>
    <x v="3"/>
    <s v="Software Engineer"/>
    <s v="Remote"/>
    <n v="64518"/>
    <n v="308"/>
    <s v="CAD"/>
    <s v="Contract"/>
    <x v="6"/>
    <s v="Massachusetts"/>
    <s v="Boston"/>
    <n v="15"/>
    <n v="15"/>
    <x v="4"/>
    <x v="0"/>
    <s v="Amy"/>
    <n v="0.73"/>
    <n v="47098.14"/>
    <s v="Normal"/>
  </r>
  <r>
    <x v="1"/>
    <x v="6"/>
    <s v="Software Engineer"/>
    <s v="Contract"/>
    <n v="45576"/>
    <n v="136"/>
    <s v="USD"/>
    <s v="Hourly"/>
    <x v="0"/>
    <s v="South Holland"/>
    <s v="Rotterdam"/>
    <n v="1"/>
    <n v="0"/>
    <x v="3"/>
    <x v="1"/>
    <s v="ijphn"/>
    <n v="1"/>
    <n v="45576"/>
    <s v="Normal"/>
  </r>
  <r>
    <x v="2"/>
    <x v="9"/>
    <s v="DevOps Engineer"/>
    <s v="Contract"/>
    <n v="55691"/>
    <n v="2088"/>
    <s v="GBP"/>
    <s v="Fixed salary"/>
    <x v="3"/>
    <s v="Victoria"/>
    <s v="Melbourne"/>
    <n v="4"/>
    <n v="4"/>
    <x v="0"/>
    <x v="3"/>
    <s v="Erica"/>
    <n v="1.25"/>
    <n v="69613.75"/>
    <s v="Normal"/>
  </r>
  <r>
    <x v="2"/>
    <x v="11"/>
    <s v="DevOps Engineer"/>
    <s v="Junior"/>
    <n v="707626"/>
    <n v="54255"/>
    <s v="INR"/>
    <s v="Hourly"/>
    <x v="7"/>
    <s v="Île-de-France"/>
    <s v="Paris"/>
    <n v="8"/>
    <n v="5"/>
    <x v="1"/>
    <x v="2"/>
    <s v="Noah"/>
    <n v="1.2E-2"/>
    <n v="8491.5120000000006"/>
    <s v="Normal"/>
  </r>
  <r>
    <x v="0"/>
    <x v="6"/>
    <s v="S/W Engineer"/>
    <s v="Senior"/>
    <n v="101348"/>
    <n v="10757"/>
    <s v="CAD"/>
    <s v="Fixed salary"/>
    <x v="0"/>
    <s v="South Holland"/>
    <s v="Rotterdam"/>
    <n v="18"/>
    <n v="16"/>
    <x v="4"/>
    <x v="0"/>
    <s v="Hector"/>
    <n v="0.73"/>
    <n v="73984.039999999994"/>
    <s v="Normal"/>
  </r>
  <r>
    <x v="4"/>
    <x v="0"/>
    <s v="System Administrator"/>
    <s v="Remote"/>
    <n v="93370"/>
    <n v="6915"/>
    <s v="AUD"/>
    <s v="Contract"/>
    <x v="0"/>
    <s v="South Holland"/>
    <s v="Rotterdam"/>
    <n v="12"/>
    <n v="12"/>
    <x v="5"/>
    <x v="0"/>
    <s v="Jenna"/>
    <n v="0.65"/>
    <n v="60690.5"/>
    <s v="Normal"/>
  </r>
  <r>
    <x v="2"/>
    <x v="11"/>
    <s v="QA Engineer"/>
    <s v="Part-time"/>
    <n v="130893"/>
    <n v="18109"/>
    <s v="CAD"/>
    <s v="Unknown"/>
    <x v="2"/>
    <s v="Central Region"/>
    <s v="Singapore"/>
    <n v="8"/>
    <n v="8"/>
    <x v="1"/>
    <x v="0"/>
    <s v="Christopher"/>
    <n v="0.73"/>
    <n v="95551.89"/>
    <s v="Normal"/>
  </r>
  <r>
    <x v="1"/>
    <x v="1"/>
    <s v="Teacher"/>
    <s v="Junior"/>
    <n v="94681"/>
    <n v="0"/>
    <s v="AUD"/>
    <s v="Unknown"/>
    <x v="5"/>
    <s v="Karnataka"/>
    <s v="Bengaluru"/>
    <n v="1"/>
    <n v="1"/>
    <x v="4"/>
    <x v="3"/>
    <s v="Scott"/>
    <n v="0.65"/>
    <n v="61542.65"/>
    <s v="Normal"/>
  </r>
  <r>
    <x v="2"/>
    <x v="5"/>
    <s v="Product Manager"/>
    <s v="Contract"/>
    <n v="93314"/>
    <n v="1669"/>
    <s v="CAD"/>
    <s v="Hourly"/>
    <x v="6"/>
    <s v="Washington"/>
    <s v="Seattle"/>
    <n v="18"/>
    <n v="18"/>
    <x v="5"/>
    <x v="2"/>
    <s v="Olivia"/>
    <n v="0.73"/>
    <n v="68119.22"/>
    <s v="Normal"/>
  </r>
  <r>
    <x v="3"/>
    <x v="3"/>
    <s v="Developer"/>
    <s v="Unknown"/>
    <n v="1007063"/>
    <n v="177222"/>
    <s v="INR"/>
    <s v="Contract"/>
    <x v="5"/>
    <s v="Delhi"/>
    <s v="New Delhi"/>
    <n v="3"/>
    <n v="3"/>
    <x v="5"/>
    <x v="2"/>
    <s v="Priya"/>
    <n v="1.2E-2"/>
    <n v="12084.755999999999"/>
    <s v="Normal"/>
  </r>
  <r>
    <x v="2"/>
    <x v="1"/>
    <s v="Data Analyst"/>
    <s v="Junior"/>
    <n v="76226"/>
    <n v="4114"/>
    <s v="CAD"/>
    <s v="Commission-based"/>
    <x v="8"/>
    <s v="Dubai"/>
    <s v="Dubai"/>
    <n v="20"/>
    <n v="20"/>
    <x v="5"/>
    <x v="1"/>
    <s v="Olivia"/>
    <n v="0.73"/>
    <n v="55644.979999999996"/>
    <s v="Normal"/>
  </r>
  <r>
    <x v="4"/>
    <x v="5"/>
    <s v="DevOps Engineer"/>
    <s v="On-site"/>
    <n v="736796"/>
    <n v="90799"/>
    <s v="INR"/>
    <s v="Fixed salary"/>
    <x v="4"/>
    <s v="British Columbia"/>
    <s v="Vancouver"/>
    <n v="10"/>
    <n v="9"/>
    <x v="5"/>
    <x v="1"/>
    <s v="Sneha"/>
    <n v="1.2E-2"/>
    <n v="8841.5519999999997"/>
    <s v="Normal"/>
  </r>
  <r>
    <x v="3"/>
    <x v="3"/>
    <s v="Project Manager"/>
    <s v="Remote"/>
    <n v="127580"/>
    <n v="0"/>
    <s v="CAD"/>
    <s v="Commission-based"/>
    <x v="4"/>
    <s v="Quebec"/>
    <s v="Montreal"/>
    <n v="6"/>
    <n v="3"/>
    <x v="1"/>
    <x v="2"/>
    <s v="Kavya"/>
    <n v="0.73"/>
    <n v="93133.4"/>
    <s v="Normal"/>
  </r>
  <r>
    <x v="3"/>
    <x v="0"/>
    <s v="System Administrator"/>
    <s v="Contract"/>
    <n v="106169"/>
    <n v="17758"/>
    <s v="CAD"/>
    <s v="Unknown"/>
    <x v="0"/>
    <s v="North Holland"/>
    <s v="Amsterdam"/>
    <n v="6"/>
    <n v="6"/>
    <x v="2"/>
    <x v="3"/>
    <s v="Julia"/>
    <n v="0.73"/>
    <n v="77503.37"/>
    <s v="Normal"/>
  </r>
  <r>
    <x v="2"/>
    <x v="5"/>
    <s v="Professor"/>
    <s v="Remote"/>
    <n v="57226"/>
    <n v="0"/>
    <s v="CAD"/>
    <s v="Fixed salary"/>
    <x v="5"/>
    <s v="Telangana"/>
    <s v="Hyderabad"/>
    <n v="10"/>
    <n v="10"/>
    <x v="2"/>
    <x v="0"/>
    <s v="Priya"/>
    <n v="0.73"/>
    <n v="41774.979999999996"/>
    <s v="Normal"/>
  </r>
  <r>
    <x v="2"/>
    <x v="2"/>
    <s v="Accountant"/>
    <s v="On-site"/>
    <n v="71122"/>
    <n v="2146"/>
    <s v="USD"/>
    <s v="Commission-based"/>
    <x v="2"/>
    <s v="Central Region"/>
    <s v="Singapore"/>
    <n v="4"/>
    <n v="4"/>
    <x v="1"/>
    <x v="2"/>
    <s v="Ronald"/>
    <n v="1"/>
    <n v="71122"/>
    <s v="Normal"/>
  </r>
  <r>
    <x v="2"/>
    <x v="7"/>
    <s v="Unknown"/>
    <s v="Unknown"/>
    <n v="0"/>
    <n v="1021"/>
    <s v="GBP"/>
    <s v="Fixed salary"/>
    <x v="9"/>
    <s v="Scotland"/>
    <s v="Unknown"/>
    <n v="0"/>
    <n v="10"/>
    <x v="0"/>
    <x v="4"/>
    <s v="Sara"/>
    <n v="1.25"/>
    <n v="0"/>
    <s v="Normal"/>
  </r>
  <r>
    <x v="3"/>
    <x v="1"/>
    <s v="Professor"/>
    <s v="Senior"/>
    <n v="123203"/>
    <n v="0"/>
    <s v="CAD"/>
    <s v="Unknown"/>
    <x v="6"/>
    <s v="New York"/>
    <s v="Buffalo"/>
    <n v="4"/>
    <n v="4"/>
    <x v="2"/>
    <x v="3"/>
    <s v="Ramesh"/>
    <n v="0.73"/>
    <n v="89938.19"/>
    <s v="Normal"/>
  </r>
  <r>
    <x v="0"/>
    <x v="6"/>
    <s v="S/W Engineer"/>
    <s v="Part-time"/>
    <n v="24544"/>
    <n v="2175"/>
    <s v="EUR"/>
    <s v="Unknown"/>
    <x v="0"/>
    <s v="South Holland"/>
    <s v="Rotterdam"/>
    <n v="15"/>
    <n v="13"/>
    <x v="4"/>
    <x v="0"/>
    <s v="Scott"/>
    <n v="1.1000000000000001"/>
    <n v="26998.400000000001"/>
    <s v="Normal"/>
  </r>
  <r>
    <x v="2"/>
    <x v="0"/>
    <s v="DevOps Engineer"/>
    <s v="Lead"/>
    <n v="37776"/>
    <n v="10737"/>
    <s v="CAD"/>
    <s v="Hourly"/>
    <x v="2"/>
    <s v="Central Region"/>
    <s v="Singapore"/>
    <n v="18"/>
    <n v="15"/>
    <x v="1"/>
    <x v="0"/>
    <s v="Brenda"/>
    <n v="0.73"/>
    <n v="27576.48"/>
    <s v="Normal"/>
  </r>
  <r>
    <x v="2"/>
    <x v="3"/>
    <s v="Accountant"/>
    <s v="Part-time"/>
    <n v="55386"/>
    <n v="12504"/>
    <s v="EUR"/>
    <s v="Contract"/>
    <x v="6"/>
    <s v="California"/>
    <s v="San Francisco"/>
    <n v="4"/>
    <n v="4"/>
    <x v="0"/>
    <x v="2"/>
    <s v="Robert"/>
    <n v="1.1000000000000001"/>
    <n v="60924.600000000006"/>
    <s v="Normal"/>
  </r>
  <r>
    <x v="0"/>
    <x v="3"/>
    <s v="Product Manager"/>
    <s v="Unknown"/>
    <n v="46147"/>
    <n v="4863"/>
    <s v="AUD"/>
    <s v="Commission-based"/>
    <x v="2"/>
    <s v="Central Region"/>
    <s v="Singapore"/>
    <n v="12"/>
    <n v="12"/>
    <x v="1"/>
    <x v="3"/>
    <s v="Benjamin"/>
    <n v="0.65"/>
    <n v="29995.55"/>
    <s v="Normal"/>
  </r>
  <r>
    <x v="4"/>
    <x v="3"/>
    <s v="Data Analyst"/>
    <s v="Full-time"/>
    <n v="507853"/>
    <n v="10392"/>
    <s v="INR"/>
    <s v="Unknown"/>
    <x v="8"/>
    <s v="Abu Dhabi"/>
    <s v="Abu Dhabi"/>
    <n v="8"/>
    <n v="5"/>
    <x v="4"/>
    <x v="1"/>
    <s v="Kavya"/>
    <n v="1.2E-2"/>
    <n v="6094.2359999999999"/>
    <s v="Normal"/>
  </r>
  <r>
    <x v="0"/>
    <x v="0"/>
    <s v="Project Manager"/>
    <s v="Remote"/>
    <n v="1072600"/>
    <n v="35497"/>
    <s v="INR"/>
    <s v="Hourly"/>
    <x v="3"/>
    <s v="Victoria"/>
    <s v="Melbourne"/>
    <n v="10"/>
    <n v="10"/>
    <x v="3"/>
    <x v="3"/>
    <s v="Priya"/>
    <n v="1.2E-2"/>
    <n v="12871.2"/>
    <s v="Normal"/>
  </r>
  <r>
    <x v="0"/>
    <x v="3"/>
    <s v="System Administrator"/>
    <s v="Full-time"/>
    <n v="28978"/>
    <n v="0"/>
    <s v="USD"/>
    <s v="Fixed salary"/>
    <x v="8"/>
    <s v="Abu Dhabi"/>
    <s v="Abu Dhabi"/>
    <n v="18"/>
    <n v="16"/>
    <x v="5"/>
    <x v="1"/>
    <s v="Matthew"/>
    <n v="1"/>
    <n v="28978"/>
    <s v="Normal"/>
  </r>
  <r>
    <x v="3"/>
    <x v="2"/>
    <s v="System Administrator"/>
    <s v="Full-time"/>
    <n v="95318"/>
    <n v="3845"/>
    <s v="USD"/>
    <s v="Fixed salary"/>
    <x v="1"/>
    <s v="Berlin"/>
    <s v="Berlin"/>
    <n v="7"/>
    <n v="5"/>
    <x v="5"/>
    <x v="2"/>
    <s v="Robert"/>
    <n v="1"/>
    <n v="95318"/>
    <s v="Normal"/>
  </r>
  <r>
    <x v="4"/>
    <x v="10"/>
    <s v="QA Engineer"/>
    <s v="Lead"/>
    <n v="71716"/>
    <n v="5049"/>
    <s v="GBP"/>
    <s v="Unknown"/>
    <x v="2"/>
    <s v="Central Region"/>
    <s v="Singapore"/>
    <n v="15"/>
    <n v="15"/>
    <x v="2"/>
    <x v="1"/>
    <s v="Emma"/>
    <n v="1.25"/>
    <n v="89645"/>
    <s v="Normal"/>
  </r>
  <r>
    <x v="3"/>
    <x v="4"/>
    <s v="System Administrator"/>
    <s v="Remote"/>
    <n v="28620"/>
    <n v="3778"/>
    <s v="EUR"/>
    <s v="Commission-based"/>
    <x v="2"/>
    <s v="Central Region"/>
    <s v="Singapore"/>
    <n v="5"/>
    <n v="4"/>
    <x v="4"/>
    <x v="2"/>
    <s v="Anthony"/>
    <n v="1.1000000000000001"/>
    <n v="31482.000000000004"/>
    <s v="Normal"/>
  </r>
  <r>
    <x v="3"/>
    <x v="2"/>
    <s v="Software Engineer"/>
    <s v="On-site"/>
    <n v="69481"/>
    <n v="2451"/>
    <s v="AUD"/>
    <s v="Hourly"/>
    <x v="0"/>
    <s v="North Holland"/>
    <s v="Amsterdam"/>
    <n v="5"/>
    <n v="5"/>
    <x v="0"/>
    <x v="3"/>
    <s v="Arjun"/>
    <n v="0.65"/>
    <n v="45162.65"/>
    <s v="Normal"/>
  </r>
  <r>
    <x v="2"/>
    <x v="3"/>
    <s v="Product Manager"/>
    <s v="Contract"/>
    <n v="79091"/>
    <n v="1560"/>
    <s v="USD"/>
    <s v="Fixed salary"/>
    <x v="5"/>
    <s v="Maharashtra"/>
    <s v="Mumbai"/>
    <n v="10"/>
    <n v="10"/>
    <x v="1"/>
    <x v="1"/>
    <s v="Suzanne"/>
    <n v="1"/>
    <n v="79091"/>
    <s v="Normal"/>
  </r>
  <r>
    <x v="4"/>
    <x v="4"/>
    <s v="Project Manager"/>
    <s v="On-site"/>
    <n v="138876"/>
    <n v="6600"/>
    <s v="AUD"/>
    <s v="Contract"/>
    <x v="1"/>
    <s v="Hesse"/>
    <s v="Frankfurt"/>
    <n v="20"/>
    <n v="17"/>
    <x v="2"/>
    <x v="1"/>
    <s v="Michael"/>
    <n v="0.65"/>
    <n v="90269.400000000009"/>
    <s v="Normal"/>
  </r>
  <r>
    <x v="2"/>
    <x v="10"/>
    <s v="Developer"/>
    <s v="Junior"/>
    <n v="70495"/>
    <n v="579"/>
    <s v="USD"/>
    <s v="Fixed salary"/>
    <x v="5"/>
    <s v="Delhi"/>
    <s v="New Delhi"/>
    <n v="18"/>
    <n v="18"/>
    <x v="1"/>
    <x v="3"/>
    <s v="Arjun"/>
    <n v="1"/>
    <n v="70495"/>
    <s v="Normal"/>
  </r>
  <r>
    <x v="4"/>
    <x v="2"/>
    <s v="HR Manager"/>
    <s v="Full-time"/>
    <n v="12283"/>
    <n v="1449"/>
    <s v="AUD"/>
    <s v="Fixed salary"/>
    <x v="7"/>
    <s v="Île-de-France"/>
    <s v="Paris"/>
    <n v="10"/>
    <n v="8"/>
    <x v="1"/>
    <x v="1"/>
    <s v="Anita"/>
    <n v="0.65"/>
    <n v="7983.95"/>
    <s v="Normal"/>
  </r>
  <r>
    <x v="2"/>
    <x v="2"/>
    <s v="Sales Executive"/>
    <s v="Contract"/>
    <n v="120834"/>
    <n v="630"/>
    <s v="USD"/>
    <s v="Unknown"/>
    <x v="4"/>
    <s v="Quebec"/>
    <s v="Montreal"/>
    <n v="5"/>
    <n v="5"/>
    <x v="5"/>
    <x v="1"/>
    <s v="Noah"/>
    <n v="1"/>
    <n v="120834"/>
    <s v="Normal"/>
  </r>
  <r>
    <x v="0"/>
    <x v="10"/>
    <s v="QA Engineer"/>
    <s v="On-site"/>
    <n v="96594"/>
    <n v="6805"/>
    <s v="GBP"/>
    <s v="Contract"/>
    <x v="7"/>
    <s v="Île-de-France"/>
    <s v="Paris"/>
    <n v="9"/>
    <n v="9"/>
    <x v="2"/>
    <x v="2"/>
    <s v="Arjun"/>
    <n v="1.25"/>
    <n v="120742.5"/>
    <s v="Normal"/>
  </r>
  <r>
    <x v="3"/>
    <x v="10"/>
    <s v="System Administrator"/>
    <s v="On-site"/>
    <n v="64947"/>
    <n v="12522"/>
    <s v="CAD"/>
    <s v="Fixed salary"/>
    <x v="8"/>
    <s v="Dubai"/>
    <s v="Dubai"/>
    <n v="0"/>
    <n v="0"/>
    <x v="5"/>
    <x v="1"/>
    <s v="Phillip"/>
    <n v="0.73"/>
    <n v="47411.31"/>
    <s v="Normal"/>
  </r>
  <r>
    <x v="0"/>
    <x v="0"/>
    <s v="Teacher"/>
    <s v="Intern"/>
    <n v="95149"/>
    <n v="2534"/>
    <s v="CAD"/>
    <s v="Fixed salary"/>
    <x v="7"/>
    <s v="Île-de-France"/>
    <s v="Paris"/>
    <n v="25"/>
    <n v="23"/>
    <x v="4"/>
    <x v="0"/>
    <s v="Sara"/>
    <n v="0.73"/>
    <n v="69458.77"/>
    <s v="Normal"/>
  </r>
  <r>
    <x v="4"/>
    <x v="6"/>
    <s v="S/W Engineer"/>
    <s v="Contract"/>
    <n v="92720"/>
    <n v="1033"/>
    <s v="GBP"/>
    <s v="Unknown"/>
    <x v="0"/>
    <s v="North Holland"/>
    <s v="Amsterdam"/>
    <n v="20"/>
    <n v="18"/>
    <x v="5"/>
    <x v="1"/>
    <s v="Steven"/>
    <n v="1.25"/>
    <n v="115900"/>
    <s v="Normal"/>
  </r>
  <r>
    <x v="2"/>
    <x v="3"/>
    <s v="Nurse"/>
    <s v="Remote"/>
    <n v="99696"/>
    <n v="14356"/>
    <s v="CAD"/>
    <s v="Contract"/>
    <x v="8"/>
    <s v="Dubai"/>
    <s v="Dubai"/>
    <n v="9"/>
    <n v="9"/>
    <x v="4"/>
    <x v="1"/>
    <s v="Kimberly"/>
    <n v="0.73"/>
    <n v="72778.080000000002"/>
    <s v="Normal"/>
  </r>
  <r>
    <x v="4"/>
    <x v="3"/>
    <s v="Business Analyst"/>
    <s v="Part-time"/>
    <n v="42102"/>
    <n v="6011"/>
    <s v="GBP"/>
    <s v="Unknown"/>
    <x v="2"/>
    <s v="Central Region"/>
    <s v="Singapore"/>
    <n v="12"/>
    <n v="12"/>
    <x v="2"/>
    <x v="3"/>
    <s v="Kayla"/>
    <n v="1.25"/>
    <n v="52627.5"/>
    <s v="Normal"/>
  </r>
  <r>
    <x v="0"/>
    <x v="2"/>
    <s v="System Administrator"/>
    <s v="Intern"/>
    <n v="28374"/>
    <n v="0"/>
    <s v="GBP"/>
    <s v="Hourly"/>
    <x v="6"/>
    <s v="Washington"/>
    <s v="Seattle"/>
    <n v="18"/>
    <n v="17"/>
    <x v="1"/>
    <x v="3"/>
    <s v="Louis"/>
    <n v="1.25"/>
    <n v="35467.5"/>
    <s v="Normal"/>
  </r>
  <r>
    <x v="2"/>
    <x v="3"/>
    <s v="Nurse"/>
    <s v="Senior"/>
    <n v="1134276"/>
    <n v="108001"/>
    <s v="INR"/>
    <s v="Fixed salary"/>
    <x v="9"/>
    <s v="Wales"/>
    <s v="Cardiff"/>
    <n v="5"/>
    <n v="5"/>
    <x v="2"/>
    <x v="3"/>
    <s v="Arjun"/>
    <n v="1.2E-2"/>
    <n v="13611.312"/>
    <s v="Normal"/>
  </r>
  <r>
    <x v="3"/>
    <x v="6"/>
    <s v="System Administrator"/>
    <s v="Remote"/>
    <n v="53314"/>
    <n v="826"/>
    <s v="CAD"/>
    <s v="Unknown"/>
    <x v="6"/>
    <s v="New York"/>
    <s v="Buffalo"/>
    <n v="2"/>
    <n v="2"/>
    <x v="3"/>
    <x v="0"/>
    <s v="Shawn"/>
    <n v="0.73"/>
    <n v="38919.22"/>
    <s v="Normal"/>
  </r>
  <r>
    <x v="3"/>
    <x v="5"/>
    <s v="Professor"/>
    <s v="Contract"/>
    <n v="162200"/>
    <n v="24078"/>
    <s v="AUD"/>
    <s v="Hourly"/>
    <x v="6"/>
    <s v="California"/>
    <s v="Los Angeles"/>
    <n v="6"/>
    <n v="4"/>
    <x v="5"/>
    <x v="1"/>
    <s v="Noah"/>
    <n v="0.65"/>
    <n v="105430"/>
    <s v="Normal"/>
  </r>
  <r>
    <x v="2"/>
    <x v="3"/>
    <s v="HR Manager"/>
    <s v="Contract"/>
    <n v="1098501"/>
    <n v="20345"/>
    <s v="INR"/>
    <s v="Unknown"/>
    <x v="4"/>
    <s v="Ontario"/>
    <s v="Ottawa"/>
    <n v="4"/>
    <n v="4"/>
    <x v="2"/>
    <x v="0"/>
    <s v="Colleen"/>
    <n v="1.2E-2"/>
    <n v="13182.012000000001"/>
    <s v="Normal"/>
  </r>
  <r>
    <x v="2"/>
    <x v="3"/>
    <s v="Doctor"/>
    <s v="On-site"/>
    <n v="786749"/>
    <n v="105721"/>
    <s v="INR"/>
    <s v="Contract"/>
    <x v="3"/>
    <s v="Victoria"/>
    <s v="Melbourne"/>
    <n v="10"/>
    <n v="10"/>
    <x v="0"/>
    <x v="1"/>
    <s v="Sara"/>
    <n v="1.2E-2"/>
    <n v="9440.9879999999994"/>
    <s v="Normal"/>
  </r>
  <r>
    <x v="3"/>
    <x v="1"/>
    <s v="HR Manager"/>
    <s v="Unknown"/>
    <n v="554884"/>
    <n v="33621"/>
    <s v="INR"/>
    <s v="Contract"/>
    <x v="3"/>
    <s v="Victoria"/>
    <s v="Melbourne"/>
    <n v="0"/>
    <n v="0"/>
    <x v="1"/>
    <x v="2"/>
    <s v="Kimberly"/>
    <n v="1.2E-2"/>
    <n v="6658.6080000000002"/>
    <s v="Normal"/>
  </r>
  <r>
    <x v="4"/>
    <x v="4"/>
    <s v="Accountant"/>
    <s v="Lead"/>
    <n v="70895"/>
    <n v="4130"/>
    <s v="GBP"/>
    <s v="Hourly"/>
    <x v="5"/>
    <s v="Telangana"/>
    <s v="Hyderabad"/>
    <n v="8"/>
    <n v="5"/>
    <x v="4"/>
    <x v="0"/>
    <s v="Jeffery"/>
    <n v="1.25"/>
    <n v="88618.75"/>
    <s v="Normal"/>
  </r>
  <r>
    <x v="2"/>
    <x v="2"/>
    <s v="QA Engineer"/>
    <s v="Unknown"/>
    <n v="118966"/>
    <n v="17631"/>
    <s v="INR"/>
    <s v="Hourly"/>
    <x v="4"/>
    <s v="British Columbia"/>
    <s v="Vancouver"/>
    <n v="18"/>
    <n v="18"/>
    <x v="1"/>
    <x v="3"/>
    <s v="Noah"/>
    <n v="1.2E-2"/>
    <n v="1427.5920000000001"/>
    <s v="Normal"/>
  </r>
  <r>
    <x v="1"/>
    <x v="5"/>
    <s v="DevOps Engineer"/>
    <s v="Part-time"/>
    <n v="21094"/>
    <n v="2338"/>
    <s v="GBP"/>
    <s v="Commission-based"/>
    <x v="3"/>
    <s v="New South Wales"/>
    <s v="Sydney"/>
    <n v="1"/>
    <n v="0"/>
    <x v="4"/>
    <x v="2"/>
    <s v="Angela"/>
    <n v="1.25"/>
    <n v="26367.5"/>
    <s v="Normal"/>
  </r>
  <r>
    <x v="2"/>
    <x v="10"/>
    <s v="Software Engineer"/>
    <s v="Full-time"/>
    <n v="76959"/>
    <n v="0"/>
    <s v="USD"/>
    <s v="Unknown"/>
    <x v="4"/>
    <s v="Quebec"/>
    <s v="Montreal"/>
    <n v="3"/>
    <n v="3"/>
    <x v="0"/>
    <x v="1"/>
    <s v="Melissa"/>
    <n v="1"/>
    <n v="76959"/>
    <s v="Normal"/>
  </r>
  <r>
    <x v="2"/>
    <x v="11"/>
    <s v="QA Engineer"/>
    <s v="Remote"/>
    <n v="46224"/>
    <n v="0"/>
    <s v="EUR"/>
    <s v="Contract"/>
    <x v="0"/>
    <s v="North Holland"/>
    <s v="Amsterdam"/>
    <n v="5"/>
    <n v="5"/>
    <x v="1"/>
    <x v="2"/>
    <s v="Anita"/>
    <n v="1.1000000000000001"/>
    <n v="50846.400000000001"/>
    <s v="Normal"/>
  </r>
  <r>
    <x v="3"/>
    <x v="6"/>
    <s v="DevOps Engineer"/>
    <s v="Intern"/>
    <n v="65007"/>
    <n v="0"/>
    <s v="USD"/>
    <s v="Unknown"/>
    <x v="9"/>
    <s v="Northern Ireland"/>
    <s v="Belfast"/>
    <n v="3"/>
    <n v="3"/>
    <x v="4"/>
    <x v="2"/>
    <s v="Toni"/>
    <n v="1"/>
    <n v="65007"/>
    <s v="Normal"/>
  </r>
  <r>
    <x v="4"/>
    <x v="11"/>
    <s v="Sales Executive"/>
    <s v="Full-time"/>
    <n v="123176"/>
    <n v="10418"/>
    <s v="USD"/>
    <s v="Contract"/>
    <x v="0"/>
    <s v="North Holland"/>
    <s v="Amsterdam"/>
    <n v="18"/>
    <n v="15"/>
    <x v="2"/>
    <x v="2"/>
    <s v="Samantha"/>
    <n v="1"/>
    <n v="123176"/>
    <s v="Normal"/>
  </r>
  <r>
    <x v="4"/>
    <x v="6"/>
    <s v="Data Scientist"/>
    <s v="Lead"/>
    <n v="59171"/>
    <n v="370"/>
    <s v="EUR"/>
    <s v="Unknown"/>
    <x v="0"/>
    <s v="North Holland"/>
    <s v="Amsterdam"/>
    <n v="15"/>
    <n v="15"/>
    <x v="0"/>
    <x v="2"/>
    <s v="Olivia"/>
    <n v="1.1000000000000001"/>
    <n v="65088.100000000006"/>
    <s v="Normal"/>
  </r>
  <r>
    <x v="2"/>
    <x v="6"/>
    <s v="S/W Engineer"/>
    <s v="Intern"/>
    <n v="168589"/>
    <n v="729"/>
    <s v="USD"/>
    <s v="Contract"/>
    <x v="6"/>
    <s v="California"/>
    <s v="Los Angeles"/>
    <n v="9"/>
    <n v="6"/>
    <x v="5"/>
    <x v="3"/>
    <s v="Olivia"/>
    <n v="1"/>
    <n v="168589"/>
    <s v="Normal"/>
  </r>
  <r>
    <x v="4"/>
    <x v="3"/>
    <s v="Nurse"/>
    <s v="Part-time"/>
    <n v="87632"/>
    <n v="4156"/>
    <s v="CAD"/>
    <s v="Hourly"/>
    <x v="2"/>
    <s v="Central Region"/>
    <s v="Singapore"/>
    <n v="15"/>
    <n v="15"/>
    <x v="5"/>
    <x v="3"/>
    <s v="Emma"/>
    <n v="0.73"/>
    <n v="63971.360000000001"/>
    <s v="Normal"/>
  </r>
  <r>
    <x v="2"/>
    <x v="9"/>
    <s v="DevOps Engineer"/>
    <s v="Junior"/>
    <n v="1059483"/>
    <n v="0"/>
    <s v="INR"/>
    <s v="Hourly"/>
    <x v="5"/>
    <s v="Telangana"/>
    <s v="Hyderabad"/>
    <n v="7"/>
    <n v="7"/>
    <x v="5"/>
    <x v="3"/>
    <s v="Bonnie"/>
    <n v="1.2E-2"/>
    <n v="12713.796"/>
    <s v="Normal"/>
  </r>
  <r>
    <x v="3"/>
    <x v="6"/>
    <s v="Project Manager"/>
    <s v="Full-time"/>
    <n v="1006014"/>
    <n v="77797"/>
    <s v="INR"/>
    <s v="Unknown"/>
    <x v="2"/>
    <s v="Central Region"/>
    <s v="Singapore"/>
    <n v="3"/>
    <n v="3"/>
    <x v="5"/>
    <x v="3"/>
    <s v="Joseph"/>
    <n v="1.2E-2"/>
    <n v="12072.168"/>
    <s v="Normal"/>
  </r>
  <r>
    <x v="2"/>
    <x v="3"/>
    <s v="Doctor"/>
    <s v="Part-time"/>
    <n v="32568"/>
    <n v="805"/>
    <s v="GBP"/>
    <s v="Fixed salary"/>
    <x v="3"/>
    <s v="New South Wales"/>
    <s v="Sydney"/>
    <n v="18"/>
    <n v="18"/>
    <x v="0"/>
    <x v="0"/>
    <s v="Raj"/>
    <n v="1.25"/>
    <n v="40710"/>
    <s v="Normal"/>
  </r>
  <r>
    <x v="2"/>
    <x v="0"/>
    <s v="Data Scientist"/>
    <s v="On-site"/>
    <n v="125616"/>
    <n v="0"/>
    <s v="AUD"/>
    <s v="Commission-based"/>
    <x v="0"/>
    <s v="North Holland"/>
    <s v="Amsterdam"/>
    <n v="4"/>
    <n v="3"/>
    <x v="0"/>
    <x v="2"/>
    <s v="Noah"/>
    <n v="0.65"/>
    <n v="81650.400000000009"/>
    <s v="Normal"/>
  </r>
  <r>
    <x v="2"/>
    <x v="11"/>
    <s v="Data Scientist"/>
    <s v="Unknown"/>
    <n v="786004"/>
    <n v="103817"/>
    <s v="INR"/>
    <s v="Fixed salary"/>
    <x v="4"/>
    <s v="Ontario"/>
    <s v="Ottawa"/>
    <n v="20"/>
    <n v="20"/>
    <x v="0"/>
    <x v="3"/>
    <s v="Christopher"/>
    <n v="1.2E-2"/>
    <n v="9432.0480000000007"/>
    <s v="Normal"/>
  </r>
  <r>
    <x v="2"/>
    <x v="5"/>
    <s v="DevOps Engineer"/>
    <s v="Full-time"/>
    <n v="68368"/>
    <n v="2584"/>
    <s v="CAD"/>
    <s v="Hourly"/>
    <x v="9"/>
    <s v="Wales"/>
    <s v="Cardiff"/>
    <n v="25"/>
    <n v="22"/>
    <x v="3"/>
    <x v="2"/>
    <s v="Liam"/>
    <n v="0.73"/>
    <n v="49908.639999999999"/>
    <s v="Normal"/>
  </r>
  <r>
    <x v="2"/>
    <x v="1"/>
    <s v="Sales Executive"/>
    <s v="Junior"/>
    <n v="80527"/>
    <n v="986"/>
    <s v="USD"/>
    <s v="Hourly"/>
    <x v="5"/>
    <s v="Tamil Nadu"/>
    <s v="Coimbatore"/>
    <n v="20"/>
    <n v="20"/>
    <x v="3"/>
    <x v="2"/>
    <s v="Cristina"/>
    <n v="1"/>
    <n v="80527"/>
    <s v="Normal"/>
  </r>
  <r>
    <x v="3"/>
    <x v="2"/>
    <s v="Product Manager"/>
    <s v="Contract"/>
    <n v="77975"/>
    <n v="15159"/>
    <s v="AUD"/>
    <s v="Fixed salary"/>
    <x v="1"/>
    <s v="Bavaria"/>
    <s v="Munich"/>
    <n v="5"/>
    <n v="3"/>
    <x v="2"/>
    <x v="2"/>
    <s v="Nicole"/>
    <n v="0.65"/>
    <n v="50683.75"/>
    <s v="Normal"/>
  </r>
  <r>
    <x v="3"/>
    <x v="6"/>
    <s v="S/W Engineer"/>
    <s v="Contract"/>
    <n v="64921"/>
    <n v="9906"/>
    <s v="USD"/>
    <s v="Fixed salary"/>
    <x v="7"/>
    <s v="Île-de-France"/>
    <s v="Paris"/>
    <n v="0"/>
    <n v="0"/>
    <x v="4"/>
    <x v="1"/>
    <s v="Priya"/>
    <n v="1"/>
    <n v="64921"/>
    <s v="Normal"/>
  </r>
  <r>
    <x v="2"/>
    <x v="3"/>
    <s v="Sales Executive"/>
    <s v="Full-time"/>
    <n v="62212"/>
    <n v="666"/>
    <s v="EUR"/>
    <s v="Unknown"/>
    <x v="0"/>
    <s v="North Holland"/>
    <s v="Amsterdam"/>
    <n v="12"/>
    <n v="9"/>
    <x v="0"/>
    <x v="0"/>
    <s v="ijphn"/>
    <n v="1.1000000000000001"/>
    <n v="68433.200000000012"/>
    <s v="Normal"/>
  </r>
  <r>
    <x v="2"/>
    <x v="9"/>
    <s v="Software Engineer"/>
    <s v="Intern"/>
    <n v="67141"/>
    <n v="5494"/>
    <s v="EUR"/>
    <s v="Fixed salary"/>
    <x v="6"/>
    <s v="Texas"/>
    <s v="Dallas"/>
    <n v="12"/>
    <n v="12"/>
    <x v="4"/>
    <x v="2"/>
    <s v="Arjun"/>
    <n v="1.1000000000000001"/>
    <n v="73855.100000000006"/>
    <s v="Normal"/>
  </r>
  <r>
    <x v="2"/>
    <x v="8"/>
    <s v="Developer"/>
    <s v="Full-time"/>
    <n v="73399"/>
    <n v="10865"/>
    <s v="GBP"/>
    <s v="Contract"/>
    <x v="4"/>
    <s v="British Columbia"/>
    <s v="Vancouver"/>
    <n v="3"/>
    <n v="0"/>
    <x v="4"/>
    <x v="1"/>
    <s v="Michael"/>
    <n v="1.25"/>
    <n v="91748.75"/>
    <s v="Normal"/>
  </r>
  <r>
    <x v="2"/>
    <x v="3"/>
    <s v="QA Engineer"/>
    <s v="Full-time"/>
    <n v="1466189"/>
    <n v="280208"/>
    <s v="INR"/>
    <s v="Commission-based"/>
    <x v="6"/>
    <s v="Texas"/>
    <s v="Austin"/>
    <n v="18"/>
    <n v="17"/>
    <x v="4"/>
    <x v="0"/>
    <s v="Kenneth"/>
    <n v="1.2E-2"/>
    <n v="17594.268"/>
    <s v="Normal"/>
  </r>
  <r>
    <x v="2"/>
    <x v="5"/>
    <s v="DevOps Engineer"/>
    <s v="Full-time"/>
    <n v="102312"/>
    <n v="6498"/>
    <s v="AUD"/>
    <s v="Commission-based"/>
    <x v="3"/>
    <s v="Victoria"/>
    <s v="Melbourne"/>
    <n v="20"/>
    <n v="20"/>
    <x v="1"/>
    <x v="0"/>
    <s v="Kurt"/>
    <n v="0.65"/>
    <n v="66502.8"/>
    <s v="Normal"/>
  </r>
  <r>
    <x v="4"/>
    <x v="2"/>
    <s v="Business Analyst"/>
    <s v="Lead"/>
    <n v="726406"/>
    <n v="54719"/>
    <s v="INR"/>
    <s v="Unknown"/>
    <x v="6"/>
    <s v="Massachusetts"/>
    <s v="Boston"/>
    <n v="10"/>
    <n v="10"/>
    <x v="4"/>
    <x v="0"/>
    <s v="Kavya"/>
    <n v="1.2E-2"/>
    <n v="8716.8719999999994"/>
    <s v="Normal"/>
  </r>
  <r>
    <x v="0"/>
    <x v="6"/>
    <s v="Data Scientist"/>
    <s v="Full-time"/>
    <n v="84681"/>
    <n v="5279"/>
    <s v="EUR"/>
    <s v="Commission-based"/>
    <x v="9"/>
    <s v="Scotland"/>
    <s v="Edinburgh"/>
    <n v="18"/>
    <n v="18"/>
    <x v="1"/>
    <x v="2"/>
    <s v="Ashley"/>
    <n v="1.1000000000000001"/>
    <n v="93149.1"/>
    <s v="Normal"/>
  </r>
  <r>
    <x v="0"/>
    <x v="3"/>
    <s v="Data Scientist"/>
    <s v="Full-time"/>
    <n v="70153"/>
    <n v="14700"/>
    <s v="EUR"/>
    <s v="Contract"/>
    <x v="8"/>
    <s v="Dubai"/>
    <s v="Dubai"/>
    <n v="15"/>
    <n v="15"/>
    <x v="1"/>
    <x v="3"/>
    <s v="Meagan"/>
    <n v="1.1000000000000001"/>
    <n v="77168.3"/>
    <s v="Normal"/>
  </r>
  <r>
    <x v="2"/>
    <x v="9"/>
    <s v="HR Manager"/>
    <s v="Intern"/>
    <n v="56965"/>
    <n v="4812"/>
    <s v="EUR"/>
    <s v="Contract"/>
    <x v="8"/>
    <s v="Dubai"/>
    <s v="Dubai"/>
    <n v="9"/>
    <n v="9"/>
    <x v="1"/>
    <x v="3"/>
    <s v="Kavya"/>
    <n v="1.1000000000000001"/>
    <n v="62661.500000000007"/>
    <s v="Normal"/>
  </r>
  <r>
    <x v="2"/>
    <x v="3"/>
    <s v="Nurse"/>
    <s v="Lead"/>
    <n v="103903"/>
    <n v="2099"/>
    <s v="USD"/>
    <s v="Commission-based"/>
    <x v="4"/>
    <s v="Ontario"/>
    <s v="Toronto"/>
    <n v="7"/>
    <n v="5"/>
    <x v="0"/>
    <x v="2"/>
    <s v="Kavya"/>
    <n v="1"/>
    <n v="103903"/>
    <s v="Normal"/>
  </r>
  <r>
    <x v="1"/>
    <x v="9"/>
    <s v="Doctor"/>
    <s v="Contract"/>
    <n v="63426"/>
    <n v="8998"/>
    <s v="EUR"/>
    <s v="Commission-based"/>
    <x v="9"/>
    <s v="Wales"/>
    <s v="Cardiff"/>
    <n v="0"/>
    <n v="0"/>
    <x v="0"/>
    <x v="1"/>
    <s v="Emma"/>
    <n v="1.1000000000000001"/>
    <n v="69768.600000000006"/>
    <s v="Normal"/>
  </r>
  <r>
    <x v="2"/>
    <x v="9"/>
    <s v="Software Engineer"/>
    <s v="Contract"/>
    <n v="32971"/>
    <n v="0"/>
    <s v="GBP"/>
    <s v="Fixed salary"/>
    <x v="9"/>
    <s v="England"/>
    <s v="Manchester"/>
    <n v="2"/>
    <n v="2"/>
    <x v="2"/>
    <x v="0"/>
    <s v="Courtney"/>
    <n v="1.25"/>
    <n v="41213.75"/>
    <s v="Normal"/>
  </r>
  <r>
    <x v="1"/>
    <x v="3"/>
    <s v="HR Manager"/>
    <s v="Intern"/>
    <n v="43042"/>
    <n v="0"/>
    <s v="AUD"/>
    <s v="Fixed salary"/>
    <x v="8"/>
    <s v="Dubai"/>
    <s v="Dubai"/>
    <n v="0"/>
    <n v="0"/>
    <x v="0"/>
    <x v="0"/>
    <s v="Kavya"/>
    <n v="0.65"/>
    <n v="27977.3"/>
    <s v="Normal"/>
  </r>
  <r>
    <x v="2"/>
    <x v="0"/>
    <s v="QA Engineer"/>
    <s v="Contract"/>
    <n v="116713"/>
    <n v="22796"/>
    <s v="AUD"/>
    <s v="Commission-based"/>
    <x v="2"/>
    <s v="Central Region"/>
    <s v="Singapore"/>
    <n v="9"/>
    <n v="9"/>
    <x v="4"/>
    <x v="1"/>
    <s v="Carlos"/>
    <n v="0.65"/>
    <n v="75863.45"/>
    <s v="Normal"/>
  </r>
  <r>
    <x v="0"/>
    <x v="1"/>
    <s v="Software Engineer"/>
    <s v="Senior"/>
    <n v="64595"/>
    <n v="568"/>
    <s v="GBP"/>
    <s v="Commission-based"/>
    <x v="7"/>
    <s v="Île-de-France"/>
    <s v="Paris"/>
    <n v="20"/>
    <n v="20"/>
    <x v="2"/>
    <x v="3"/>
    <s v="Mallory"/>
    <n v="1.25"/>
    <n v="80743.75"/>
    <s v="Normal"/>
  </r>
  <r>
    <x v="2"/>
    <x v="6"/>
    <s v="Professor"/>
    <s v="Senior"/>
    <n v="103620"/>
    <n v="2305"/>
    <s v="AUD"/>
    <s v="Hourly"/>
    <x v="4"/>
    <s v="Quebec"/>
    <s v="Montreal"/>
    <n v="18"/>
    <n v="18"/>
    <x v="4"/>
    <x v="3"/>
    <s v="Julie"/>
    <n v="0.65"/>
    <n v="67353"/>
    <s v="Normal"/>
  </r>
  <r>
    <x v="2"/>
    <x v="1"/>
    <s v="Sales Executive"/>
    <s v="Unknown"/>
    <n v="58580"/>
    <n v="16869"/>
    <s v="GBP"/>
    <s v="Unknown"/>
    <x v="1"/>
    <s v="Bavaria"/>
    <s v="Munich"/>
    <n v="15"/>
    <n v="14"/>
    <x v="4"/>
    <x v="2"/>
    <s v="Laura"/>
    <n v="1.25"/>
    <n v="73225"/>
    <s v="Normal"/>
  </r>
  <r>
    <x v="0"/>
    <x v="4"/>
    <s v="S/W Engineer"/>
    <s v="Lead"/>
    <n v="75733"/>
    <n v="1280"/>
    <s v="GBP"/>
    <s v="Fixed salary"/>
    <x v="2"/>
    <s v="Central Region"/>
    <s v="Singapore"/>
    <n v="25"/>
    <n v="22"/>
    <x v="5"/>
    <x v="3"/>
    <s v="Kevin"/>
    <n v="1.25"/>
    <n v="94666.25"/>
    <s v="Normal"/>
  </r>
  <r>
    <x v="4"/>
    <x v="6"/>
    <s v="Accountant"/>
    <s v="Full-time"/>
    <n v="432230"/>
    <n v="59137"/>
    <s v="INR"/>
    <s v="Commission-based"/>
    <x v="2"/>
    <s v="Central Region"/>
    <s v="Singapore"/>
    <n v="10"/>
    <n v="8"/>
    <x v="1"/>
    <x v="0"/>
    <s v="David"/>
    <n v="1.2E-2"/>
    <n v="5186.76"/>
    <s v="Normal"/>
  </r>
  <r>
    <x v="3"/>
    <x v="11"/>
    <s v="Professor"/>
    <s v="Part-time"/>
    <n v="91270"/>
    <n v="2110"/>
    <s v="CAD"/>
    <s v="Contract"/>
    <x v="8"/>
    <s v="Abu Dhabi"/>
    <s v="Abu Dhabi"/>
    <n v="6"/>
    <n v="6"/>
    <x v="1"/>
    <x v="2"/>
    <s v="ijphn"/>
    <n v="0.73"/>
    <n v="66627.099999999991"/>
    <s v="Normal"/>
  </r>
  <r>
    <x v="2"/>
    <x v="7"/>
    <s v="Unknown"/>
    <s v="Unknown"/>
    <n v="0"/>
    <n v="0"/>
    <s v="GBP"/>
    <s v="Unknown"/>
    <x v="5"/>
    <s v="Karnataka"/>
    <s v="Unknown"/>
    <n v="0"/>
    <n v="13"/>
    <x v="2"/>
    <x v="4"/>
    <s v="Sabrina"/>
    <n v="1.25"/>
    <n v="0"/>
    <s v="Normal"/>
  </r>
  <r>
    <x v="2"/>
    <x v="2"/>
    <s v="Business Analyst"/>
    <s v="On-site"/>
    <n v="111449"/>
    <n v="16445"/>
    <s v="AUD"/>
    <s v="Commission-based"/>
    <x v="9"/>
    <s v="Wales"/>
    <s v="Cardiff"/>
    <n v="20"/>
    <n v="17"/>
    <x v="5"/>
    <x v="1"/>
    <s v="Diana"/>
    <n v="0.65"/>
    <n v="72441.850000000006"/>
    <s v="Normal"/>
  </r>
  <r>
    <x v="2"/>
    <x v="9"/>
    <s v="Doctor"/>
    <s v="Full-time"/>
    <n v="135694"/>
    <n v="16695"/>
    <s v="EUR"/>
    <s v="Unknown"/>
    <x v="1"/>
    <s v="Bavaria"/>
    <s v="Munich"/>
    <n v="18"/>
    <n v="16"/>
    <x v="4"/>
    <x v="2"/>
    <s v="Anita"/>
    <n v="1.1000000000000001"/>
    <n v="149263.40000000002"/>
    <s v="Normal"/>
  </r>
  <r>
    <x v="0"/>
    <x v="0"/>
    <s v="Data Analyst"/>
    <s v="Junior"/>
    <n v="93429"/>
    <n v="15924"/>
    <s v="AUD"/>
    <s v="Fixed salary"/>
    <x v="4"/>
    <s v="British Columbia"/>
    <s v="Vancouver"/>
    <n v="20"/>
    <n v="17"/>
    <x v="5"/>
    <x v="0"/>
    <s v="Sneha"/>
    <n v="0.65"/>
    <n v="60728.85"/>
    <s v="Normal"/>
  </r>
  <r>
    <x v="2"/>
    <x v="2"/>
    <s v="System Administrator"/>
    <s v="Full-time"/>
    <n v="137171"/>
    <n v="15646"/>
    <s v="USD"/>
    <s v="Commission-based"/>
    <x v="7"/>
    <s v="Île-de-France"/>
    <s v="Paris"/>
    <n v="9"/>
    <n v="6"/>
    <x v="2"/>
    <x v="3"/>
    <s v="Philip"/>
    <n v="1"/>
    <n v="137171"/>
    <s v="Normal"/>
  </r>
  <r>
    <x v="4"/>
    <x v="3"/>
    <s v="Accountant"/>
    <s v="Unknown"/>
    <n v="109676"/>
    <n v="6447"/>
    <s v="USD"/>
    <s v="Contract"/>
    <x v="5"/>
    <s v="Delhi"/>
    <s v="New Delhi"/>
    <n v="20"/>
    <n v="18"/>
    <x v="4"/>
    <x v="0"/>
    <s v="Noah"/>
    <n v="1"/>
    <n v="109676"/>
    <s v="Normal"/>
  </r>
  <r>
    <x v="0"/>
    <x v="1"/>
    <s v="Professor"/>
    <s v="Intern"/>
    <n v="109159"/>
    <n v="192"/>
    <s v="USD"/>
    <s v="Contract"/>
    <x v="9"/>
    <s v="Wales"/>
    <s v="Cardiff"/>
    <n v="20"/>
    <n v="19"/>
    <x v="1"/>
    <x v="1"/>
    <s v="Mary"/>
    <n v="1"/>
    <n v="109159"/>
    <s v="Normal"/>
  </r>
  <r>
    <x v="0"/>
    <x v="3"/>
    <s v="Nurse"/>
    <s v="Senior"/>
    <n v="43731"/>
    <n v="0"/>
    <s v="EUR"/>
    <s v="Fixed salary"/>
    <x v="6"/>
    <s v="Texas"/>
    <s v="Dallas"/>
    <n v="25"/>
    <n v="25"/>
    <x v="4"/>
    <x v="2"/>
    <s v="Charles"/>
    <n v="1.1000000000000001"/>
    <n v="48104.100000000006"/>
    <s v="Normal"/>
  </r>
  <r>
    <x v="2"/>
    <x v="11"/>
    <s v="QA Engineer"/>
    <s v="Senior"/>
    <n v="109405"/>
    <n v="28"/>
    <s v="AUD"/>
    <s v="Fixed salary"/>
    <x v="6"/>
    <s v="Washington"/>
    <s v="Seattle"/>
    <n v="5"/>
    <n v="4"/>
    <x v="0"/>
    <x v="1"/>
    <s v="Marissa"/>
    <n v="0.65"/>
    <n v="71113.25"/>
    <s v="Normal"/>
  </r>
  <r>
    <x v="0"/>
    <x v="0"/>
    <s v="Business Analyst"/>
    <s v="Unknown"/>
    <n v="36809"/>
    <n v="5222"/>
    <s v="EUR"/>
    <s v="Unknown"/>
    <x v="4"/>
    <s v="British Columbia"/>
    <s v="Vancouver"/>
    <n v="15"/>
    <n v="14"/>
    <x v="1"/>
    <x v="1"/>
    <s v="Steven"/>
    <n v="1.1000000000000001"/>
    <n v="40489.9"/>
    <s v="Normal"/>
  </r>
  <r>
    <x v="2"/>
    <x v="6"/>
    <s v="Doctor"/>
    <s v="Junior"/>
    <n v="5000"/>
    <n v="100"/>
    <s v="GBP"/>
    <s v="Contract"/>
    <x v="5"/>
    <s v="Tamil Nadu"/>
    <s v="Coimbatore"/>
    <n v="15"/>
    <n v="14"/>
    <x v="3"/>
    <x v="2"/>
    <s v="Alexis"/>
    <n v="1.25"/>
    <n v="6250"/>
    <s v="Normal"/>
  </r>
  <r>
    <x v="3"/>
    <x v="9"/>
    <s v="HR Manager"/>
    <s v="Unknown"/>
    <n v="83371"/>
    <n v="3582"/>
    <s v="AUD"/>
    <s v="Unknown"/>
    <x v="1"/>
    <s v="Hesse"/>
    <s v="Frankfurt"/>
    <n v="0"/>
    <n v="0"/>
    <x v="4"/>
    <x v="0"/>
    <s v="Richard"/>
    <n v="0.65"/>
    <n v="54191.15"/>
    <s v="Normal"/>
  </r>
  <r>
    <x v="2"/>
    <x v="9"/>
    <s v="Accountant"/>
    <s v="Full-time"/>
    <n v="93986"/>
    <n v="721"/>
    <s v="USD"/>
    <s v="Hourly"/>
    <x v="3"/>
    <s v="Queensland"/>
    <s v="Brisbane"/>
    <n v="6"/>
    <n v="6"/>
    <x v="5"/>
    <x v="2"/>
    <s v="David"/>
    <n v="1"/>
    <n v="93986"/>
    <s v="Normal"/>
  </r>
  <r>
    <x v="0"/>
    <x v="6"/>
    <s v="Project Manager"/>
    <s v="Unknown"/>
    <n v="161907"/>
    <n v="0"/>
    <s v="USD"/>
    <s v="Unknown"/>
    <x v="4"/>
    <s v="Ontario"/>
    <s v="Toronto"/>
    <n v="20"/>
    <n v="18"/>
    <x v="3"/>
    <x v="0"/>
    <s v="Sherry"/>
    <n v="1"/>
    <n v="161907"/>
    <s v="Normal"/>
  </r>
  <r>
    <x v="2"/>
    <x v="2"/>
    <s v="Business Analyst"/>
    <s v="Senior"/>
    <n v="29917"/>
    <n v="180"/>
    <s v="CAD"/>
    <s v="Contract"/>
    <x v="2"/>
    <s v="Central Region"/>
    <s v="Singapore"/>
    <n v="7"/>
    <n v="6"/>
    <x v="4"/>
    <x v="0"/>
    <s v="Alex"/>
    <n v="0.73"/>
    <n v="21839.41"/>
    <s v="Normal"/>
  </r>
  <r>
    <x v="0"/>
    <x v="3"/>
    <s v="Accountant"/>
    <s v="Remote"/>
    <n v="129372"/>
    <n v="15645"/>
    <s v="USD"/>
    <s v="Commission-based"/>
    <x v="3"/>
    <s v="Victoria"/>
    <s v="Melbourne"/>
    <n v="12"/>
    <n v="9"/>
    <x v="5"/>
    <x v="2"/>
    <s v="ijphn"/>
    <n v="1"/>
    <n v="129372"/>
    <s v="Normal"/>
  </r>
  <r>
    <x v="2"/>
    <x v="3"/>
    <s v="Business Analyst"/>
    <s v="Senior"/>
    <n v="40990"/>
    <n v="4769"/>
    <s v="EUR"/>
    <s v="Fixed salary"/>
    <x v="9"/>
    <s v="Wales"/>
    <s v="Cardiff"/>
    <n v="4"/>
    <n v="3"/>
    <x v="3"/>
    <x v="1"/>
    <s v="Christina"/>
    <n v="1.1000000000000001"/>
    <n v="45089.000000000007"/>
    <s v="Normal"/>
  </r>
  <r>
    <x v="2"/>
    <x v="10"/>
    <s v="Professor"/>
    <s v="Remote"/>
    <n v="89375"/>
    <n v="5602"/>
    <s v="GBP"/>
    <s v="Fixed salary"/>
    <x v="8"/>
    <s v="Abu Dhabi"/>
    <s v="Abu Dhabi"/>
    <n v="25"/>
    <n v="23"/>
    <x v="3"/>
    <x v="3"/>
    <s v="Tyler"/>
    <n v="1.25"/>
    <n v="111718.75"/>
    <s v="Normal"/>
  </r>
  <r>
    <x v="2"/>
    <x v="2"/>
    <s v="System Administrator"/>
    <s v="Lead"/>
    <n v="113409"/>
    <n v="480"/>
    <s v="EUR"/>
    <s v="Contract"/>
    <x v="0"/>
    <s v="North Holland"/>
    <s v="Amsterdam"/>
    <n v="6"/>
    <n v="6"/>
    <x v="0"/>
    <x v="0"/>
    <s v="Nathan"/>
    <n v="1.1000000000000001"/>
    <n v="124749.90000000001"/>
    <s v="Normal"/>
  </r>
  <r>
    <x v="2"/>
    <x v="6"/>
    <s v="Sales Executive"/>
    <s v="Junior"/>
    <n v="13252"/>
    <n v="184"/>
    <s v="GBP"/>
    <s v="Contract"/>
    <x v="4"/>
    <s v="Ontario"/>
    <s v="Toronto"/>
    <n v="7"/>
    <n v="7"/>
    <x v="3"/>
    <x v="3"/>
    <s v="Arjun"/>
    <n v="1.25"/>
    <n v="16565"/>
    <s v="Normal"/>
  </r>
  <r>
    <x v="3"/>
    <x v="8"/>
    <s v="S/W Engineer"/>
    <s v="Senior"/>
    <n v="1546309"/>
    <n v="223999"/>
    <s v="INR"/>
    <s v="Commission-based"/>
    <x v="4"/>
    <s v="Ontario"/>
    <s v="Ottawa"/>
    <n v="6"/>
    <n v="5"/>
    <x v="4"/>
    <x v="0"/>
    <s v="ijphn"/>
    <n v="1.2E-2"/>
    <n v="18555.707999999999"/>
    <s v="Normal"/>
  </r>
  <r>
    <x v="2"/>
    <x v="6"/>
    <s v="Nurse"/>
    <s v="Full-time"/>
    <n v="1095386"/>
    <n v="133034"/>
    <s v="INR"/>
    <s v="Contract"/>
    <x v="0"/>
    <s v="North Holland"/>
    <s v="Amsterdam"/>
    <n v="3"/>
    <n v="3"/>
    <x v="5"/>
    <x v="3"/>
    <s v="Michael"/>
    <n v="1.2E-2"/>
    <n v="13144.632"/>
    <s v="Normal"/>
  </r>
  <r>
    <x v="4"/>
    <x v="6"/>
    <s v="Product Manager"/>
    <s v="Contract"/>
    <n v="87321"/>
    <n v="217"/>
    <s v="AUD"/>
    <s v="Commission-based"/>
    <x v="2"/>
    <s v="Central Region"/>
    <s v="Singapore"/>
    <n v="18"/>
    <n v="16"/>
    <x v="2"/>
    <x v="3"/>
    <s v="Samuel"/>
    <n v="0.65"/>
    <n v="56758.65"/>
    <s v="Normal"/>
  </r>
  <r>
    <x v="2"/>
    <x v="6"/>
    <s v="Product Manager"/>
    <s v="Lead"/>
    <n v="55751"/>
    <n v="0"/>
    <s v="CAD"/>
    <s v="Contract"/>
    <x v="3"/>
    <s v="Victoria"/>
    <s v="Melbourne"/>
    <n v="2"/>
    <n v="1"/>
    <x v="0"/>
    <x v="0"/>
    <s v="Andrea"/>
    <n v="0.73"/>
    <n v="40698.229999999996"/>
    <s v="Normal"/>
  </r>
  <r>
    <x v="0"/>
    <x v="3"/>
    <s v="Developer"/>
    <s v="On-site"/>
    <n v="87086"/>
    <n v="1271"/>
    <s v="USD"/>
    <s v="Contract"/>
    <x v="7"/>
    <s v="Provence-Alpes-Côte d'Azur"/>
    <s v="Nice"/>
    <n v="8"/>
    <n v="8"/>
    <x v="4"/>
    <x v="1"/>
    <s v="Anthony"/>
    <n v="1"/>
    <n v="87086"/>
    <s v="Normal"/>
  </r>
  <r>
    <x v="0"/>
    <x v="3"/>
    <s v="Professor"/>
    <s v="Full-time"/>
    <n v="77118"/>
    <n v="20600"/>
    <s v="CAD"/>
    <s v="Unknown"/>
    <x v="0"/>
    <s v="North Holland"/>
    <s v="Amsterdam"/>
    <n v="9"/>
    <n v="9"/>
    <x v="0"/>
    <x v="2"/>
    <s v="Raj"/>
    <n v="0.73"/>
    <n v="56296.14"/>
    <s v="Normal"/>
  </r>
  <r>
    <x v="0"/>
    <x v="3"/>
    <s v="S/W Engineer"/>
    <s v="Lead"/>
    <n v="490869"/>
    <n v="20215"/>
    <s v="INR"/>
    <s v="Unknown"/>
    <x v="6"/>
    <s v="New York"/>
    <s v="New York City"/>
    <n v="12"/>
    <n v="9"/>
    <x v="1"/>
    <x v="3"/>
    <s v="Kenneth"/>
    <n v="1.2E-2"/>
    <n v="5890.4279999999999"/>
    <s v="Normal"/>
  </r>
  <r>
    <x v="3"/>
    <x v="3"/>
    <s v="Accountant"/>
    <s v="Lead"/>
    <n v="91230"/>
    <n v="1210"/>
    <s v="AUD"/>
    <s v="Commission-based"/>
    <x v="5"/>
    <s v="Tamil Nadu"/>
    <s v="Coimbatore"/>
    <n v="4"/>
    <n v="3"/>
    <x v="1"/>
    <x v="2"/>
    <s v="Laura"/>
    <n v="0.65"/>
    <n v="59299.5"/>
    <s v="Normal"/>
  </r>
  <r>
    <x v="0"/>
    <x v="4"/>
    <s v="S/W Engineer"/>
    <s v="Lead"/>
    <n v="49692"/>
    <n v="4214"/>
    <s v="EUR"/>
    <s v="Hourly"/>
    <x v="7"/>
    <s v="Provence-Alpes-Côte d'Azur"/>
    <s v="Nice"/>
    <n v="20"/>
    <n v="20"/>
    <x v="2"/>
    <x v="0"/>
    <s v="Noah"/>
    <n v="1.1000000000000001"/>
    <n v="54661.200000000004"/>
    <s v="Normal"/>
  </r>
  <r>
    <x v="0"/>
    <x v="3"/>
    <s v="Developer"/>
    <s v="Lead"/>
    <n v="793430"/>
    <n v="57353"/>
    <s v="INR"/>
    <s v="Fixed salary"/>
    <x v="2"/>
    <s v="Central Region"/>
    <s v="Singapore"/>
    <n v="25"/>
    <n v="25"/>
    <x v="0"/>
    <x v="2"/>
    <s v="Michael"/>
    <n v="1.2E-2"/>
    <n v="9521.16"/>
    <s v="Normal"/>
  </r>
  <r>
    <x v="2"/>
    <x v="8"/>
    <s v="Doctor"/>
    <s v="Full-time"/>
    <n v="671445"/>
    <n v="146691"/>
    <s v="INR"/>
    <s v="Fixed salary"/>
    <x v="2"/>
    <s v="Central Region"/>
    <s v="Singapore"/>
    <n v="3"/>
    <n v="3"/>
    <x v="1"/>
    <x v="0"/>
    <s v="Noah"/>
    <n v="1.2E-2"/>
    <n v="8057.34"/>
    <s v="Normal"/>
  </r>
  <r>
    <x v="2"/>
    <x v="1"/>
    <s v="Sales Executive"/>
    <s v="Unknown"/>
    <n v="51654"/>
    <n v="1208"/>
    <s v="EUR"/>
    <s v="Contract"/>
    <x v="8"/>
    <s v="Abu Dhabi"/>
    <s v="Abu Dhabi"/>
    <n v="20"/>
    <n v="20"/>
    <x v="2"/>
    <x v="0"/>
    <s v="Andrea"/>
    <n v="1.1000000000000001"/>
    <n v="56819.4"/>
    <s v="Normal"/>
  </r>
  <r>
    <x v="0"/>
    <x v="3"/>
    <s v="Nurse"/>
    <s v="Full-time"/>
    <n v="83291"/>
    <n v="13187"/>
    <s v="AUD"/>
    <s v="Unknown"/>
    <x v="6"/>
    <s v="California"/>
    <s v="San Jose"/>
    <n v="15"/>
    <n v="15"/>
    <x v="2"/>
    <x v="1"/>
    <s v="Catherine"/>
    <n v="0.65"/>
    <n v="54139.15"/>
    <s v="Normal"/>
  </r>
  <r>
    <x v="3"/>
    <x v="6"/>
    <s v="Data Analyst"/>
    <s v="Senior"/>
    <n v="868346"/>
    <n v="0"/>
    <s v="INR"/>
    <s v="Fixed salary"/>
    <x v="8"/>
    <s v="Dubai"/>
    <s v="Dubai"/>
    <n v="5"/>
    <n v="5"/>
    <x v="0"/>
    <x v="2"/>
    <s v="Sandra"/>
    <n v="1.2E-2"/>
    <n v="10420.152"/>
    <s v="Normal"/>
  </r>
  <r>
    <x v="4"/>
    <x v="2"/>
    <s v="HR Manager"/>
    <s v="Unknown"/>
    <n v="64212"/>
    <n v="1662"/>
    <s v="AUD"/>
    <s v="Fixed salary"/>
    <x v="4"/>
    <s v="Ontario"/>
    <s v="Ottawa"/>
    <n v="12"/>
    <n v="11"/>
    <x v="0"/>
    <x v="3"/>
    <s v="Alex"/>
    <n v="0.65"/>
    <n v="41737.800000000003"/>
    <s v="Normal"/>
  </r>
  <r>
    <x v="2"/>
    <x v="9"/>
    <s v="Business Analyst"/>
    <s v="Junior"/>
    <n v="116470"/>
    <n v="17074"/>
    <s v="AUD"/>
    <s v="Commission-based"/>
    <x v="8"/>
    <s v="Abu Dhabi"/>
    <s v="Abu Dhabi"/>
    <n v="5"/>
    <n v="4"/>
    <x v="3"/>
    <x v="1"/>
    <s v="Keith"/>
    <n v="0.65"/>
    <n v="75705.5"/>
    <s v="Normal"/>
  </r>
  <r>
    <x v="2"/>
    <x v="9"/>
    <s v="Developer"/>
    <s v="Intern"/>
    <n v="97535"/>
    <n v="28869"/>
    <s v="EUR"/>
    <s v="Commission-based"/>
    <x v="1"/>
    <s v="Hesse"/>
    <s v="Frankfurt"/>
    <n v="10"/>
    <n v="7"/>
    <x v="5"/>
    <x v="2"/>
    <s v="Patricia"/>
    <n v="1.1000000000000001"/>
    <n v="107288.50000000001"/>
    <s v="Normal"/>
  </r>
  <r>
    <x v="4"/>
    <x v="4"/>
    <s v="Product Manager"/>
    <s v="Part-time"/>
    <n v="807373"/>
    <n v="44554"/>
    <s v="INR"/>
    <s v="Unknown"/>
    <x v="7"/>
    <s v="Provence-Alpes-Côte d'Azur"/>
    <s v="Nice"/>
    <n v="25"/>
    <n v="23"/>
    <x v="5"/>
    <x v="3"/>
    <s v="Michelle"/>
    <n v="1.2E-2"/>
    <n v="9688.4760000000006"/>
    <s v="Normal"/>
  </r>
  <r>
    <x v="2"/>
    <x v="3"/>
    <s v="Developer"/>
    <s v="Junior"/>
    <n v="86057"/>
    <n v="8165"/>
    <s v="AUD"/>
    <s v="Contract"/>
    <x v="4"/>
    <s v="Ontario"/>
    <s v="Ottawa"/>
    <n v="12"/>
    <n v="12"/>
    <x v="3"/>
    <x v="1"/>
    <s v="Jeffrey"/>
    <n v="0.65"/>
    <n v="55937.05"/>
    <s v="Normal"/>
  </r>
  <r>
    <x v="3"/>
    <x v="4"/>
    <s v="DevOps Engineer"/>
    <s v="Senior"/>
    <n v="56213"/>
    <n v="2154"/>
    <s v="CAD"/>
    <s v="Fixed salary"/>
    <x v="1"/>
    <s v="Bavaria"/>
    <s v="Munich"/>
    <n v="5"/>
    <n v="5"/>
    <x v="3"/>
    <x v="0"/>
    <s v="Cynthia"/>
    <n v="0.73"/>
    <n v="41035.49"/>
    <s v="Normal"/>
  </r>
  <r>
    <x v="2"/>
    <x v="8"/>
    <s v="QA Engineer"/>
    <s v="Full-time"/>
    <n v="25433"/>
    <n v="3865"/>
    <s v="EUR"/>
    <s v="Fixed salary"/>
    <x v="5"/>
    <s v="Karnataka"/>
    <s v="Mysore"/>
    <n v="7"/>
    <n v="5"/>
    <x v="0"/>
    <x v="2"/>
    <s v="Christina"/>
    <n v="1.1000000000000001"/>
    <n v="27976.300000000003"/>
    <s v="Normal"/>
  </r>
  <r>
    <x v="2"/>
    <x v="11"/>
    <s v="Nurse"/>
    <s v="On-site"/>
    <n v="116425"/>
    <n v="832"/>
    <s v="EUR"/>
    <s v="Contract"/>
    <x v="0"/>
    <s v="South Holland"/>
    <s v="Rotterdam"/>
    <n v="4"/>
    <n v="4"/>
    <x v="5"/>
    <x v="1"/>
    <s v="Rebecca"/>
    <n v="1.1000000000000001"/>
    <n v="128067.50000000001"/>
    <s v="Normal"/>
  </r>
  <r>
    <x v="3"/>
    <x v="6"/>
    <s v="DevOps Engineer"/>
    <s v="Full-time"/>
    <n v="88922"/>
    <n v="0"/>
    <s v="AUD"/>
    <s v="Fixed salary"/>
    <x v="1"/>
    <s v="Berlin"/>
    <s v="Berlin"/>
    <n v="5"/>
    <n v="4"/>
    <x v="1"/>
    <x v="2"/>
    <s v="Kavya"/>
    <n v="0.65"/>
    <n v="57799.3"/>
    <s v="Normal"/>
  </r>
  <r>
    <x v="2"/>
    <x v="2"/>
    <s v="System Administrator"/>
    <s v="Junior"/>
    <n v="81823"/>
    <n v="0"/>
    <s v="GBP"/>
    <s v="Hourly"/>
    <x v="9"/>
    <s v="Northern Ireland"/>
    <s v="Belfast"/>
    <n v="2"/>
    <n v="2"/>
    <x v="2"/>
    <x v="3"/>
    <s v="Arjun"/>
    <n v="1.25"/>
    <n v="102278.75"/>
    <s v="Normal"/>
  </r>
  <r>
    <x v="3"/>
    <x v="10"/>
    <s v="Developer"/>
    <s v="Unknown"/>
    <n v="121483"/>
    <n v="2505"/>
    <s v="USD"/>
    <s v="Hourly"/>
    <x v="5"/>
    <s v="Telangana"/>
    <s v="Hyderabad"/>
    <n v="7"/>
    <n v="7"/>
    <x v="5"/>
    <x v="1"/>
    <s v="Debra"/>
    <n v="1"/>
    <n v="121483"/>
    <s v="Normal"/>
  </r>
  <r>
    <x v="0"/>
    <x v="2"/>
    <s v="S/W Engineer"/>
    <s v="Full-time"/>
    <n v="67643"/>
    <n v="3191"/>
    <s v="CAD"/>
    <s v="Unknown"/>
    <x v="6"/>
    <s v="Washington"/>
    <s v="Seattle"/>
    <n v="20"/>
    <n v="20"/>
    <x v="0"/>
    <x v="3"/>
    <s v="Ramesh"/>
    <n v="0.73"/>
    <n v="49379.39"/>
    <s v="Normal"/>
  </r>
  <r>
    <x v="2"/>
    <x v="3"/>
    <s v="Professor"/>
    <s v="Senior"/>
    <n v="488678"/>
    <n v="8115"/>
    <s v="INR"/>
    <s v="Fixed salary"/>
    <x v="0"/>
    <s v="South Holland"/>
    <s v="Rotterdam"/>
    <n v="20"/>
    <n v="20"/>
    <x v="1"/>
    <x v="2"/>
    <s v="Michael"/>
    <n v="1.2E-2"/>
    <n v="5864.1360000000004"/>
    <s v="Normal"/>
  </r>
  <r>
    <x v="0"/>
    <x v="11"/>
    <s v="QA Engineer"/>
    <s v="Part-time"/>
    <n v="560249"/>
    <n v="0"/>
    <s v="INR"/>
    <s v="Hourly"/>
    <x v="6"/>
    <s v="California"/>
    <s v="San Francisco"/>
    <n v="18"/>
    <n v="17"/>
    <x v="3"/>
    <x v="2"/>
    <s v="Liam"/>
    <n v="1.2E-2"/>
    <n v="6722.9880000000003"/>
    <s v="Normal"/>
  </r>
  <r>
    <x v="3"/>
    <x v="1"/>
    <s v="Accountant"/>
    <s v="Contract"/>
    <n v="58869"/>
    <n v="2792"/>
    <s v="CAD"/>
    <s v="Contract"/>
    <x v="6"/>
    <s v="New York"/>
    <s v="New York City"/>
    <n v="6"/>
    <n v="6"/>
    <x v="5"/>
    <x v="2"/>
    <s v="ijphn"/>
    <n v="0.73"/>
    <n v="42974.369999999995"/>
    <s v="Normal"/>
  </r>
  <r>
    <x v="0"/>
    <x v="3"/>
    <s v="Product Manager"/>
    <s v="Full-time"/>
    <n v="82296"/>
    <n v="13355"/>
    <s v="GBP"/>
    <s v="Commission-based"/>
    <x v="8"/>
    <s v="Dubai"/>
    <s v="Dubai"/>
    <n v="10"/>
    <n v="10"/>
    <x v="4"/>
    <x v="0"/>
    <s v="Thomas"/>
    <n v="1.25"/>
    <n v="102870"/>
    <s v="Normal"/>
  </r>
  <r>
    <x v="3"/>
    <x v="10"/>
    <s v="System Administrator"/>
    <s v="Contract"/>
    <n v="1363738"/>
    <n v="251202"/>
    <s v="INR"/>
    <s v="Contract"/>
    <x v="5"/>
    <s v="Maharashtra"/>
    <s v="Mumbai"/>
    <n v="0"/>
    <n v="0"/>
    <x v="1"/>
    <x v="1"/>
    <s v="Alexa"/>
    <n v="1.2E-2"/>
    <n v="16364.856"/>
    <s v="Normal"/>
  </r>
  <r>
    <x v="4"/>
    <x v="9"/>
    <s v="Software Engineer"/>
    <s v="Senior"/>
    <n v="53125"/>
    <n v="7020"/>
    <s v="EUR"/>
    <s v="Unknown"/>
    <x v="3"/>
    <s v="Queensland"/>
    <s v="Brisbane"/>
    <n v="8"/>
    <n v="8"/>
    <x v="0"/>
    <x v="3"/>
    <s v="Denise"/>
    <n v="1.1000000000000001"/>
    <n v="58437.500000000007"/>
    <s v="Normal"/>
  </r>
  <r>
    <x v="2"/>
    <x v="9"/>
    <s v="Data Scientist"/>
    <s v="Junior"/>
    <n v="106162"/>
    <n v="9739"/>
    <s v="USD"/>
    <s v="Contract"/>
    <x v="1"/>
    <s v="Bavaria"/>
    <s v="Munich"/>
    <n v="25"/>
    <n v="22"/>
    <x v="1"/>
    <x v="2"/>
    <s v="Jennifer"/>
    <n v="1"/>
    <n v="106162"/>
    <s v="Normal"/>
  </r>
  <r>
    <x v="0"/>
    <x v="1"/>
    <s v="Data Analyst"/>
    <s v="Full-time"/>
    <n v="636769"/>
    <n v="29049"/>
    <s v="INR"/>
    <s v="Unknown"/>
    <x v="5"/>
    <s v="Karnataka"/>
    <s v="Mysore"/>
    <n v="12"/>
    <n v="12"/>
    <x v="2"/>
    <x v="2"/>
    <s v="Sneha"/>
    <n v="1.2E-2"/>
    <n v="7641.2280000000001"/>
    <s v="Normal"/>
  </r>
  <r>
    <x v="3"/>
    <x v="6"/>
    <s v="Professor"/>
    <s v="Intern"/>
    <n v="67692"/>
    <n v="0"/>
    <s v="AUD"/>
    <s v="Contract"/>
    <x v="4"/>
    <s v="Quebec"/>
    <s v="Montreal"/>
    <n v="5"/>
    <n v="5"/>
    <x v="5"/>
    <x v="3"/>
    <s v="Olivia"/>
    <n v="0.65"/>
    <n v="43999.8"/>
    <s v="Normal"/>
  </r>
  <r>
    <x v="2"/>
    <x v="6"/>
    <s v="Product Manager"/>
    <s v="Remote"/>
    <n v="60852"/>
    <n v="1366"/>
    <s v="GBP"/>
    <s v="Fixed salary"/>
    <x v="4"/>
    <s v="British Columbia"/>
    <s v="Vancouver"/>
    <n v="8"/>
    <n v="8"/>
    <x v="1"/>
    <x v="2"/>
    <s v="Jessica"/>
    <n v="1.25"/>
    <n v="76065"/>
    <s v="Normal"/>
  </r>
  <r>
    <x v="2"/>
    <x v="6"/>
    <s v="Software Engineer"/>
    <s v="On-site"/>
    <n v="76251"/>
    <n v="4241"/>
    <s v="EUR"/>
    <s v="Commission-based"/>
    <x v="7"/>
    <s v="Île-de-France"/>
    <s v="Paris"/>
    <n v="15"/>
    <n v="15"/>
    <x v="3"/>
    <x v="0"/>
    <s v="Dana"/>
    <n v="1.1000000000000001"/>
    <n v="83876.100000000006"/>
    <s v="Normal"/>
  </r>
  <r>
    <x v="0"/>
    <x v="9"/>
    <s v="Developer"/>
    <s v="Full-time"/>
    <n v="1630160"/>
    <n v="232652"/>
    <s v="INR"/>
    <s v="Hourly"/>
    <x v="4"/>
    <s v="Ontario"/>
    <s v="Toronto"/>
    <n v="20"/>
    <n v="18"/>
    <x v="4"/>
    <x v="0"/>
    <s v="Tammy"/>
    <n v="1.2E-2"/>
    <n v="19561.920000000002"/>
    <s v="Normal"/>
  </r>
  <r>
    <x v="2"/>
    <x v="10"/>
    <s v="Data Scientist"/>
    <s v="On-site"/>
    <n v="126434"/>
    <n v="4473"/>
    <s v="EUR"/>
    <s v="Unknown"/>
    <x v="4"/>
    <s v="Quebec"/>
    <s v="Montreal"/>
    <n v="20"/>
    <n v="17"/>
    <x v="3"/>
    <x v="1"/>
    <s v="Jessica"/>
    <n v="1.1000000000000001"/>
    <n v="139077.40000000002"/>
    <s v="Normal"/>
  </r>
  <r>
    <x v="2"/>
    <x v="11"/>
    <s v="Sales Executive"/>
    <s v="Senior"/>
    <n v="81213"/>
    <n v="4940"/>
    <s v="USD"/>
    <s v="Contract"/>
    <x v="7"/>
    <s v="Île-de-France"/>
    <s v="Paris"/>
    <n v="2"/>
    <n v="2"/>
    <x v="3"/>
    <x v="0"/>
    <s v="Jennifer"/>
    <n v="1"/>
    <n v="81213"/>
    <s v="Normal"/>
  </r>
  <r>
    <x v="0"/>
    <x v="9"/>
    <s v="Software Engineer"/>
    <s v="Full-time"/>
    <n v="36865"/>
    <n v="1931"/>
    <s v="GBP"/>
    <s v="Hourly"/>
    <x v="9"/>
    <s v="Wales"/>
    <s v="Cardiff"/>
    <n v="8"/>
    <n v="5"/>
    <x v="1"/>
    <x v="3"/>
    <s v="Rebecca"/>
    <n v="1.25"/>
    <n v="46081.25"/>
    <s v="Normal"/>
  </r>
  <r>
    <x v="3"/>
    <x v="3"/>
    <s v="Doctor"/>
    <s v="Lead"/>
    <n v="94676"/>
    <n v="3026"/>
    <s v="EUR"/>
    <s v="Commission-based"/>
    <x v="4"/>
    <s v="Quebec"/>
    <s v="Montreal"/>
    <n v="2"/>
    <n v="2"/>
    <x v="2"/>
    <x v="2"/>
    <s v="Michael"/>
    <n v="1.1000000000000001"/>
    <n v="104143.6"/>
    <s v="Normal"/>
  </r>
  <r>
    <x v="4"/>
    <x v="3"/>
    <s v="DevOps Engineer"/>
    <s v="Senior"/>
    <n v="171910"/>
    <n v="2800"/>
    <s v="INR"/>
    <s v="Commission-based"/>
    <x v="6"/>
    <s v="Massachusetts"/>
    <s v="Boston"/>
    <n v="12"/>
    <n v="9"/>
    <x v="5"/>
    <x v="2"/>
    <s v="Amy"/>
    <n v="1.2E-2"/>
    <n v="2062.92"/>
    <s v="Normal"/>
  </r>
  <r>
    <x v="2"/>
    <x v="6"/>
    <s v="Business Analyst"/>
    <s v="Senior"/>
    <n v="66455"/>
    <n v="987"/>
    <s v="GBP"/>
    <s v="Contract"/>
    <x v="2"/>
    <s v="Central Region"/>
    <s v="Singapore"/>
    <n v="4"/>
    <n v="1"/>
    <x v="2"/>
    <x v="2"/>
    <s v="Amber"/>
    <n v="1.25"/>
    <n v="83068.75"/>
    <s v="Normal"/>
  </r>
  <r>
    <x v="3"/>
    <x v="3"/>
    <s v="Data Scientist"/>
    <s v="Intern"/>
    <n v="85581"/>
    <n v="683"/>
    <s v="GBP"/>
    <s v="Fixed salary"/>
    <x v="3"/>
    <s v="New South Wales"/>
    <s v="Sydney"/>
    <n v="1"/>
    <n v="1"/>
    <x v="4"/>
    <x v="1"/>
    <s v="Courtney"/>
    <n v="1.25"/>
    <n v="106976.25"/>
    <s v="Normal"/>
  </r>
  <r>
    <x v="3"/>
    <x v="3"/>
    <s v="S/W Engineer"/>
    <s v="Junior"/>
    <n v="54092"/>
    <n v="7126"/>
    <s v="EUR"/>
    <s v="Hourly"/>
    <x v="2"/>
    <s v="Central Region"/>
    <s v="Singapore"/>
    <n v="4"/>
    <n v="4"/>
    <x v="5"/>
    <x v="0"/>
    <s v="Benjamin"/>
    <n v="1.1000000000000001"/>
    <n v="59501.200000000004"/>
    <s v="Normal"/>
  </r>
  <r>
    <x v="3"/>
    <x v="11"/>
    <s v="Nurse"/>
    <s v="Junior"/>
    <n v="889636"/>
    <n v="0"/>
    <s v="INR"/>
    <s v="Commission-based"/>
    <x v="7"/>
    <s v="Provence-Alpes-Côte d'Azur"/>
    <s v="Nice"/>
    <n v="0"/>
    <n v="0"/>
    <x v="3"/>
    <x v="1"/>
    <s v="Emma"/>
    <n v="1.2E-2"/>
    <n v="10675.632"/>
    <s v="Normal"/>
  </r>
  <r>
    <x v="3"/>
    <x v="2"/>
    <s v="Project Manager"/>
    <s v="On-site"/>
    <n v="94059"/>
    <n v="25953"/>
    <s v="GBP"/>
    <s v="Contract"/>
    <x v="6"/>
    <s v="Washington"/>
    <s v="Seattle"/>
    <n v="2"/>
    <n v="1"/>
    <x v="2"/>
    <x v="2"/>
    <s v="Elizabeth"/>
    <n v="1.25"/>
    <n v="117573.75"/>
    <s v="Normal"/>
  </r>
  <r>
    <x v="3"/>
    <x v="0"/>
    <s v="Project Manager"/>
    <s v="Intern"/>
    <n v="67451"/>
    <n v="12518"/>
    <s v="USD"/>
    <s v="Unknown"/>
    <x v="9"/>
    <s v="Wales"/>
    <s v="Cardiff"/>
    <n v="1"/>
    <n v="1"/>
    <x v="1"/>
    <x v="1"/>
    <s v="Katrina"/>
    <n v="1"/>
    <n v="67451"/>
    <s v="Normal"/>
  </r>
  <r>
    <x v="2"/>
    <x v="0"/>
    <s v="DevOps Engineer"/>
    <s v="Junior"/>
    <n v="858685"/>
    <n v="28302"/>
    <s v="INR"/>
    <s v="Commission-based"/>
    <x v="0"/>
    <s v="North Holland"/>
    <s v="Amsterdam"/>
    <n v="3"/>
    <n v="0"/>
    <x v="4"/>
    <x v="3"/>
    <s v="April"/>
    <n v="1.2E-2"/>
    <n v="10304.219999999999"/>
    <s v="Normal"/>
  </r>
  <r>
    <x v="3"/>
    <x v="4"/>
    <s v="Project Manager"/>
    <s v="Lead"/>
    <n v="106036"/>
    <n v="5544"/>
    <s v="EUR"/>
    <s v="Unknown"/>
    <x v="5"/>
    <s v="Karnataka"/>
    <s v="Bengaluru"/>
    <n v="7"/>
    <n v="7"/>
    <x v="5"/>
    <x v="1"/>
    <s v="Sharon"/>
    <n v="1.1000000000000001"/>
    <n v="116639.6"/>
    <s v="Normal"/>
  </r>
  <r>
    <x v="2"/>
    <x v="2"/>
    <s v="HR Manager"/>
    <s v="On-site"/>
    <n v="91961"/>
    <n v="0"/>
    <s v="AUD"/>
    <s v="Fixed salary"/>
    <x v="8"/>
    <s v="Abu Dhabi"/>
    <s v="Abu Dhabi"/>
    <n v="6"/>
    <n v="3"/>
    <x v="5"/>
    <x v="2"/>
    <s v="Arjun"/>
    <n v="0.65"/>
    <n v="59774.65"/>
    <s v="Normal"/>
  </r>
  <r>
    <x v="3"/>
    <x v="2"/>
    <s v="Business Analyst"/>
    <s v="Full-time"/>
    <n v="43185"/>
    <n v="2685"/>
    <s v="GBP"/>
    <s v="Unknown"/>
    <x v="5"/>
    <s v="Maharashtra"/>
    <s v="Pune"/>
    <n v="5"/>
    <n v="5"/>
    <x v="4"/>
    <x v="1"/>
    <s v="Priya"/>
    <n v="1.25"/>
    <n v="53981.25"/>
    <s v="Normal"/>
  </r>
  <r>
    <x v="2"/>
    <x v="0"/>
    <s v="Product Manager"/>
    <s v="Unknown"/>
    <n v="754105"/>
    <n v="0"/>
    <s v="INR"/>
    <s v="Contract"/>
    <x v="8"/>
    <s v="Dubai"/>
    <s v="Dubai"/>
    <n v="12"/>
    <n v="9"/>
    <x v="4"/>
    <x v="0"/>
    <s v="Amanda"/>
    <n v="1.2E-2"/>
    <n v="9049.26"/>
    <s v="Normal"/>
  </r>
  <r>
    <x v="1"/>
    <x v="3"/>
    <s v="Business Analyst"/>
    <s v="Full-time"/>
    <n v="7601"/>
    <n v="532"/>
    <s v="GBP"/>
    <s v="Unknown"/>
    <x v="7"/>
    <s v="Île-de-France"/>
    <s v="Paris"/>
    <n v="1"/>
    <n v="0"/>
    <x v="5"/>
    <x v="2"/>
    <s v="Sarah"/>
    <n v="1.25"/>
    <n v="9501.25"/>
    <s v="Normal"/>
  </r>
  <r>
    <x v="3"/>
    <x v="3"/>
    <s v="Product Manager"/>
    <s v="Intern"/>
    <n v="85630"/>
    <n v="1005"/>
    <s v="AUD"/>
    <s v="Contract"/>
    <x v="4"/>
    <s v="British Columbia"/>
    <s v="Vancouver"/>
    <n v="7"/>
    <n v="7"/>
    <x v="2"/>
    <x v="1"/>
    <s v="Emily"/>
    <n v="0.65"/>
    <n v="55659.5"/>
    <s v="Normal"/>
  </r>
  <r>
    <x v="3"/>
    <x v="2"/>
    <s v="Data Scientist"/>
    <s v="Intern"/>
    <n v="1102795"/>
    <n v="50515"/>
    <s v="INR"/>
    <s v="Hourly"/>
    <x v="7"/>
    <s v="Provence-Alpes-Côte d'Azur"/>
    <s v="Nice"/>
    <n v="0"/>
    <n v="0"/>
    <x v="0"/>
    <x v="2"/>
    <s v="Anna"/>
    <n v="1.2E-2"/>
    <n v="13233.54"/>
    <s v="Normal"/>
  </r>
  <r>
    <x v="3"/>
    <x v="3"/>
    <s v="Data Analyst"/>
    <s v="Remote"/>
    <n v="141285"/>
    <n v="1449"/>
    <s v="AUD"/>
    <s v="Fixed salary"/>
    <x v="0"/>
    <s v="South Holland"/>
    <s v="Rotterdam"/>
    <n v="1"/>
    <n v="0"/>
    <x v="1"/>
    <x v="3"/>
    <s v="ijphn"/>
    <n v="0.65"/>
    <n v="91835.25"/>
    <s v="Normal"/>
  </r>
  <r>
    <x v="2"/>
    <x v="5"/>
    <s v="Doctor"/>
    <s v="Full-time"/>
    <n v="85306"/>
    <n v="4185"/>
    <s v="AUD"/>
    <s v="Contract"/>
    <x v="4"/>
    <s v="Ontario"/>
    <s v="Toronto"/>
    <n v="5"/>
    <n v="3"/>
    <x v="1"/>
    <x v="3"/>
    <s v="Lindsey"/>
    <n v="0.65"/>
    <n v="55448.9"/>
    <s v="Normal"/>
  </r>
  <r>
    <x v="3"/>
    <x v="3"/>
    <s v="Product Manager"/>
    <s v="On-site"/>
    <n v="1128824"/>
    <n v="277996"/>
    <s v="INR"/>
    <s v="Contract"/>
    <x v="5"/>
    <s v="Karnataka"/>
    <s v="Mysore"/>
    <n v="2"/>
    <n v="2"/>
    <x v="3"/>
    <x v="1"/>
    <s v="Veronica"/>
    <n v="1.2E-2"/>
    <n v="13545.888000000001"/>
    <s v="Normal"/>
  </r>
  <r>
    <x v="2"/>
    <x v="9"/>
    <s v="QA Engineer"/>
    <s v="Full-time"/>
    <n v="78516"/>
    <n v="876"/>
    <s v="CAD"/>
    <s v="Unknown"/>
    <x v="8"/>
    <s v="Abu Dhabi"/>
    <s v="Abu Dhabi"/>
    <n v="5"/>
    <n v="4"/>
    <x v="1"/>
    <x v="3"/>
    <s v="Michael"/>
    <n v="0.73"/>
    <n v="57316.68"/>
    <s v="Normal"/>
  </r>
  <r>
    <x v="2"/>
    <x v="4"/>
    <s v="Data Scientist"/>
    <s v="Junior"/>
    <n v="1142559"/>
    <n v="40640"/>
    <s v="INR"/>
    <s v="Hourly"/>
    <x v="9"/>
    <s v="Northern Ireland"/>
    <s v="Belfast"/>
    <n v="7"/>
    <n v="4"/>
    <x v="0"/>
    <x v="1"/>
    <s v="Joseph"/>
    <n v="1.2E-2"/>
    <n v="13710.708000000001"/>
    <s v="Normal"/>
  </r>
  <r>
    <x v="2"/>
    <x v="6"/>
    <s v="QA Engineer"/>
    <s v="Junior"/>
    <n v="10906"/>
    <n v="820"/>
    <s v="EUR"/>
    <s v="Commission-based"/>
    <x v="6"/>
    <s v="Washington"/>
    <s v="Seattle"/>
    <n v="15"/>
    <n v="15"/>
    <x v="5"/>
    <x v="3"/>
    <s v="Anita"/>
    <n v="1.1000000000000001"/>
    <n v="11996.6"/>
    <s v="Normal"/>
  </r>
  <r>
    <x v="4"/>
    <x v="6"/>
    <s v="Teacher"/>
    <s v="Remote"/>
    <n v="832913"/>
    <n v="0"/>
    <s v="INR"/>
    <s v="Unknown"/>
    <x v="9"/>
    <s v="England"/>
    <s v="London"/>
    <n v="10"/>
    <n v="10"/>
    <x v="4"/>
    <x v="3"/>
    <s v="Casey"/>
    <n v="1.2E-2"/>
    <n v="9994.9560000000001"/>
    <s v="Normal"/>
  </r>
  <r>
    <x v="0"/>
    <x v="3"/>
    <s v="HR Manager"/>
    <s v="On-site"/>
    <n v="59745"/>
    <n v="1967"/>
    <s v="USD"/>
    <s v="Commission-based"/>
    <x v="2"/>
    <s v="Central Region"/>
    <s v="Singapore"/>
    <n v="15"/>
    <n v="12"/>
    <x v="2"/>
    <x v="2"/>
    <s v="Olivia"/>
    <n v="1"/>
    <n v="59745"/>
    <s v="Normal"/>
  </r>
  <r>
    <x v="4"/>
    <x v="9"/>
    <s v="Doctor"/>
    <s v="Full-time"/>
    <n v="63974"/>
    <n v="1357"/>
    <s v="USD"/>
    <s v="Hourly"/>
    <x v="9"/>
    <s v="Scotland"/>
    <s v="Edinburgh"/>
    <n v="15"/>
    <n v="15"/>
    <x v="4"/>
    <x v="1"/>
    <s v="Christopher"/>
    <n v="1"/>
    <n v="63974"/>
    <s v="Normal"/>
  </r>
  <r>
    <x v="2"/>
    <x v="1"/>
    <s v="Accountant"/>
    <s v="Contract"/>
    <n v="53253"/>
    <n v="2032"/>
    <s v="USD"/>
    <s v="Commission-based"/>
    <x v="8"/>
    <s v="Abu Dhabi"/>
    <s v="Abu Dhabi"/>
    <n v="3"/>
    <n v="2"/>
    <x v="4"/>
    <x v="2"/>
    <s v="Priya"/>
    <n v="1"/>
    <n v="53253"/>
    <s v="Normal"/>
  </r>
  <r>
    <x v="3"/>
    <x v="8"/>
    <s v="S/W Engineer"/>
    <s v="Junior"/>
    <n v="105972"/>
    <n v="4541"/>
    <s v="CAD"/>
    <s v="Unknown"/>
    <x v="6"/>
    <s v="Texas"/>
    <s v="Austin"/>
    <n v="7"/>
    <n v="4"/>
    <x v="4"/>
    <x v="2"/>
    <s v="David"/>
    <n v="0.73"/>
    <n v="77359.56"/>
    <s v="Normal"/>
  </r>
  <r>
    <x v="2"/>
    <x v="0"/>
    <s v="System Administrator"/>
    <s v="Part-time"/>
    <n v="23856"/>
    <n v="758"/>
    <s v="AUD"/>
    <s v="Fixed salary"/>
    <x v="9"/>
    <s v="Scotland"/>
    <s v="Edinburgh"/>
    <n v="18"/>
    <n v="15"/>
    <x v="5"/>
    <x v="1"/>
    <s v="Katelyn"/>
    <n v="0.65"/>
    <n v="15506.4"/>
    <s v="Normal"/>
  </r>
  <r>
    <x v="2"/>
    <x v="1"/>
    <s v="Business Analyst"/>
    <s v="Contract"/>
    <n v="1517823"/>
    <n v="71638"/>
    <s v="INR"/>
    <s v="Fixed salary"/>
    <x v="9"/>
    <s v="Wales"/>
    <s v="Cardiff"/>
    <n v="9"/>
    <n v="9"/>
    <x v="4"/>
    <x v="0"/>
    <s v="Linda"/>
    <n v="1.2E-2"/>
    <n v="18213.876"/>
    <s v="Normal"/>
  </r>
  <r>
    <x v="3"/>
    <x v="6"/>
    <s v="S/W Engineer"/>
    <s v="Intern"/>
    <n v="1148449"/>
    <n v="0"/>
    <s v="INR"/>
    <s v="Hourly"/>
    <x v="1"/>
    <s v="Bavaria"/>
    <s v="Munich"/>
    <n v="7"/>
    <n v="6"/>
    <x v="2"/>
    <x v="2"/>
    <s v="Kimberly"/>
    <n v="1.2E-2"/>
    <n v="13781.388000000001"/>
    <s v="Normal"/>
  </r>
  <r>
    <x v="2"/>
    <x v="3"/>
    <s v="Accountant"/>
    <s v="Part-time"/>
    <n v="123625"/>
    <n v="4872"/>
    <s v="USD"/>
    <s v="Hourly"/>
    <x v="0"/>
    <s v="South Holland"/>
    <s v="Rotterdam"/>
    <n v="15"/>
    <n v="12"/>
    <x v="0"/>
    <x v="0"/>
    <s v="ijphn"/>
    <n v="1"/>
    <n v="123625"/>
    <s v="Normal"/>
  </r>
  <r>
    <x v="2"/>
    <x v="3"/>
    <s v="Teacher"/>
    <s v="Contract"/>
    <n v="57790"/>
    <n v="7428"/>
    <s v="GBP"/>
    <s v="Unknown"/>
    <x v="9"/>
    <s v="England"/>
    <s v="Manchester"/>
    <n v="4"/>
    <n v="3"/>
    <x v="3"/>
    <x v="0"/>
    <s v="Clayton"/>
    <n v="1.25"/>
    <n v="72237.5"/>
    <s v="Normal"/>
  </r>
  <r>
    <x v="2"/>
    <x v="3"/>
    <s v="System Administrator"/>
    <s v="Remote"/>
    <n v="98702"/>
    <n v="10361"/>
    <s v="AUD"/>
    <s v="Unknown"/>
    <x v="6"/>
    <s v="Massachusetts"/>
    <s v="Boston"/>
    <n v="8"/>
    <n v="5"/>
    <x v="5"/>
    <x v="1"/>
    <s v="Alexandra"/>
    <n v="0.65"/>
    <n v="64156.3"/>
    <s v="Normal"/>
  </r>
  <r>
    <x v="0"/>
    <x v="2"/>
    <s v="Developer"/>
    <s v="Intern"/>
    <n v="29406"/>
    <n v="308"/>
    <s v="USD"/>
    <s v="Contract"/>
    <x v="5"/>
    <s v="Delhi"/>
    <s v="New Delhi"/>
    <n v="12"/>
    <n v="9"/>
    <x v="1"/>
    <x v="2"/>
    <s v="Sara"/>
    <n v="1"/>
    <n v="29406"/>
    <s v="Normal"/>
  </r>
  <r>
    <x v="3"/>
    <x v="11"/>
    <s v="Data Analyst"/>
    <s v="Junior"/>
    <n v="105207"/>
    <n v="377"/>
    <s v="USD"/>
    <s v="Fixed salary"/>
    <x v="3"/>
    <s v="Queensland"/>
    <s v="Brisbane"/>
    <n v="5"/>
    <n v="5"/>
    <x v="3"/>
    <x v="2"/>
    <s v="Danny"/>
    <n v="1"/>
    <n v="105207"/>
    <s v="Normal"/>
  </r>
  <r>
    <x v="4"/>
    <x v="10"/>
    <s v="Accountant"/>
    <s v="Unknown"/>
    <n v="64452"/>
    <n v="1635"/>
    <s v="EUR"/>
    <s v="Unknown"/>
    <x v="1"/>
    <s v="Berlin"/>
    <s v="Berlin"/>
    <n v="8"/>
    <n v="5"/>
    <x v="4"/>
    <x v="2"/>
    <s v="Stephanie"/>
    <n v="1.1000000000000001"/>
    <n v="70897.200000000012"/>
    <s v="Normal"/>
  </r>
  <r>
    <x v="2"/>
    <x v="1"/>
    <s v="Business Analyst"/>
    <s v="On-site"/>
    <n v="72528"/>
    <n v="2900"/>
    <s v="CAD"/>
    <s v="Fixed salary"/>
    <x v="1"/>
    <s v="Bavaria"/>
    <s v="Munich"/>
    <n v="25"/>
    <n v="23"/>
    <x v="4"/>
    <x v="2"/>
    <s v="Crystal"/>
    <n v="0.73"/>
    <n v="52945.440000000002"/>
    <s v="Normal"/>
  </r>
  <r>
    <x v="0"/>
    <x v="4"/>
    <s v="Software Engineer"/>
    <s v="Full-time"/>
    <n v="36128"/>
    <n v="2710"/>
    <s v="EUR"/>
    <s v="Fixed salary"/>
    <x v="5"/>
    <s v="Maharashtra"/>
    <s v="Mumbai"/>
    <n v="10"/>
    <n v="9"/>
    <x v="4"/>
    <x v="1"/>
    <s v="Kavya"/>
    <n v="1.1000000000000001"/>
    <n v="39740.800000000003"/>
    <s v="Normal"/>
  </r>
  <r>
    <x v="4"/>
    <x v="3"/>
    <s v="Sales Executive"/>
    <s v="Junior"/>
    <n v="908182"/>
    <n v="6165"/>
    <s v="INR"/>
    <s v="Contract"/>
    <x v="8"/>
    <s v="Dubai"/>
    <s v="Dubai"/>
    <n v="18"/>
    <n v="15"/>
    <x v="4"/>
    <x v="2"/>
    <s v="Christopher"/>
    <n v="1.2E-2"/>
    <n v="10898.184000000001"/>
    <s v="Normal"/>
  </r>
  <r>
    <x v="1"/>
    <x v="6"/>
    <s v="Data Scientist"/>
    <s v="Contract"/>
    <n v="74937"/>
    <n v="10896"/>
    <s v="GBP"/>
    <s v="Contract"/>
    <x v="5"/>
    <s v="Karnataka"/>
    <s v="Mysore"/>
    <n v="0"/>
    <n v="0"/>
    <x v="1"/>
    <x v="1"/>
    <s v="Kaitlyn"/>
    <n v="1.25"/>
    <n v="93671.25"/>
    <s v="Normal"/>
  </r>
  <r>
    <x v="3"/>
    <x v="0"/>
    <s v="HR Manager"/>
    <s v="Contract"/>
    <n v="129349"/>
    <n v="0"/>
    <s v="CAD"/>
    <s v="Contract"/>
    <x v="1"/>
    <s v="Bavaria"/>
    <s v="Munich"/>
    <n v="2"/>
    <n v="2"/>
    <x v="4"/>
    <x v="1"/>
    <s v="Priya"/>
    <n v="0.73"/>
    <n v="94424.77"/>
    <s v="Normal"/>
  </r>
  <r>
    <x v="3"/>
    <x v="5"/>
    <s v="Professor"/>
    <s v="Contract"/>
    <n v="78693"/>
    <n v="0"/>
    <s v="EUR"/>
    <s v="Fixed salary"/>
    <x v="9"/>
    <s v="Northern Ireland"/>
    <s v="Belfast"/>
    <n v="4"/>
    <n v="4"/>
    <x v="3"/>
    <x v="3"/>
    <s v="Sergio"/>
    <n v="1.1000000000000001"/>
    <n v="86562.3"/>
    <s v="Normal"/>
  </r>
  <r>
    <x v="2"/>
    <x v="2"/>
    <s v="Software Engineer"/>
    <s v="On-site"/>
    <n v="60029"/>
    <n v="4970"/>
    <s v="AUD"/>
    <s v="Hourly"/>
    <x v="8"/>
    <s v="Abu Dhabi"/>
    <s v="Abu Dhabi"/>
    <n v="6"/>
    <n v="6"/>
    <x v="4"/>
    <x v="1"/>
    <s v="Liam"/>
    <n v="0.65"/>
    <n v="39018.85"/>
    <s v="Normal"/>
  </r>
  <r>
    <x v="2"/>
    <x v="8"/>
    <s v="Accountant"/>
    <s v="Senior"/>
    <n v="42338"/>
    <n v="5166"/>
    <s v="GBP"/>
    <s v="Unknown"/>
    <x v="0"/>
    <s v="South Holland"/>
    <s v="Rotterdam"/>
    <n v="4"/>
    <n v="4"/>
    <x v="0"/>
    <x v="3"/>
    <s v="Tina"/>
    <n v="1.25"/>
    <n v="52922.5"/>
    <s v="Normal"/>
  </r>
  <r>
    <x v="4"/>
    <x v="9"/>
    <s v="Developer"/>
    <s v="Junior"/>
    <n v="143664"/>
    <n v="13651"/>
    <s v="CAD"/>
    <s v="Contract"/>
    <x v="9"/>
    <s v="Scotland"/>
    <s v="Edinburgh"/>
    <n v="15"/>
    <n v="14"/>
    <x v="0"/>
    <x v="3"/>
    <s v="Alex"/>
    <n v="0.73"/>
    <n v="104874.72"/>
    <s v="Normal"/>
  </r>
  <r>
    <x v="3"/>
    <x v="0"/>
    <s v="Nurse"/>
    <s v="Remote"/>
    <n v="58226"/>
    <n v="5271"/>
    <s v="GBP"/>
    <s v="Fixed salary"/>
    <x v="8"/>
    <s v="Dubai"/>
    <s v="Dubai"/>
    <n v="1"/>
    <n v="1"/>
    <x v="4"/>
    <x v="3"/>
    <s v="ijphn"/>
    <n v="1.25"/>
    <n v="72782.5"/>
    <s v="Normal"/>
  </r>
  <r>
    <x v="3"/>
    <x v="6"/>
    <s v="Data Analyst"/>
    <s v="Contract"/>
    <n v="122540"/>
    <n v="11647"/>
    <s v="USD"/>
    <s v="Contract"/>
    <x v="0"/>
    <s v="South Holland"/>
    <s v="Rotterdam"/>
    <n v="7"/>
    <n v="4"/>
    <x v="4"/>
    <x v="2"/>
    <s v="Sarah"/>
    <n v="1"/>
    <n v="122540"/>
    <s v="Normal"/>
  </r>
  <r>
    <x v="3"/>
    <x v="4"/>
    <s v="Data Scientist"/>
    <s v="Lead"/>
    <n v="320848"/>
    <n v="0"/>
    <s v="INR"/>
    <s v="Commission-based"/>
    <x v="9"/>
    <s v="Scotland"/>
    <s v="Edinburgh"/>
    <n v="3"/>
    <n v="3"/>
    <x v="0"/>
    <x v="2"/>
    <s v="Alex"/>
    <n v="1.2E-2"/>
    <n v="3850.1759999999999"/>
    <s v="Normal"/>
  </r>
  <r>
    <x v="2"/>
    <x v="4"/>
    <s v="QA Engineer"/>
    <s v="Intern"/>
    <n v="35759"/>
    <n v="1310"/>
    <s v="GBP"/>
    <s v="Contract"/>
    <x v="4"/>
    <s v="Quebec"/>
    <s v="Montreal"/>
    <n v="12"/>
    <n v="12"/>
    <x v="1"/>
    <x v="2"/>
    <s v="Liam"/>
    <n v="1.25"/>
    <n v="44698.75"/>
    <s v="Normal"/>
  </r>
  <r>
    <x v="3"/>
    <x v="8"/>
    <s v="Accountant"/>
    <s v="Part-time"/>
    <n v="90971"/>
    <n v="8786"/>
    <s v="AUD"/>
    <s v="Fixed salary"/>
    <x v="2"/>
    <s v="Central Region"/>
    <s v="Singapore"/>
    <n v="1"/>
    <n v="1"/>
    <x v="2"/>
    <x v="2"/>
    <s v="Emma"/>
    <n v="0.65"/>
    <n v="59131.15"/>
    <s v="Normal"/>
  </r>
  <r>
    <x v="2"/>
    <x v="3"/>
    <s v="Data Analyst"/>
    <s v="Contract"/>
    <n v="89511"/>
    <n v="6353"/>
    <s v="AUD"/>
    <s v="Hourly"/>
    <x v="7"/>
    <s v="Île-de-France"/>
    <s v="Paris"/>
    <n v="8"/>
    <n v="7"/>
    <x v="0"/>
    <x v="1"/>
    <s v="Dorothy"/>
    <n v="0.65"/>
    <n v="58182.15"/>
    <s v="Normal"/>
  </r>
  <r>
    <x v="0"/>
    <x v="5"/>
    <s v="HR Manager"/>
    <s v="Senior"/>
    <n v="676331"/>
    <n v="62542"/>
    <s v="INR"/>
    <s v="Hourly"/>
    <x v="9"/>
    <s v="Scotland"/>
    <s v="Edinburgh"/>
    <n v="25"/>
    <n v="23"/>
    <x v="3"/>
    <x v="1"/>
    <s v="Arjun"/>
    <n v="1.2E-2"/>
    <n v="8115.9719999999998"/>
    <s v="Normal"/>
  </r>
  <r>
    <x v="3"/>
    <x v="11"/>
    <s v="Data Analyst"/>
    <s v="Senior"/>
    <n v="118330"/>
    <n v="2224"/>
    <s v="CAD"/>
    <s v="Unknown"/>
    <x v="4"/>
    <s v="British Columbia"/>
    <s v="Vancouver"/>
    <n v="5"/>
    <n v="5"/>
    <x v="4"/>
    <x v="0"/>
    <s v="Amanda"/>
    <n v="0.73"/>
    <n v="86380.9"/>
    <s v="Normal"/>
  </r>
  <r>
    <x v="2"/>
    <x v="3"/>
    <s v="Professor"/>
    <s v="Contract"/>
    <n v="1391977"/>
    <n v="0"/>
    <s v="INR"/>
    <s v="Unknown"/>
    <x v="0"/>
    <s v="North Holland"/>
    <s v="Amsterdam"/>
    <n v="5"/>
    <n v="4"/>
    <x v="3"/>
    <x v="1"/>
    <s v="Priya"/>
    <n v="1.2E-2"/>
    <n v="16703.724000000002"/>
    <s v="Normal"/>
  </r>
  <r>
    <x v="4"/>
    <x v="6"/>
    <s v="QA Engineer"/>
    <s v="Remote"/>
    <n v="597222"/>
    <n v="33818"/>
    <s v="INR"/>
    <s v="Unknown"/>
    <x v="2"/>
    <s v="Central Region"/>
    <s v="Singapore"/>
    <n v="18"/>
    <n v="15"/>
    <x v="5"/>
    <x v="3"/>
    <s v="James"/>
    <n v="1.2E-2"/>
    <n v="7166.6639999999998"/>
    <s v="Normal"/>
  </r>
  <r>
    <x v="4"/>
    <x v="9"/>
    <s v="S/W Engineer"/>
    <s v="Senior"/>
    <n v="134373"/>
    <n v="19198"/>
    <s v="CAD"/>
    <s v="Hourly"/>
    <x v="8"/>
    <s v="Abu Dhabi"/>
    <s v="Abu Dhabi"/>
    <n v="9"/>
    <n v="7"/>
    <x v="0"/>
    <x v="0"/>
    <s v="Sara"/>
    <n v="0.73"/>
    <n v="98092.29"/>
    <s v="Normal"/>
  </r>
  <r>
    <x v="0"/>
    <x v="3"/>
    <s v="Nurse"/>
    <s v="Lead"/>
    <n v="86412"/>
    <n v="0"/>
    <s v="EUR"/>
    <s v="Commission-based"/>
    <x v="0"/>
    <s v="South Holland"/>
    <s v="Rotterdam"/>
    <n v="15"/>
    <n v="14"/>
    <x v="1"/>
    <x v="0"/>
    <s v="Arjun"/>
    <n v="1.1000000000000001"/>
    <n v="95053.200000000012"/>
    <s v="Normal"/>
  </r>
  <r>
    <x v="4"/>
    <x v="0"/>
    <s v="Professor"/>
    <s v="Contract"/>
    <n v="581256"/>
    <n v="73215"/>
    <s v="INR"/>
    <s v="Commission-based"/>
    <x v="8"/>
    <s v="Dubai"/>
    <s v="Dubai"/>
    <n v="15"/>
    <n v="15"/>
    <x v="2"/>
    <x v="2"/>
    <s v="Seth"/>
    <n v="1.2E-2"/>
    <n v="6975.0720000000001"/>
    <s v="Normal"/>
  </r>
  <r>
    <x v="2"/>
    <x v="11"/>
    <s v="Professor"/>
    <s v="Intern"/>
    <n v="33480"/>
    <n v="747"/>
    <s v="CAD"/>
    <s v="Contract"/>
    <x v="5"/>
    <s v="Tamil Nadu"/>
    <s v="Coimbatore"/>
    <n v="4"/>
    <n v="4"/>
    <x v="2"/>
    <x v="2"/>
    <s v="Gabriel"/>
    <n v="0.73"/>
    <n v="24440.399999999998"/>
    <s v="Normal"/>
  </r>
  <r>
    <x v="0"/>
    <x v="3"/>
    <s v="Developer"/>
    <s v="Part-time"/>
    <n v="582630"/>
    <n v="79453"/>
    <s v="INR"/>
    <s v="Contract"/>
    <x v="7"/>
    <s v="Île-de-France"/>
    <s v="Paris"/>
    <n v="15"/>
    <n v="15"/>
    <x v="3"/>
    <x v="1"/>
    <s v="ijphn"/>
    <n v="1.2E-2"/>
    <n v="6991.56"/>
    <s v="Normal"/>
  </r>
  <r>
    <x v="2"/>
    <x v="3"/>
    <s v="Nurse"/>
    <s v="Part-time"/>
    <n v="56051"/>
    <n v="2761"/>
    <s v="CAD"/>
    <s v="Fixed salary"/>
    <x v="0"/>
    <s v="North Holland"/>
    <s v="Amsterdam"/>
    <n v="5"/>
    <n v="5"/>
    <x v="3"/>
    <x v="0"/>
    <s v="Sharon"/>
    <n v="0.73"/>
    <n v="40917.229999999996"/>
    <s v="Normal"/>
  </r>
  <r>
    <x v="4"/>
    <x v="1"/>
    <s v="DevOps Engineer"/>
    <s v="Senior"/>
    <n v="77962"/>
    <n v="9902"/>
    <s v="AUD"/>
    <s v="Fixed salary"/>
    <x v="7"/>
    <s v="Provence-Alpes-Côte d'Azur"/>
    <s v="Nice"/>
    <n v="12"/>
    <n v="12"/>
    <x v="4"/>
    <x v="1"/>
    <s v="Olivia"/>
    <n v="0.65"/>
    <n v="50675.3"/>
    <s v="Normal"/>
  </r>
  <r>
    <x v="3"/>
    <x v="8"/>
    <s v="Professor"/>
    <s v="Intern"/>
    <n v="148045"/>
    <n v="3358"/>
    <s v="USD"/>
    <s v="Unknown"/>
    <x v="2"/>
    <s v="Central Region"/>
    <s v="Singapore"/>
    <n v="6"/>
    <n v="5"/>
    <x v="4"/>
    <x v="0"/>
    <s v="Sara"/>
    <n v="1"/>
    <n v="148045"/>
    <s v="Normal"/>
  </r>
  <r>
    <x v="3"/>
    <x v="11"/>
    <s v="Professor"/>
    <s v="On-site"/>
    <n v="89862"/>
    <n v="0"/>
    <s v="CAD"/>
    <s v="Hourly"/>
    <x v="9"/>
    <s v="Wales"/>
    <s v="Cardiff"/>
    <n v="4"/>
    <n v="4"/>
    <x v="1"/>
    <x v="3"/>
    <s v="Nichole"/>
    <n v="0.73"/>
    <n v="65599.259999999995"/>
    <s v="Normal"/>
  </r>
  <r>
    <x v="0"/>
    <x v="11"/>
    <s v="Teacher"/>
    <s v="Junior"/>
    <n v="48390"/>
    <n v="5062"/>
    <s v="GBP"/>
    <s v="Commission-based"/>
    <x v="0"/>
    <s v="South Holland"/>
    <s v="Rotterdam"/>
    <n v="10"/>
    <n v="10"/>
    <x v="4"/>
    <x v="3"/>
    <s v="Raj"/>
    <n v="1.25"/>
    <n v="60487.5"/>
    <s v="Normal"/>
  </r>
  <r>
    <x v="2"/>
    <x v="3"/>
    <s v="Doctor"/>
    <s v="Unknown"/>
    <n v="89510"/>
    <n v="14596"/>
    <s v="USD"/>
    <s v="Hourly"/>
    <x v="1"/>
    <s v="Berlin"/>
    <s v="Berlin"/>
    <n v="4"/>
    <n v="4"/>
    <x v="0"/>
    <x v="3"/>
    <s v="Megan"/>
    <n v="1"/>
    <n v="89510"/>
    <s v="Normal"/>
  </r>
  <r>
    <x v="0"/>
    <x v="6"/>
    <s v="Doctor"/>
    <s v="Intern"/>
    <n v="60541"/>
    <n v="0"/>
    <s v="EUR"/>
    <s v="Fixed salary"/>
    <x v="2"/>
    <s v="Central Region"/>
    <s v="Singapore"/>
    <n v="9"/>
    <n v="6"/>
    <x v="3"/>
    <x v="3"/>
    <s v="Olivia"/>
    <n v="1.1000000000000001"/>
    <n v="66595.100000000006"/>
    <s v="Normal"/>
  </r>
  <r>
    <x v="3"/>
    <x v="3"/>
    <s v="Data Scientist"/>
    <s v="Part-time"/>
    <n v="83425"/>
    <n v="14780"/>
    <s v="GBP"/>
    <s v="Fixed salary"/>
    <x v="7"/>
    <s v="Provence-Alpes-Côte d'Azur"/>
    <s v="Nice"/>
    <n v="3"/>
    <n v="0"/>
    <x v="5"/>
    <x v="0"/>
    <s v="Noah"/>
    <n v="1.25"/>
    <n v="104281.25"/>
    <s v="Normal"/>
  </r>
  <r>
    <x v="3"/>
    <x v="1"/>
    <s v="System Administrator"/>
    <s v="Contract"/>
    <n v="128969"/>
    <n v="0"/>
    <s v="AUD"/>
    <s v="Fixed salary"/>
    <x v="3"/>
    <s v="Queensland"/>
    <s v="Brisbane"/>
    <n v="4"/>
    <n v="4"/>
    <x v="5"/>
    <x v="1"/>
    <s v="Caleb"/>
    <n v="0.65"/>
    <n v="83829.850000000006"/>
    <s v="Normal"/>
  </r>
  <r>
    <x v="0"/>
    <x v="3"/>
    <s v="Data Scientist"/>
    <s v="Full-time"/>
    <n v="64318"/>
    <n v="11576"/>
    <s v="CAD"/>
    <s v="Commission-based"/>
    <x v="7"/>
    <s v="Île-de-France"/>
    <s v="Paris"/>
    <n v="10"/>
    <n v="10"/>
    <x v="0"/>
    <x v="1"/>
    <s v="Mary"/>
    <n v="0.73"/>
    <n v="46952.14"/>
    <s v="Normal"/>
  </r>
  <r>
    <x v="4"/>
    <x v="3"/>
    <s v="Product Manager"/>
    <s v="Junior"/>
    <n v="126141"/>
    <n v="6696"/>
    <s v="CAD"/>
    <s v="Unknown"/>
    <x v="1"/>
    <s v="Hesse"/>
    <s v="Frankfurt"/>
    <n v="8"/>
    <n v="8"/>
    <x v="0"/>
    <x v="0"/>
    <s v="Joseph"/>
    <n v="0.73"/>
    <n v="92082.93"/>
    <s v="Normal"/>
  </r>
  <r>
    <x v="4"/>
    <x v="4"/>
    <s v="Product Manager"/>
    <s v="Junior"/>
    <n v="136585"/>
    <n v="24949"/>
    <s v="CAD"/>
    <s v="Unknown"/>
    <x v="5"/>
    <s v="Tamil Nadu"/>
    <s v="Coimbatore"/>
    <n v="18"/>
    <n v="18"/>
    <x v="2"/>
    <x v="0"/>
    <s v="Raj"/>
    <n v="0.73"/>
    <n v="99707.05"/>
    <s v="Normal"/>
  </r>
  <r>
    <x v="3"/>
    <x v="3"/>
    <s v="Accountant"/>
    <s v="Lead"/>
    <n v="108238"/>
    <n v="3879"/>
    <s v="GBP"/>
    <s v="Hourly"/>
    <x v="8"/>
    <s v="Dubai"/>
    <s v="Dubai"/>
    <n v="3"/>
    <n v="2"/>
    <x v="1"/>
    <x v="3"/>
    <s v="Patrick"/>
    <n v="1.25"/>
    <n v="135297.5"/>
    <s v="Normal"/>
  </r>
  <r>
    <x v="2"/>
    <x v="11"/>
    <s v="DevOps Engineer"/>
    <s v="Intern"/>
    <n v="71087"/>
    <n v="0"/>
    <s v="GBP"/>
    <s v="Hourly"/>
    <x v="5"/>
    <s v="Maharashtra"/>
    <s v="Pune"/>
    <n v="8"/>
    <n v="6"/>
    <x v="1"/>
    <x v="1"/>
    <s v="Deborah"/>
    <n v="1.25"/>
    <n v="88858.75"/>
    <s v="Normal"/>
  </r>
  <r>
    <x v="2"/>
    <x v="11"/>
    <s v="Sales Executive"/>
    <s v="On-site"/>
    <n v="87222"/>
    <n v="425"/>
    <s v="AUD"/>
    <s v="Fixed salary"/>
    <x v="0"/>
    <s v="South Holland"/>
    <s v="Rotterdam"/>
    <n v="20"/>
    <n v="19"/>
    <x v="1"/>
    <x v="2"/>
    <s v="Liam"/>
    <n v="0.65"/>
    <n v="56694.3"/>
    <s v="Normal"/>
  </r>
  <r>
    <x v="4"/>
    <x v="10"/>
    <s v="Product Manager"/>
    <s v="Full-time"/>
    <n v="74718"/>
    <n v="14711"/>
    <s v="AUD"/>
    <s v="Commission-based"/>
    <x v="4"/>
    <s v="Quebec"/>
    <s v="Montreal"/>
    <n v="20"/>
    <n v="20"/>
    <x v="3"/>
    <x v="2"/>
    <s v="Sara"/>
    <n v="0.65"/>
    <n v="48566.700000000004"/>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97205A-7291-415A-9558-AD37D8CE4102}"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P13:Q20" firstHeaderRow="1" firstDataRow="1" firstDataCol="1"/>
  <pivotFields count="19">
    <pivotField compact="0" outline="0" showAll="0">
      <items count="6">
        <item x="1"/>
        <item x="3"/>
        <item x="2"/>
        <item x="4"/>
        <item x="0"/>
        <item t="default"/>
      </items>
    </pivotField>
    <pivotField compact="0" outline="0" showAll="0">
      <items count="13">
        <item x="8"/>
        <item x="11"/>
        <item x="6"/>
        <item x="2"/>
        <item x="9"/>
        <item x="4"/>
        <item x="0"/>
        <item x="3"/>
        <item x="5"/>
        <item x="1"/>
        <item x="10"/>
        <item x="7"/>
        <item t="default"/>
      </items>
    </pivotField>
    <pivotField compact="0" outline="0" showAll="0"/>
    <pivotField compact="0" outline="0" showAll="0"/>
    <pivotField compact="0" numFmtId="2" outline="0" showAll="0"/>
    <pivotField compact="0" numFmtId="2"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7">
        <item x="2"/>
        <item x="3"/>
        <item x="5"/>
        <item x="4"/>
        <item x="1"/>
        <item x="0"/>
        <item t="default"/>
      </items>
    </pivotField>
    <pivotField compact="0" outline="0" showAll="0">
      <items count="6">
        <item x="1"/>
        <item x="3"/>
        <item x="0"/>
        <item x="4"/>
        <item x="2"/>
        <item t="default"/>
      </items>
    </pivotField>
    <pivotField compact="0" outline="0" showAll="0"/>
    <pivotField compact="0" outline="0" showAll="0"/>
    <pivotField compact="0" outline="0" showAll="0"/>
    <pivotField compact="0" outline="0" showAll="0"/>
  </pivotFields>
  <rowFields count="1">
    <field x="13"/>
  </rowFields>
  <rowItems count="7">
    <i>
      <x/>
    </i>
    <i>
      <x v="1"/>
    </i>
    <i>
      <x v="2"/>
    </i>
    <i>
      <x v="3"/>
    </i>
    <i>
      <x v="4"/>
    </i>
    <i>
      <x v="5"/>
    </i>
    <i t="grand">
      <x/>
    </i>
  </rowItems>
  <colItems count="1">
    <i/>
  </colItems>
  <dataFields count="1">
    <dataField name="Average of Years of Professional Experience Overall" fld="11" subtotal="average"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22A643-AA5C-4966-A6A1-37359261D12B}"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O3:P10" firstHeaderRow="1" firstDataRow="1" firstDataCol="1"/>
  <pivotFields count="19">
    <pivotField compact="0" outline="0" showAll="0">
      <items count="6">
        <item x="1"/>
        <item x="3"/>
        <item x="2"/>
        <item x="4"/>
        <item x="0"/>
        <item t="default"/>
      </items>
    </pivotField>
    <pivotField compact="0" outline="0" showAll="0">
      <items count="13">
        <item x="8"/>
        <item x="11"/>
        <item x="6"/>
        <item x="2"/>
        <item x="9"/>
        <item x="4"/>
        <item x="0"/>
        <item x="3"/>
        <item x="5"/>
        <item x="1"/>
        <item x="10"/>
        <item x="7"/>
        <item t="default"/>
      </items>
    </pivotField>
    <pivotField compact="0" outline="0" showAll="0"/>
    <pivotField compact="0" outline="0" showAll="0"/>
    <pivotField compact="0" numFmtId="2"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2"/>
        <item x="3"/>
        <item x="5"/>
        <item x="4"/>
        <item x="1"/>
        <item x="0"/>
        <item t="default"/>
      </items>
    </pivotField>
    <pivotField compact="0" outline="0" showAll="0">
      <items count="6">
        <item x="1"/>
        <item x="3"/>
        <item x="0"/>
        <item x="4"/>
        <item x="2"/>
        <item t="default"/>
      </items>
    </pivotField>
    <pivotField compact="0" outline="0" showAll="0"/>
    <pivotField compact="0" outline="0" showAll="0"/>
    <pivotField dataField="1" compact="0" outline="0" showAll="0"/>
    <pivotField compact="0" outline="0" showAll="0"/>
  </pivotFields>
  <rowFields count="1">
    <field x="13"/>
  </rowFields>
  <rowItems count="7">
    <i>
      <x/>
    </i>
    <i>
      <x v="1"/>
    </i>
    <i>
      <x v="2"/>
    </i>
    <i>
      <x v="3"/>
    </i>
    <i>
      <x v="4"/>
    </i>
    <i>
      <x v="5"/>
    </i>
    <i t="grand">
      <x/>
    </i>
  </rowItems>
  <colItems count="1">
    <i/>
  </colItems>
  <dataFields count="1">
    <dataField name="Average of Salary_USD" fld="17" subtotal="average" baseField="1" baseItem="0"/>
  </dataField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0F6FDC-7361-4E0C-8E03-3552F5BBC7C5}"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K3:M16" firstHeaderRow="1" firstDataRow="1" firstDataCol="2"/>
  <pivotFields count="19">
    <pivotField compact="0" outline="0" showAll="0">
      <items count="6">
        <item x="1"/>
        <item x="3"/>
        <item x="2"/>
        <item x="4"/>
        <item x="0"/>
        <item t="default"/>
      </items>
    </pivotField>
    <pivotField axis="axisRow" compact="0" outline="0" showAll="0">
      <items count="13">
        <item sd="0" x="8"/>
        <item sd="0" x="11"/>
        <item sd="0" x="6"/>
        <item sd="0" x="2"/>
        <item sd="0" x="9"/>
        <item sd="0" x="4"/>
        <item sd="0" x="0"/>
        <item sd="0" x="3"/>
        <item sd="0" x="5"/>
        <item sd="0" x="1"/>
        <item sd="0" x="10"/>
        <item sd="0" x="7"/>
        <item t="default" sd="0"/>
      </items>
    </pivotField>
    <pivotField compact="0" outline="0" showAll="0"/>
    <pivotField compact="0" outline="0" showAll="0"/>
    <pivotField compact="0" numFmtId="2"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1"/>
        <item x="3"/>
        <item x="0"/>
        <item x="4"/>
        <item x="2"/>
        <item t="default"/>
      </items>
    </pivotField>
    <pivotField compact="0" outline="0" showAll="0"/>
    <pivotField compact="0" outline="0" showAll="0"/>
    <pivotField dataField="1" compact="0" outline="0" showAll="0"/>
    <pivotField compact="0" outline="0" showAll="0"/>
  </pivotFields>
  <rowFields count="2">
    <field x="1"/>
    <field x="14"/>
  </rowFields>
  <rowItems count="13">
    <i>
      <x/>
    </i>
    <i>
      <x v="1"/>
    </i>
    <i>
      <x v="2"/>
    </i>
    <i>
      <x v="3"/>
    </i>
    <i>
      <x v="4"/>
    </i>
    <i>
      <x v="5"/>
    </i>
    <i>
      <x v="6"/>
    </i>
    <i>
      <x v="7"/>
    </i>
    <i>
      <x v="8"/>
    </i>
    <i>
      <x v="9"/>
    </i>
    <i>
      <x v="10"/>
    </i>
    <i>
      <x v="11"/>
    </i>
    <i t="grand">
      <x/>
    </i>
  </rowItems>
  <colItems count="1">
    <i/>
  </colItems>
  <dataFields count="1">
    <dataField name="Sum of Salary_USD" fld="17"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D77823-750C-4727-ACD4-2A1C9DABA59E}"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G3:H9" firstHeaderRow="1" firstDataRow="1" firstDataCol="1"/>
  <pivotFields count="19">
    <pivotField compact="0" outline="0" showAll="0">
      <items count="6">
        <item x="1"/>
        <item x="3"/>
        <item x="2"/>
        <item x="4"/>
        <item x="0"/>
        <item t="default"/>
      </items>
    </pivotField>
    <pivotField compact="0" outline="0" showAll="0">
      <items count="13">
        <item x="8"/>
        <item x="11"/>
        <item x="6"/>
        <item x="2"/>
        <item x="9"/>
        <item x="4"/>
        <item x="0"/>
        <item x="3"/>
        <item x="5"/>
        <item x="1"/>
        <item x="10"/>
        <item x="7"/>
        <item t="default"/>
      </items>
    </pivotField>
    <pivotField compact="0" outline="0" showAll="0"/>
    <pivotField compact="0" outline="0" showAll="0"/>
    <pivotField compact="0" numFmtId="2"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1"/>
        <item x="3"/>
        <item x="0"/>
        <item x="4"/>
        <item x="2"/>
        <item t="default"/>
      </items>
    </pivotField>
    <pivotField compact="0" outline="0" showAll="0"/>
    <pivotField compact="0" outline="0" showAll="0"/>
    <pivotField dataField="1" compact="0" outline="0" showAll="0"/>
    <pivotField compact="0" outline="0" showAll="0"/>
  </pivotFields>
  <rowFields count="1">
    <field x="14"/>
  </rowFields>
  <rowItems count="6">
    <i>
      <x/>
    </i>
    <i>
      <x v="1"/>
    </i>
    <i>
      <x v="2"/>
    </i>
    <i>
      <x v="3"/>
    </i>
    <i>
      <x v="4"/>
    </i>
    <i t="grand">
      <x/>
    </i>
  </rowItems>
  <colItems count="1">
    <i/>
  </colItems>
  <dataFields count="1">
    <dataField name="Average of Salary_USD" fld="17" subtotal="average" baseField="1" baseItem="0"/>
  </dataFields>
  <chartFormats count="7">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4" count="1" selected="0">
            <x v="0"/>
          </reference>
        </references>
      </pivotArea>
    </chartFormat>
    <chartFormat chart="3" format="9">
      <pivotArea type="data" outline="0" fieldPosition="0">
        <references count="2">
          <reference field="4294967294" count="1" selected="0">
            <x v="0"/>
          </reference>
          <reference field="14" count="1" selected="0">
            <x v="1"/>
          </reference>
        </references>
      </pivotArea>
    </chartFormat>
    <chartFormat chart="3" format="10">
      <pivotArea type="data" outline="0" fieldPosition="0">
        <references count="2">
          <reference field="4294967294" count="1" selected="0">
            <x v="0"/>
          </reference>
          <reference field="14" count="1" selected="0">
            <x v="2"/>
          </reference>
        </references>
      </pivotArea>
    </chartFormat>
    <chartFormat chart="3" format="11">
      <pivotArea type="data" outline="0" fieldPosition="0">
        <references count="2">
          <reference field="4294967294" count="1" selected="0">
            <x v="0"/>
          </reference>
          <reference field="14" count="1" selected="0">
            <x v="3"/>
          </reference>
        </references>
      </pivotArea>
    </chartFormat>
    <chartFormat chart="3" format="12">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7665E3-36A1-4024-AC67-D7AA4385E1D8}"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D3:E14" firstHeaderRow="1" firstDataRow="1" firstDataCol="1"/>
  <pivotFields count="19">
    <pivotField compact="0" outline="0" showAll="0">
      <items count="6">
        <item x="1"/>
        <item x="3"/>
        <item x="2"/>
        <item x="4"/>
        <item x="0"/>
        <item t="default"/>
      </items>
    </pivotField>
    <pivotField compact="0" outline="0" showAll="0">
      <items count="13">
        <item x="8"/>
        <item x="11"/>
        <item x="6"/>
        <item x="2"/>
        <item x="9"/>
        <item x="4"/>
        <item x="0"/>
        <item x="3"/>
        <item x="5"/>
        <item x="1"/>
        <item x="10"/>
        <item x="7"/>
        <item t="default"/>
      </items>
    </pivotField>
    <pivotField compact="0" outline="0" showAll="0"/>
    <pivotField compact="0" outline="0" showAll="0"/>
    <pivotField compact="0" numFmtId="2" outline="0" showAll="0"/>
    <pivotField compact="0" numFmtId="2" outline="0" showAll="0"/>
    <pivotField compact="0" outline="0" showAll="0"/>
    <pivotField compact="0" outline="0" showAll="0"/>
    <pivotField axis="axisRow" compact="0" outline="0" showAll="0">
      <items count="11">
        <item x="3"/>
        <item x="4"/>
        <item x="7"/>
        <item x="1"/>
        <item x="5"/>
        <item x="0"/>
        <item x="2"/>
        <item x="8"/>
        <item x="9"/>
        <item x="6"/>
        <item t="default"/>
      </items>
    </pivotField>
    <pivotField compact="0" outline="0" showAll="0"/>
    <pivotField compact="0" outline="0" showAll="0"/>
    <pivotField compact="0" outline="0" showAll="0"/>
    <pivotField compact="0" outline="0" showAll="0"/>
    <pivotField compact="0" outline="0" showAll="0"/>
    <pivotField compact="0" outline="0" showAll="0">
      <items count="6">
        <item x="1"/>
        <item x="3"/>
        <item x="0"/>
        <item x="4"/>
        <item x="2"/>
        <item t="default"/>
      </items>
    </pivotField>
    <pivotField compact="0" outline="0" showAll="0"/>
    <pivotField compact="0" outline="0" showAll="0"/>
    <pivotField dataField="1" compact="0" outline="0" showAll="0"/>
    <pivotField compact="0" outline="0" showAll="0"/>
  </pivotFields>
  <rowFields count="1">
    <field x="8"/>
  </rowFields>
  <rowItems count="11">
    <i>
      <x/>
    </i>
    <i>
      <x v="1"/>
    </i>
    <i>
      <x v="2"/>
    </i>
    <i>
      <x v="3"/>
    </i>
    <i>
      <x v="4"/>
    </i>
    <i>
      <x v="5"/>
    </i>
    <i>
      <x v="6"/>
    </i>
    <i>
      <x v="7"/>
    </i>
    <i>
      <x v="8"/>
    </i>
    <i>
      <x v="9"/>
    </i>
    <i t="grand">
      <x/>
    </i>
  </rowItems>
  <colItems count="1">
    <i/>
  </colItems>
  <dataFields count="1">
    <dataField name="Average of Salary_USD" fld="17" subtotal="average" baseField="1"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0A8F63-22EB-4C44-954C-A0E45E20BB15}"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3:B16" firstHeaderRow="1" firstDataRow="1" firstDataCol="1"/>
  <pivotFields count="19">
    <pivotField compact="0" outline="0" showAll="0">
      <items count="6">
        <item x="1"/>
        <item x="3"/>
        <item x="2"/>
        <item x="4"/>
        <item x="0"/>
        <item t="default"/>
      </items>
    </pivotField>
    <pivotField axis="axisRow" compact="0" outline="0" showAll="0">
      <items count="13">
        <item x="8"/>
        <item x="11"/>
        <item x="6"/>
        <item x="2"/>
        <item x="9"/>
        <item x="4"/>
        <item x="0"/>
        <item x="3"/>
        <item x="5"/>
        <item x="1"/>
        <item x="10"/>
        <item x="7"/>
        <item t="default"/>
      </items>
    </pivotField>
    <pivotField compact="0" outline="0" showAll="0"/>
    <pivotField compact="0" outline="0" showAll="0"/>
    <pivotField compact="0" numFmtId="2"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1"/>
        <item x="3"/>
        <item x="0"/>
        <item x="4"/>
        <item x="2"/>
        <item t="default"/>
      </items>
    </pivotField>
    <pivotField compact="0" outline="0" showAll="0"/>
    <pivotField compact="0" outline="0" showAll="0"/>
    <pivotField dataField="1" compact="0" outline="0" showAll="0"/>
    <pivotField compact="0" outline="0" showAll="0"/>
  </pivotFields>
  <rowFields count="1">
    <field x="1"/>
  </rowFields>
  <rowItems count="13">
    <i>
      <x/>
    </i>
    <i>
      <x v="1"/>
    </i>
    <i>
      <x v="2"/>
    </i>
    <i>
      <x v="3"/>
    </i>
    <i>
      <x v="4"/>
    </i>
    <i>
      <x v="5"/>
    </i>
    <i>
      <x v="6"/>
    </i>
    <i>
      <x v="7"/>
    </i>
    <i>
      <x v="8"/>
    </i>
    <i>
      <x v="9"/>
    </i>
    <i>
      <x v="10"/>
    </i>
    <i>
      <x v="11"/>
    </i>
    <i t="grand">
      <x/>
    </i>
  </rowItems>
  <colItems count="1">
    <i/>
  </colItems>
  <dataFields count="1">
    <dataField name="Average of Salary_USD" fld="17" subtotal="average"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9" xr16:uid="{355E9346-D2FA-414F-8A8C-71F28721A8D6}" autoFormatId="16" applyNumberFormats="0" applyBorderFormats="0" applyFontFormats="0" applyPatternFormats="0" applyAlignmentFormats="0" applyWidthHeightFormats="0">
  <queryTableRefresh nextId="27" unboundColumnsRight="1">
    <queryTableFields count="19">
      <queryTableField id="1" name="Age Range" tableColumnId="1"/>
      <queryTableField id="2" name="Industry" tableColumnId="2"/>
      <queryTableField id="3" name="Job Title" tableColumnId="3"/>
      <queryTableField id="4" name="Clarification of Job Title" tableColumnId="4"/>
      <queryTableField id="5" name="Annual Salary" tableColumnId="5"/>
      <queryTableField id="6" name="Additional Monetary Compensation" tableColumnId="6"/>
      <queryTableField id="7" name="Currency" tableColumnId="7"/>
      <queryTableField id="8" name="Income Clarification" tableColumnId="8"/>
      <queryTableField id="9" name="Country" tableColumnId="9"/>
      <queryTableField id="10" name="State" tableColumnId="10"/>
      <queryTableField id="11" name="City" tableColumnId="11"/>
      <queryTableField id="12" name="Years of Professional Experience Overall" tableColumnId="12"/>
      <queryTableField id="13" name="Years of Professional Experience in Field" tableColumnId="13"/>
      <queryTableField id="14" name="Highest Level of Education Completed" tableColumnId="14"/>
      <queryTableField id="15" name="Gender" tableColumnId="15"/>
      <queryTableField id="16" name="Name" tableColumnId="16"/>
      <queryTableField id="17" name="Exchange Rate" tableColumnId="17"/>
      <queryTableField id="18" name="Salary_USD" tableColumnId="18"/>
      <queryTableField id="26" dataBound="0"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0" connectionId="11" xr16:uid="{B0E8AFE7-31F6-4F96-AA45-25920B3535CE}" autoFormatId="16" applyNumberFormats="0" applyBorderFormats="0" applyFontFormats="0" applyPatternFormats="0" applyAlignmentFormats="0" applyWidthHeightFormats="0">
  <queryTableRefresh nextId="3">
    <queryTableFields count="2">
      <queryTableField id="1" name="Job Title" tableColumnId="1"/>
      <queryTableField id="2" name="total_salary"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9" connectionId="10" xr16:uid="{E40D146C-D5D3-4C4D-85CB-5E816D163BBC}" autoFormatId="16" applyNumberFormats="0" applyBorderFormats="0" applyFontFormats="0" applyPatternFormats="0" applyAlignmentFormats="0" applyWidthHeightFormats="0">
  <queryTableRefresh nextId="4">
    <queryTableFields count="3">
      <queryTableField id="1" name="Job Title" tableColumnId="1"/>
      <queryTableField id="2" name="Experience" tableColumnId="2"/>
      <queryTableField id="3" name="total_salary"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8" connectionId="8" xr16:uid="{0F3D31E7-383E-4F59-9E4A-D100E8AF5ED3}" autoFormatId="16" applyNumberFormats="0" applyBorderFormats="0" applyFontFormats="0" applyPatternFormats="0" applyAlignmentFormats="0" applyWidthHeightFormats="0">
  <queryTableRefresh nextId="3">
    <queryTableFields count="2">
      <queryTableField id="1" name="gender" tableColumnId="1"/>
      <queryTableField id="2" name="percentage"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7" connectionId="7" xr16:uid="{68992A08-A091-40B1-B804-C2900DEEED46}" autoFormatId="16" applyNumberFormats="0" applyBorderFormats="0" applyFontFormats="0" applyPatternFormats="0" applyAlignmentFormats="0" applyWidthHeightFormats="0">
  <queryTableRefresh nextId="5">
    <queryTableFields count="4">
      <queryTableField id="1" name="Education_level" tableColumnId="1"/>
      <queryTableField id="2" name="average_salary" tableColumnId="2"/>
      <queryTableField id="3" name="minimum_salary" tableColumnId="3"/>
      <queryTableField id="4" name="maximum_salary"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connectionId="6" xr16:uid="{6A202090-C4F8-4331-ACC7-5E58E7BB9320}" autoFormatId="16" applyNumberFormats="0" applyBorderFormats="0" applyFontFormats="0" applyPatternFormats="0" applyAlignmentFormats="0" applyWidthHeightFormats="0">
  <queryTableRefresh nextId="4">
    <queryTableFields count="3">
      <queryTableField id="1" name="Age Range" tableColumnId="1"/>
      <queryTableField id="2" name="Gender" tableColumnId="2"/>
      <queryTableField id="3" name="median_salary"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5" connectionId="5" xr16:uid="{0E6B10C5-D320-40B3-89C8-C4BE0BA98B3E}" autoFormatId="16" applyNumberFormats="0" applyBorderFormats="0" applyFontFormats="0" applyPatternFormats="0" applyAlignmentFormats="0" applyWidthHeightFormats="0">
  <queryTableRefresh nextId="4">
    <queryTableFields count="3">
      <queryTableField id="1" name="Country" tableColumnId="1"/>
      <queryTableField id="2" name="Job Title" tableColumnId="2"/>
      <queryTableField id="3" name="Salary_USD"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4" connectionId="4" xr16:uid="{90F42F00-8BA4-4B89-945A-8D54F4DED5EE}" autoFormatId="16" applyNumberFormats="0" applyBorderFormats="0" applyFontFormats="0" applyPatternFormats="0" applyAlignmentFormats="0" applyWidthHeightFormats="0">
  <queryTableRefresh nextId="4">
    <queryTableFields count="3">
      <queryTableField id="1" name="Industry" tableColumnId="1"/>
      <queryTableField id="2" name="Experience_Years" tableColumnId="2"/>
      <queryTableField id="3" name="Employee_Count"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3" connectionId="3" xr16:uid="{21D90369-E607-4A68-9D1A-A46F3AC76304}" autoFormatId="16" applyNumberFormats="0" applyBorderFormats="0" applyFontFormats="0" applyPatternFormats="0" applyAlignmentFormats="0" applyWidthHeightFormats="0">
  <queryTableRefresh nextId="4">
    <queryTableFields count="3">
      <queryTableField id="1" name="industry" tableColumnId="1"/>
      <queryTableField id="2" name="Gender" tableColumnId="2"/>
      <queryTableField id="3" name="Average_Salary"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 connectionId="2" xr16:uid="{02447691-AE05-411E-B307-A1295F28D72F}" autoFormatId="16" applyNumberFormats="0" applyBorderFormats="0" applyFontFormats="0" applyPatternFormats="0" applyAlignmentFormats="0" applyWidthHeightFormats="0">
  <queryTableRefresh nextId="5">
    <queryTableFields count="4">
      <queryTableField id="1" name="industry" tableColumnId="1"/>
      <queryTableField id="2" name="gender" tableColumnId="2"/>
      <queryTableField id="3" name="Education_level" tableColumnId="3"/>
      <queryTableField id="4" name="Average_Salary" tableColumnId="4"/>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2CB32A-07E4-4144-8E6B-396A17C9F349}" autoFormatId="16" applyNumberFormats="0" applyBorderFormats="0" applyFontFormats="0" applyPatternFormats="0" applyAlignmentFormats="0" applyWidthHeightFormats="0">
  <queryTableRefresh nextId="4">
    <queryTableFields count="3">
      <queryTableField id="1" name="city" tableColumnId="1"/>
      <queryTableField id="2" name="industry" tableColumnId="2"/>
      <queryTableField id="3" name="Average_salary"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F23A0227-BD71-4C0F-AE21-C36C3005A5D2}" sourceName="Age Range">
  <pivotTables>
    <pivotTable tabId="3" name="PivotTable5"/>
    <pivotTable tabId="3" name="PivotTable1"/>
    <pivotTable tabId="3" name="PivotTable2"/>
    <pivotTable tabId="3" name="PivotTable3"/>
    <pivotTable tabId="3" name="PivotTable4"/>
    <pivotTable tabId="3" name="PivotTable7"/>
  </pivotTables>
  <data>
    <tabular pivotCacheId="998676932">
      <items count="5">
        <i x="1" s="1"/>
        <i x="3"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B31B1593-07DE-49F8-9DFB-F43519D443B2}" sourceName="Industry">
  <pivotTables>
    <pivotTable tabId="3" name="PivotTable5"/>
    <pivotTable tabId="3" name="PivotTable1"/>
    <pivotTable tabId="3" name="PivotTable2"/>
    <pivotTable tabId="3" name="PivotTable3"/>
    <pivotTable tabId="3" name="PivotTable4"/>
    <pivotTable tabId="3" name="PivotTable7"/>
  </pivotTables>
  <data>
    <tabular pivotCacheId="998676932">
      <items count="12">
        <i x="8" s="1"/>
        <i x="11" s="1"/>
        <i x="6" s="1"/>
        <i x="2" s="1"/>
        <i x="9" s="1"/>
        <i x="4" s="1"/>
        <i x="0" s="1"/>
        <i x="3" s="1"/>
        <i x="5" s="1"/>
        <i x="1" s="1"/>
        <i x="10"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CA3BD06-A61B-4107-A1B1-1D51EED50471}" sourceName="Gender">
  <pivotTables>
    <pivotTable tabId="3" name="PivotTable5"/>
    <pivotTable tabId="3" name="PivotTable1"/>
    <pivotTable tabId="3" name="PivotTable2"/>
    <pivotTable tabId="3" name="PivotTable3"/>
    <pivotTable tabId="3" name="PivotTable4"/>
    <pivotTable tabId="3" name="PivotTable7"/>
  </pivotTables>
  <data>
    <tabular pivotCacheId="998676932">
      <items count="5">
        <i x="1" s="1"/>
        <i x="3"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Range" xr10:uid="{BF9576E9-AD72-4F95-A598-2D8235725791}" cache="Slicer_Age_Range" caption="Age Range" rowHeight="234950"/>
  <slicer name="Industry" xr10:uid="{266E0EBF-57A0-49A1-A9E6-215B714E11AD}" cache="Slicer_Industry" caption="Industry" rowHeight="234950"/>
  <slicer name="Gender" xr10:uid="{8F3ACEE3-6AC0-4E83-B6C4-C92A20FCF712}"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Range 1" xr10:uid="{BFBED4DC-110C-420F-8B05-77C7B9AB84BC}" cache="Slicer_Age_Range" caption="Age Range" rowHeight="234950"/>
  <slicer name="Industry 1" xr10:uid="{DABDAF9A-B2CC-4FC8-AC1F-436249415428}" cache="Slicer_Industry" caption="Industry" rowHeight="234950"/>
  <slicer name="Gender 1" xr10:uid="{C93549A4-8481-43C1-B05C-F8D3145EBD15}" cache="Slicer_Gender" caption="Gend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C2BC47-DDCD-4C66-8349-03B6FC827795}" name="Sheet1" displayName="Sheet1" ref="A1:S990" tableType="queryTable" totalsRowShown="0">
  <autoFilter ref="A1:S990" xr:uid="{BFC2BC47-DDCD-4C66-8349-03B6FC827795}"/>
  <tableColumns count="19">
    <tableColumn id="1" xr3:uid="{1F796D48-DB0A-4E36-AA2A-44E54CD59AE0}" uniqueName="1" name="Age Range" queryTableFieldId="1"/>
    <tableColumn id="2" xr3:uid="{95594494-9DDD-4346-9BAF-FA60647C47E8}" uniqueName="2" name="Industry" queryTableFieldId="2" dataDxfId="28"/>
    <tableColumn id="3" xr3:uid="{3C5FC26B-7035-4897-A64E-D191F09EB9E1}" uniqueName="3" name="Job Title" queryTableFieldId="3" dataDxfId="27"/>
    <tableColumn id="4" xr3:uid="{40359391-6DDB-4185-91C3-E926A24F682F}" uniqueName="4" name="Clarification of Job Title" queryTableFieldId="4" dataDxfId="26"/>
    <tableColumn id="5" xr3:uid="{906406A0-65CE-4A90-8E3E-009EEA04F247}" uniqueName="5" name="Annual Salary" queryTableFieldId="5" dataDxfId="25"/>
    <tableColumn id="6" xr3:uid="{4479E1AE-EC8B-4BAC-B43A-E6D8D34D0FC3}" uniqueName="6" name="Additional Monetary Compensation" queryTableFieldId="6" dataDxfId="24"/>
    <tableColumn id="7" xr3:uid="{D56AC9CD-9972-4243-988D-19887195DDCA}" uniqueName="7" name="Currency" queryTableFieldId="7" dataDxfId="23"/>
    <tableColumn id="8" xr3:uid="{88AD1B0C-5225-4F2D-B451-70610692955F}" uniqueName="8" name="Income Clarification" queryTableFieldId="8" dataDxfId="22"/>
    <tableColumn id="9" xr3:uid="{0CEAA6FE-3F29-48AE-9CC3-EE0AE71B3FE3}" uniqueName="9" name="Country" queryTableFieldId="9"/>
    <tableColumn id="10" xr3:uid="{F58969E0-263B-4663-9971-464DD2A40B55}" uniqueName="10" name="State" queryTableFieldId="10"/>
    <tableColumn id="11" xr3:uid="{FD46E1AA-1801-4330-9E3B-D2C804548B9B}" uniqueName="11" name="City" queryTableFieldId="11"/>
    <tableColumn id="12" xr3:uid="{9F9B65CA-15B4-4A54-86DF-22242D208A8F}" uniqueName="12" name="Years of Professional Experience Overall" queryTableFieldId="12"/>
    <tableColumn id="13" xr3:uid="{EFD6BC86-1918-4E7D-8A3A-C92B9512A829}" uniqueName="13" name="Years of Professional Experience in Field" queryTableFieldId="13"/>
    <tableColumn id="14" xr3:uid="{FFDB6E49-8A31-444E-8397-E7805689E656}" uniqueName="14" name="Highest Level of Education Completed" queryTableFieldId="14" dataDxfId="21"/>
    <tableColumn id="15" xr3:uid="{C7D23364-4F01-4EA6-B32D-264D1C9515A5}" uniqueName="15" name="Gender" queryTableFieldId="15" dataDxfId="20"/>
    <tableColumn id="16" xr3:uid="{990710A8-8C4A-4D6F-8EB6-E2E8D2B5C293}" uniqueName="16" name="Name" queryTableFieldId="16" dataDxfId="19"/>
    <tableColumn id="17" xr3:uid="{F6988F46-A1B4-4741-891F-F790FC7F8CEF}" uniqueName="17" name="Exchange Rate" queryTableFieldId="17" dataDxfId="18"/>
    <tableColumn id="18" xr3:uid="{FB04D94E-9A7C-48DA-83A3-A013E071F38A}" uniqueName="18" name="Salary_USD" queryTableFieldId="18" dataDxfId="17"/>
    <tableColumn id="26" xr3:uid="{D00D535D-34FD-465C-ADAE-986CD69662A3}" uniqueName="26" name="Ouliers" queryTableFieldId="26" dataDxfId="16">
      <calculatedColumnFormula>IF(OR(Sheet1[[#This Row],[Salary_USD]]&lt;$V$13,Sheet1[[#This Row],[Salary_USD]]&gt;$V$12),"Outlier","Normal")</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F6D5BC9-B4D0-401B-8AE9-5E14E1554508}" name="Total_Salary_By_Job_Title" displayName="Total_Salary_By_Job_Title" ref="A1:B20" tableType="queryTable" totalsRowShown="0">
  <autoFilter ref="A1:B20" xr:uid="{6F6D5BC9-B4D0-401B-8AE9-5E14E1554508}"/>
  <tableColumns count="2">
    <tableColumn id="1" xr3:uid="{62C69AC4-D63D-4F6B-AAD0-F0ECE3CDD230}" uniqueName="1" name="Job Title" queryTableFieldId="1" dataDxfId="15"/>
    <tableColumn id="2" xr3:uid="{B4F9887E-0085-4680-8567-60E1992042B6}" uniqueName="2" name="total_salary" queryTableFieldId="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47B52D4-EA64-419C-B1F7-4EE4A9B83836}" name="Tot_Sal_By_Exp_Job" displayName="Tot_Sal_By_Exp_Job" ref="A1:C371" tableType="queryTable" totalsRowShown="0">
  <autoFilter ref="A1:C371" xr:uid="{747B52D4-EA64-419C-B1F7-4EE4A9B83836}"/>
  <tableColumns count="3">
    <tableColumn id="1" xr3:uid="{96C2D454-BE52-4BB1-9793-B95965B06F59}" uniqueName="1" name="Job Title" queryTableFieldId="1" dataDxfId="14"/>
    <tableColumn id="2" xr3:uid="{F8B0818F-DFAF-404C-978D-CBD42F7E2572}" uniqueName="2" name="Experience" queryTableFieldId="2"/>
    <tableColumn id="3" xr3:uid="{C2A01B93-FCBA-4541-AC2A-12FAD9E275AF}" uniqueName="3" name="total_salary" queryTableFieldId="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BAE029A-4914-4C28-9539-6F4A1E9F4D2D}" name="Percetage_By_Gender" displayName="Percetage_By_Gender" ref="A1:B6" tableType="queryTable" totalsRowShown="0">
  <autoFilter ref="A1:B6" xr:uid="{2BAE029A-4914-4C28-9539-6F4A1E9F4D2D}"/>
  <tableColumns count="2">
    <tableColumn id="1" xr3:uid="{2106939F-3556-42E8-BA8F-031CF96812CD}" uniqueName="1" name="gender" queryTableFieldId="1" dataDxfId="13"/>
    <tableColumn id="2" xr3:uid="{D7F58A33-3EA5-4098-8A06-B134659E10F9}" uniqueName="2" name="percentage" queryTableFieldId="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0DE948-D990-4702-AFA2-D8D9A607097F}" name="Min_Max_Salary_By_Education" displayName="Min_Max_Salary_By_Education" ref="A1:D7" tableType="queryTable" totalsRowShown="0">
  <autoFilter ref="A1:D7" xr:uid="{740DE948-D990-4702-AFA2-D8D9A607097F}"/>
  <tableColumns count="4">
    <tableColumn id="1" xr3:uid="{505B7E33-19B5-4BFC-9125-151B161DE4DA}" uniqueName="1" name="Education_level" queryTableFieldId="1" dataDxfId="12"/>
    <tableColumn id="2" xr3:uid="{1E84347B-8DEF-4C17-8CBE-80E05FABBFFC}" uniqueName="2" name="average_salary" queryTableFieldId="2"/>
    <tableColumn id="3" xr3:uid="{F03ECC59-3E9A-4BF4-8486-1C25F09A3496}" uniqueName="3" name="minimum_salary" queryTableFieldId="3"/>
    <tableColumn id="4" xr3:uid="{4A85B90F-63C5-4E76-9CA0-6421DB569FF7}" uniqueName="4" name="maximum_salary" queryTableFieldId="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BD315E-1BC3-40C2-9BCF-A22241A7F3C2}" name="Mid_Salary_By_Age_Gender" displayName="Mid_Salary_By_Age_Gender" ref="A1:C26" tableType="queryTable" totalsRowShown="0">
  <autoFilter ref="A1:C26" xr:uid="{13BD315E-1BC3-40C2-9BCF-A22241A7F3C2}"/>
  <tableColumns count="3">
    <tableColumn id="1" xr3:uid="{055D076E-840E-49EC-8207-7F9C187F9D07}" uniqueName="1" name="Age Range" queryTableFieldId="1" dataDxfId="11"/>
    <tableColumn id="2" xr3:uid="{FF033D61-876D-4F81-B2A2-8C5388CC7D58}" uniqueName="2" name="Gender" queryTableFieldId="2" dataDxfId="10"/>
    <tableColumn id="3" xr3:uid="{EC6A1C17-63CC-4878-A89C-6E8A88BF3283}" uniqueName="3" name="median_salary" queryTableFieldId="3"/>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650E62-55DB-4D0C-99A4-CF5693BBCF28}" name="Highest_Salary_By_Job_Title" displayName="Highest_Salary_By_Job_Title" ref="A1:C11" tableType="queryTable" totalsRowShown="0">
  <autoFilter ref="A1:C11" xr:uid="{8B650E62-55DB-4D0C-99A4-CF5693BBCF28}"/>
  <tableColumns count="3">
    <tableColumn id="1" xr3:uid="{855F3E88-C319-4F8D-9E62-47C938453567}" uniqueName="1" name="Country" queryTableFieldId="1" dataDxfId="9"/>
    <tableColumn id="2" xr3:uid="{5B8CAAAE-1F89-422D-9CA8-70E84EB99DBC}" uniqueName="2" name="Job Title" queryTableFieldId="2" dataDxfId="8"/>
    <tableColumn id="3" xr3:uid="{6A5AAE67-0DE7-4638-AF65-6B28155FA59D}" uniqueName="3" name="Salary_USD" queryTableFieldId="3"/>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AFE3909-D07E-4A00-8C31-FB1DDE31E0D1}" name="Exp_By_Industry" displayName="Exp_By_Industry" ref="A1:C178" tableType="queryTable" totalsRowShown="0">
  <autoFilter ref="A1:C178" xr:uid="{2AFE3909-D07E-4A00-8C31-FB1DDE31E0D1}"/>
  <tableColumns count="3">
    <tableColumn id="1" xr3:uid="{C7AB0D9A-94CE-4BCB-8529-7274B69CC10E}" uniqueName="1" name="Industry" queryTableFieldId="1" dataDxfId="7"/>
    <tableColumn id="2" xr3:uid="{BC6F2A20-34E0-4C1D-98FF-ABDC5ECB83EB}" uniqueName="2" name="Experience_Years" queryTableFieldId="2"/>
    <tableColumn id="3" xr3:uid="{E2903540-A73E-4DA0-8836-450BB144EEB3}" uniqueName="3" name="Employee_Count" queryTableFieldId="3"/>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9FC27E0-28A0-40CB-BFA1-B00524CC87F0}" name="AVG_Salary_By_Industry_Gender" displayName="AVG_Salary_By_Industry_Gender" ref="A1:C46" tableType="queryTable" totalsRowShown="0">
  <autoFilter ref="A1:C46" xr:uid="{29FC27E0-28A0-40CB-BFA1-B00524CC87F0}"/>
  <tableColumns count="3">
    <tableColumn id="1" xr3:uid="{9DBDB5E2-FDDC-4EC1-A158-D4771B2FFEBB}" uniqueName="1" name="industry" queryTableFieldId="1" dataDxfId="6"/>
    <tableColumn id="2" xr3:uid="{B600ED1D-A061-4F69-A135-143946A8CCD7}" uniqueName="2" name="Gender" queryTableFieldId="2" dataDxfId="5"/>
    <tableColumn id="3" xr3:uid="{7EC026B9-F7C7-4385-9373-2ADC9750366A}" uniqueName="3" name="Average_Salary" queryTableFieldId="3"/>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DD67F7B-E525-4E14-A4AA-993EF50AD82B}" name="Avg_Sal_By_Edu_Level" displayName="Avg_Sal_By_Edu_Level" ref="A1:D255" tableType="queryTable" totalsRowShown="0">
  <autoFilter ref="A1:D255" xr:uid="{BDD67F7B-E525-4E14-A4AA-993EF50AD82B}"/>
  <tableColumns count="4">
    <tableColumn id="1" xr3:uid="{18D3A6DD-F904-46CA-9D31-393EDCE6702B}" uniqueName="1" name="industry" queryTableFieldId="1" dataDxfId="4"/>
    <tableColumn id="2" xr3:uid="{95499FBC-01FB-4F25-9891-9ED83B80C90F}" uniqueName="2" name="gender" queryTableFieldId="2" dataDxfId="3"/>
    <tableColumn id="3" xr3:uid="{7EB9C107-CFB0-4443-93C9-025E17941602}" uniqueName="3" name="Education_level" queryTableFieldId="3" dataDxfId="2"/>
    <tableColumn id="4" xr3:uid="{381C678C-BE69-4B45-8803-93D1D0F81EFF}" uniqueName="4" name="Average_Salary" queryTableFieldId="4"/>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B90FF2-BD9B-4687-9F4C-1AAFEAD0D846}" name="AVG_Sal_By_City_Industry" displayName="AVG_Sal_By_City_Industry" ref="A1:C331" tableType="queryTable" totalsRowShown="0">
  <autoFilter ref="A1:C331" xr:uid="{48B90FF2-BD9B-4687-9F4C-1AAFEAD0D846}"/>
  <tableColumns count="3">
    <tableColumn id="1" xr3:uid="{6DB09314-52BE-4AB9-8153-52816CFD0ABF}" uniqueName="1" name="city" queryTableFieldId="1" dataDxfId="1"/>
    <tableColumn id="2" xr3:uid="{92F9A71C-D6BF-4212-BDA2-497094777B8C}" uniqueName="2" name="industry" queryTableFieldId="2" dataDxfId="0"/>
    <tableColumn id="3" xr3:uid="{ECD9AC57-F884-4D74-8C69-A480BF2CABA8}" uniqueName="3" name="Average_salary" queryTableFieldId="3"/>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21"/>
  <sheetViews>
    <sheetView topLeftCell="K1" workbookViewId="0"/>
  </sheetViews>
  <sheetFormatPr defaultRowHeight="13.8" x14ac:dyDescent="0.25"/>
  <cols>
    <col min="1" max="1" width="9.796875" customWidth="1"/>
    <col min="2" max="2" width="20.69921875" customWidth="1"/>
    <col min="3" max="3" width="18.5" customWidth="1"/>
    <col min="4" max="4" width="20.69921875" customWidth="1"/>
    <col min="5" max="5" width="12.5" customWidth="1"/>
    <col min="6" max="6" width="31.59765625" customWidth="1"/>
    <col min="7" max="7" width="8.5" customWidth="1"/>
    <col min="8" max="8" width="13.796875" customWidth="1"/>
    <col min="9" max="9" width="17.8984375" customWidth="1"/>
    <col min="10" max="10" width="13.8984375" customWidth="1"/>
    <col min="11" max="11" width="23.796875" customWidth="1"/>
    <col min="12" max="12" width="12.3984375" customWidth="1"/>
    <col min="13" max="14" width="34.796875" customWidth="1"/>
    <col min="15" max="15" width="33.296875" customWidth="1"/>
    <col min="16" max="16" width="14.59765625" customWidth="1"/>
    <col min="17" max="17" width="10.3984375"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22</v>
      </c>
      <c r="C2" t="s">
        <v>36</v>
      </c>
      <c r="D2" t="s">
        <v>54</v>
      </c>
      <c r="E2">
        <v>87117</v>
      </c>
      <c r="F2">
        <v>2983</v>
      </c>
      <c r="G2" t="s">
        <v>63</v>
      </c>
      <c r="I2" t="s">
        <v>69</v>
      </c>
      <c r="J2" t="s">
        <v>72</v>
      </c>
      <c r="K2" t="s">
        <v>82</v>
      </c>
      <c r="L2" t="s">
        <v>112</v>
      </c>
      <c r="M2">
        <v>8</v>
      </c>
      <c r="N2">
        <v>8</v>
      </c>
      <c r="O2" t="s">
        <v>148</v>
      </c>
      <c r="P2" t="s">
        <v>154</v>
      </c>
      <c r="Q2" t="s">
        <v>158</v>
      </c>
    </row>
    <row r="3" spans="1:17" x14ac:dyDescent="0.25">
      <c r="A3" t="s">
        <v>18</v>
      </c>
      <c r="B3" t="s">
        <v>23</v>
      </c>
      <c r="C3" t="s">
        <v>37</v>
      </c>
      <c r="D3" t="s">
        <v>55</v>
      </c>
      <c r="E3">
        <v>111088</v>
      </c>
      <c r="F3">
        <v>1346</v>
      </c>
      <c r="G3" t="s">
        <v>64</v>
      </c>
      <c r="I3" t="s">
        <v>56</v>
      </c>
      <c r="J3" t="s">
        <v>73</v>
      </c>
      <c r="K3" t="s">
        <v>83</v>
      </c>
      <c r="L3" t="s">
        <v>113</v>
      </c>
      <c r="M3">
        <v>1</v>
      </c>
      <c r="N3">
        <v>1</v>
      </c>
      <c r="O3" t="s">
        <v>149</v>
      </c>
      <c r="P3" t="s">
        <v>155</v>
      </c>
      <c r="Q3" t="s">
        <v>159</v>
      </c>
    </row>
    <row r="4" spans="1:17" x14ac:dyDescent="0.25">
      <c r="A4" t="s">
        <v>17</v>
      </c>
      <c r="B4" t="s">
        <v>24</v>
      </c>
      <c r="C4" t="s">
        <v>38</v>
      </c>
      <c r="D4" t="s">
        <v>56</v>
      </c>
      <c r="E4">
        <v>31173</v>
      </c>
      <c r="F4">
        <v>5738</v>
      </c>
      <c r="G4" t="s">
        <v>65</v>
      </c>
      <c r="I4" t="s">
        <v>70</v>
      </c>
      <c r="J4" t="s">
        <v>74</v>
      </c>
      <c r="K4" t="s">
        <v>84</v>
      </c>
      <c r="L4" t="s">
        <v>74</v>
      </c>
      <c r="M4">
        <v>15</v>
      </c>
      <c r="N4">
        <v>14</v>
      </c>
      <c r="O4" t="s">
        <v>150</v>
      </c>
      <c r="P4" t="s">
        <v>156</v>
      </c>
      <c r="Q4" t="s">
        <v>160</v>
      </c>
    </row>
    <row r="5" spans="1:17" x14ac:dyDescent="0.25">
      <c r="A5" t="s">
        <v>19</v>
      </c>
      <c r="B5" t="s">
        <v>25</v>
      </c>
      <c r="C5" t="s">
        <v>38</v>
      </c>
      <c r="E5">
        <v>1540911</v>
      </c>
      <c r="F5">
        <v>141287</v>
      </c>
      <c r="G5" t="s">
        <v>66</v>
      </c>
      <c r="I5" t="s">
        <v>70</v>
      </c>
      <c r="J5" t="s">
        <v>75</v>
      </c>
      <c r="K5" t="s">
        <v>85</v>
      </c>
      <c r="L5" t="s">
        <v>114</v>
      </c>
      <c r="M5">
        <v>2</v>
      </c>
      <c r="N5">
        <v>1</v>
      </c>
      <c r="O5" t="s">
        <v>149</v>
      </c>
      <c r="P5" t="s">
        <v>155</v>
      </c>
      <c r="Q5" t="s">
        <v>161</v>
      </c>
    </row>
    <row r="6" spans="1:17" x14ac:dyDescent="0.25">
      <c r="A6" t="s">
        <v>20</v>
      </c>
      <c r="B6" t="s">
        <v>26</v>
      </c>
      <c r="C6" t="s">
        <v>39</v>
      </c>
      <c r="D6" t="s">
        <v>57</v>
      </c>
      <c r="E6">
        <v>94375</v>
      </c>
      <c r="F6">
        <v>6989</v>
      </c>
      <c r="G6" t="s">
        <v>67</v>
      </c>
      <c r="I6" t="s">
        <v>71</v>
      </c>
      <c r="J6" t="s">
        <v>76</v>
      </c>
      <c r="K6" t="s">
        <v>86</v>
      </c>
      <c r="L6" t="s">
        <v>115</v>
      </c>
      <c r="M6">
        <v>6</v>
      </c>
      <c r="N6">
        <v>3</v>
      </c>
      <c r="O6" t="s">
        <v>151</v>
      </c>
      <c r="P6" t="s">
        <v>154</v>
      </c>
      <c r="Q6" t="s">
        <v>162</v>
      </c>
    </row>
    <row r="7" spans="1:17" x14ac:dyDescent="0.25">
      <c r="A7" t="s">
        <v>19</v>
      </c>
      <c r="B7" t="s">
        <v>27</v>
      </c>
      <c r="C7" t="s">
        <v>40</v>
      </c>
      <c r="D7" t="s">
        <v>54</v>
      </c>
      <c r="E7">
        <v>92446</v>
      </c>
      <c r="F7">
        <v>12875</v>
      </c>
      <c r="G7" t="s">
        <v>64</v>
      </c>
      <c r="I7" t="s">
        <v>69</v>
      </c>
      <c r="J7" t="s">
        <v>77</v>
      </c>
      <c r="K7" t="s">
        <v>87</v>
      </c>
      <c r="L7" t="s">
        <v>116</v>
      </c>
      <c r="M7">
        <v>20</v>
      </c>
      <c r="N7">
        <v>20</v>
      </c>
      <c r="O7" t="s">
        <v>151</v>
      </c>
      <c r="P7" t="s">
        <v>155</v>
      </c>
      <c r="Q7" t="s">
        <v>163</v>
      </c>
    </row>
    <row r="8" spans="1:17" x14ac:dyDescent="0.25">
      <c r="A8" t="s">
        <v>20</v>
      </c>
      <c r="B8" t="s">
        <v>28</v>
      </c>
      <c r="C8" t="s">
        <v>40</v>
      </c>
      <c r="D8" t="s">
        <v>58</v>
      </c>
      <c r="E8">
        <v>30865</v>
      </c>
      <c r="F8">
        <v>569</v>
      </c>
      <c r="G8" t="s">
        <v>63</v>
      </c>
      <c r="I8" t="s">
        <v>70</v>
      </c>
      <c r="J8" t="s">
        <v>78</v>
      </c>
      <c r="K8" t="s">
        <v>88</v>
      </c>
      <c r="L8" t="s">
        <v>117</v>
      </c>
      <c r="M8">
        <v>1</v>
      </c>
      <c r="N8">
        <v>0</v>
      </c>
      <c r="O8" t="s">
        <v>152</v>
      </c>
      <c r="P8" t="s">
        <v>155</v>
      </c>
      <c r="Q8" t="s">
        <v>164</v>
      </c>
    </row>
    <row r="9" spans="1:17" x14ac:dyDescent="0.25">
      <c r="A9" t="s">
        <v>21</v>
      </c>
      <c r="B9" t="s">
        <v>29</v>
      </c>
      <c r="C9" t="s">
        <v>38</v>
      </c>
      <c r="D9" t="s">
        <v>54</v>
      </c>
      <c r="E9">
        <v>82247</v>
      </c>
      <c r="F9">
        <v>8234</v>
      </c>
      <c r="G9" t="s">
        <v>63</v>
      </c>
      <c r="I9" t="s">
        <v>70</v>
      </c>
      <c r="J9" t="s">
        <v>72</v>
      </c>
      <c r="K9" t="s">
        <v>82</v>
      </c>
      <c r="L9" t="s">
        <v>112</v>
      </c>
      <c r="M9">
        <v>25</v>
      </c>
      <c r="N9">
        <v>25</v>
      </c>
      <c r="O9" t="s">
        <v>149</v>
      </c>
      <c r="P9" t="s">
        <v>157</v>
      </c>
      <c r="Q9" t="s">
        <v>165</v>
      </c>
    </row>
    <row r="10" spans="1:17" x14ac:dyDescent="0.25">
      <c r="A10" t="s">
        <v>20</v>
      </c>
      <c r="D10" t="s">
        <v>58</v>
      </c>
      <c r="F10">
        <v>5948</v>
      </c>
      <c r="G10" t="s">
        <v>67</v>
      </c>
      <c r="J10" t="s">
        <v>77</v>
      </c>
      <c r="K10" t="s">
        <v>89</v>
      </c>
      <c r="N10">
        <v>0</v>
      </c>
      <c r="O10" t="s">
        <v>150</v>
      </c>
      <c r="Q10" t="s">
        <v>166</v>
      </c>
    </row>
    <row r="11" spans="1:17" x14ac:dyDescent="0.25">
      <c r="A11" t="s">
        <v>20</v>
      </c>
      <c r="D11" t="s">
        <v>59</v>
      </c>
      <c r="F11">
        <v>23628</v>
      </c>
      <c r="G11" t="s">
        <v>66</v>
      </c>
      <c r="J11" t="s">
        <v>78</v>
      </c>
      <c r="K11" t="s">
        <v>90</v>
      </c>
      <c r="N11">
        <v>5</v>
      </c>
      <c r="O11" t="s">
        <v>149</v>
      </c>
      <c r="Q11" t="s">
        <v>167</v>
      </c>
    </row>
    <row r="12" spans="1:17" x14ac:dyDescent="0.25">
      <c r="A12" t="s">
        <v>21</v>
      </c>
      <c r="B12" t="s">
        <v>30</v>
      </c>
      <c r="C12" t="s">
        <v>41</v>
      </c>
      <c r="D12" t="s">
        <v>60</v>
      </c>
      <c r="E12">
        <v>13876</v>
      </c>
      <c r="F12">
        <v>1556</v>
      </c>
      <c r="G12" t="s">
        <v>63</v>
      </c>
      <c r="I12" t="s">
        <v>56</v>
      </c>
      <c r="J12" t="s">
        <v>79</v>
      </c>
      <c r="K12" t="s">
        <v>91</v>
      </c>
      <c r="L12" t="s">
        <v>118</v>
      </c>
      <c r="M12">
        <v>25</v>
      </c>
      <c r="N12">
        <v>22</v>
      </c>
      <c r="O12" t="s">
        <v>148</v>
      </c>
      <c r="P12" t="s">
        <v>154</v>
      </c>
      <c r="Q12" t="s">
        <v>168</v>
      </c>
    </row>
    <row r="13" spans="1:17" x14ac:dyDescent="0.25">
      <c r="A13" t="s">
        <v>17</v>
      </c>
      <c r="B13" t="s">
        <v>23</v>
      </c>
      <c r="C13" t="s">
        <v>40</v>
      </c>
      <c r="D13" t="s">
        <v>57</v>
      </c>
      <c r="E13">
        <v>95841</v>
      </c>
      <c r="F13">
        <v>1133</v>
      </c>
      <c r="G13" t="s">
        <v>64</v>
      </c>
      <c r="I13" t="s">
        <v>71</v>
      </c>
      <c r="J13" t="s">
        <v>76</v>
      </c>
      <c r="K13" t="s">
        <v>92</v>
      </c>
      <c r="L13" t="s">
        <v>119</v>
      </c>
      <c r="M13">
        <v>20</v>
      </c>
      <c r="N13">
        <v>20</v>
      </c>
      <c r="O13" t="s">
        <v>152</v>
      </c>
      <c r="P13" t="s">
        <v>155</v>
      </c>
      <c r="Q13" t="s">
        <v>169</v>
      </c>
    </row>
    <row r="14" spans="1:17" x14ac:dyDescent="0.25">
      <c r="A14" t="s">
        <v>19</v>
      </c>
      <c r="B14" t="s">
        <v>25</v>
      </c>
      <c r="C14" t="s">
        <v>42</v>
      </c>
      <c r="D14" t="s">
        <v>60</v>
      </c>
      <c r="E14">
        <v>58887</v>
      </c>
      <c r="F14">
        <v>226</v>
      </c>
      <c r="G14" t="s">
        <v>67</v>
      </c>
      <c r="I14" t="s">
        <v>71</v>
      </c>
      <c r="J14" t="s">
        <v>80</v>
      </c>
      <c r="K14" t="s">
        <v>93</v>
      </c>
      <c r="L14" t="s">
        <v>93</v>
      </c>
      <c r="M14">
        <v>18</v>
      </c>
      <c r="N14">
        <v>18</v>
      </c>
      <c r="O14" t="s">
        <v>148</v>
      </c>
      <c r="P14" t="s">
        <v>155</v>
      </c>
      <c r="Q14" t="s">
        <v>170</v>
      </c>
    </row>
    <row r="15" spans="1:17" x14ac:dyDescent="0.25">
      <c r="A15" t="s">
        <v>19</v>
      </c>
      <c r="F15">
        <v>3542</v>
      </c>
      <c r="G15" t="s">
        <v>68</v>
      </c>
      <c r="I15" t="s">
        <v>56</v>
      </c>
      <c r="J15" t="s">
        <v>81</v>
      </c>
      <c r="K15" t="s">
        <v>94</v>
      </c>
      <c r="N15">
        <v>6</v>
      </c>
      <c r="O15" t="s">
        <v>149</v>
      </c>
      <c r="Q15" t="s">
        <v>171</v>
      </c>
    </row>
    <row r="16" spans="1:17" x14ac:dyDescent="0.25">
      <c r="A16" t="s">
        <v>18</v>
      </c>
      <c r="B16" t="s">
        <v>31</v>
      </c>
      <c r="C16" t="s">
        <v>42</v>
      </c>
      <c r="D16" t="s">
        <v>56</v>
      </c>
      <c r="E16">
        <v>121464</v>
      </c>
      <c r="F16">
        <v>345</v>
      </c>
      <c r="G16" t="s">
        <v>65</v>
      </c>
      <c r="I16" t="s">
        <v>70</v>
      </c>
      <c r="J16" t="s">
        <v>72</v>
      </c>
      <c r="K16" t="s">
        <v>95</v>
      </c>
      <c r="L16" t="s">
        <v>120</v>
      </c>
      <c r="M16">
        <v>0</v>
      </c>
      <c r="N16">
        <v>0</v>
      </c>
      <c r="O16" t="s">
        <v>148</v>
      </c>
      <c r="P16" t="s">
        <v>157</v>
      </c>
      <c r="Q16" t="s">
        <v>165</v>
      </c>
    </row>
    <row r="17" spans="1:17" x14ac:dyDescent="0.25">
      <c r="A17" t="s">
        <v>19</v>
      </c>
      <c r="B17" t="s">
        <v>31</v>
      </c>
      <c r="C17" t="s">
        <v>43</v>
      </c>
      <c r="D17" t="s">
        <v>58</v>
      </c>
      <c r="E17">
        <v>24304</v>
      </c>
      <c r="F17">
        <v>3388</v>
      </c>
      <c r="G17" t="s">
        <v>63</v>
      </c>
      <c r="I17" t="s">
        <v>56</v>
      </c>
      <c r="J17" t="s">
        <v>72</v>
      </c>
      <c r="K17" t="s">
        <v>82</v>
      </c>
      <c r="L17" t="s">
        <v>112</v>
      </c>
      <c r="M17">
        <v>9</v>
      </c>
      <c r="N17">
        <v>9</v>
      </c>
      <c r="O17" t="s">
        <v>151</v>
      </c>
      <c r="P17" t="s">
        <v>156</v>
      </c>
      <c r="Q17" t="s">
        <v>165</v>
      </c>
    </row>
    <row r="18" spans="1:17" x14ac:dyDescent="0.25">
      <c r="A18" t="s">
        <v>20</v>
      </c>
      <c r="B18" t="s">
        <v>25</v>
      </c>
      <c r="C18" t="s">
        <v>36</v>
      </c>
      <c r="D18" t="s">
        <v>54</v>
      </c>
      <c r="E18">
        <v>112825</v>
      </c>
      <c r="F18">
        <v>6839</v>
      </c>
      <c r="G18" t="s">
        <v>65</v>
      </c>
      <c r="J18" t="s">
        <v>75</v>
      </c>
      <c r="K18" t="s">
        <v>96</v>
      </c>
      <c r="L18" t="s">
        <v>121</v>
      </c>
      <c r="M18">
        <v>6</v>
      </c>
      <c r="N18">
        <v>3</v>
      </c>
      <c r="O18" t="s">
        <v>149</v>
      </c>
      <c r="P18" t="s">
        <v>157</v>
      </c>
      <c r="Q18" t="s">
        <v>172</v>
      </c>
    </row>
    <row r="19" spans="1:17" x14ac:dyDescent="0.25">
      <c r="A19" t="s">
        <v>20</v>
      </c>
      <c r="B19" t="s">
        <v>23</v>
      </c>
      <c r="C19" t="s">
        <v>44</v>
      </c>
      <c r="E19">
        <v>1051851</v>
      </c>
      <c r="F19">
        <v>0</v>
      </c>
      <c r="G19" t="s">
        <v>66</v>
      </c>
      <c r="I19" t="s">
        <v>69</v>
      </c>
      <c r="J19" t="s">
        <v>76</v>
      </c>
      <c r="K19" t="s">
        <v>92</v>
      </c>
      <c r="L19" t="s">
        <v>119</v>
      </c>
      <c r="M19">
        <v>5</v>
      </c>
      <c r="N19">
        <v>5</v>
      </c>
      <c r="O19" t="s">
        <v>151</v>
      </c>
      <c r="P19" t="s">
        <v>155</v>
      </c>
      <c r="Q19" t="s">
        <v>173</v>
      </c>
    </row>
    <row r="20" spans="1:17" x14ac:dyDescent="0.25">
      <c r="A20" t="s">
        <v>17</v>
      </c>
      <c r="B20" t="s">
        <v>30</v>
      </c>
      <c r="C20" t="s">
        <v>45</v>
      </c>
      <c r="D20" t="s">
        <v>54</v>
      </c>
      <c r="E20">
        <v>100851</v>
      </c>
      <c r="F20">
        <v>4474</v>
      </c>
      <c r="G20" t="s">
        <v>68</v>
      </c>
      <c r="I20" t="s">
        <v>56</v>
      </c>
      <c r="J20" t="s">
        <v>77</v>
      </c>
      <c r="K20" t="s">
        <v>97</v>
      </c>
      <c r="L20" t="s">
        <v>122</v>
      </c>
      <c r="M20">
        <v>12</v>
      </c>
      <c r="N20">
        <v>12</v>
      </c>
      <c r="O20" t="s">
        <v>152</v>
      </c>
      <c r="P20" t="s">
        <v>154</v>
      </c>
      <c r="Q20" t="s">
        <v>174</v>
      </c>
    </row>
    <row r="21" spans="1:17" x14ac:dyDescent="0.25">
      <c r="A21" t="s">
        <v>19</v>
      </c>
      <c r="B21" t="s">
        <v>28</v>
      </c>
      <c r="C21" t="s">
        <v>45</v>
      </c>
      <c r="D21" t="s">
        <v>60</v>
      </c>
      <c r="E21">
        <v>115815</v>
      </c>
      <c r="F21">
        <v>21278</v>
      </c>
      <c r="G21" t="s">
        <v>67</v>
      </c>
      <c r="I21" t="s">
        <v>69</v>
      </c>
      <c r="J21" t="s">
        <v>81</v>
      </c>
      <c r="K21" t="s">
        <v>98</v>
      </c>
      <c r="L21" t="s">
        <v>123</v>
      </c>
      <c r="M21">
        <v>5</v>
      </c>
      <c r="N21">
        <v>5</v>
      </c>
      <c r="O21" t="s">
        <v>153</v>
      </c>
      <c r="P21" t="s">
        <v>157</v>
      </c>
      <c r="Q21" t="s">
        <v>175</v>
      </c>
    </row>
    <row r="22" spans="1:17" x14ac:dyDescent="0.25">
      <c r="A22" t="s">
        <v>19</v>
      </c>
      <c r="B22" t="s">
        <v>32</v>
      </c>
      <c r="C22" t="s">
        <v>46</v>
      </c>
      <c r="D22" t="s">
        <v>57</v>
      </c>
      <c r="E22">
        <v>88883</v>
      </c>
      <c r="F22">
        <v>4601</v>
      </c>
      <c r="G22" t="s">
        <v>65</v>
      </c>
      <c r="I22" t="s">
        <v>71</v>
      </c>
      <c r="J22" t="s">
        <v>77</v>
      </c>
      <c r="K22" t="s">
        <v>89</v>
      </c>
      <c r="L22" t="s">
        <v>124</v>
      </c>
      <c r="M22">
        <v>7</v>
      </c>
      <c r="N22">
        <v>4</v>
      </c>
      <c r="O22" t="s">
        <v>148</v>
      </c>
      <c r="P22" t="s">
        <v>155</v>
      </c>
      <c r="Q22" t="s">
        <v>176</v>
      </c>
    </row>
    <row r="23" spans="1:17" x14ac:dyDescent="0.25">
      <c r="A23" t="s">
        <v>19</v>
      </c>
      <c r="B23" t="s">
        <v>29</v>
      </c>
      <c r="C23" t="s">
        <v>43</v>
      </c>
      <c r="D23" t="s">
        <v>58</v>
      </c>
      <c r="E23">
        <v>91060</v>
      </c>
      <c r="F23">
        <v>4970</v>
      </c>
      <c r="G23" t="s">
        <v>65</v>
      </c>
      <c r="I23" t="s">
        <v>69</v>
      </c>
      <c r="J23" t="s">
        <v>73</v>
      </c>
      <c r="K23" t="s">
        <v>99</v>
      </c>
      <c r="L23" t="s">
        <v>125</v>
      </c>
      <c r="M23">
        <v>3</v>
      </c>
      <c r="N23">
        <v>0</v>
      </c>
      <c r="O23" t="s">
        <v>149</v>
      </c>
      <c r="P23" t="s">
        <v>154</v>
      </c>
      <c r="Q23" t="s">
        <v>177</v>
      </c>
    </row>
    <row r="24" spans="1:17" x14ac:dyDescent="0.25">
      <c r="A24" t="s">
        <v>21</v>
      </c>
      <c r="B24" t="s">
        <v>29</v>
      </c>
      <c r="C24" t="s">
        <v>45</v>
      </c>
      <c r="D24" t="s">
        <v>57</v>
      </c>
      <c r="E24">
        <v>429227</v>
      </c>
      <c r="F24">
        <v>0</v>
      </c>
      <c r="G24" t="s">
        <v>66</v>
      </c>
      <c r="J24" t="s">
        <v>72</v>
      </c>
      <c r="K24" t="s">
        <v>82</v>
      </c>
      <c r="L24" t="s">
        <v>112</v>
      </c>
      <c r="M24">
        <v>12</v>
      </c>
      <c r="N24">
        <v>9</v>
      </c>
      <c r="O24" t="s">
        <v>148</v>
      </c>
      <c r="P24" t="s">
        <v>157</v>
      </c>
      <c r="Q24" t="s">
        <v>178</v>
      </c>
    </row>
    <row r="25" spans="1:17" x14ac:dyDescent="0.25">
      <c r="A25" t="s">
        <v>20</v>
      </c>
      <c r="B25" t="s">
        <v>30</v>
      </c>
      <c r="C25" t="s">
        <v>40</v>
      </c>
      <c r="D25" t="s">
        <v>56</v>
      </c>
      <c r="E25">
        <v>102436</v>
      </c>
      <c r="F25">
        <v>10083</v>
      </c>
      <c r="G25" t="s">
        <v>67</v>
      </c>
      <c r="I25" t="s">
        <v>56</v>
      </c>
      <c r="J25" t="s">
        <v>75</v>
      </c>
      <c r="K25" t="s">
        <v>96</v>
      </c>
      <c r="L25" t="s">
        <v>121</v>
      </c>
      <c r="M25">
        <v>6</v>
      </c>
      <c r="N25">
        <v>6</v>
      </c>
      <c r="O25" t="s">
        <v>149</v>
      </c>
      <c r="P25" t="s">
        <v>154</v>
      </c>
      <c r="Q25" t="s">
        <v>179</v>
      </c>
    </row>
    <row r="26" spans="1:17" x14ac:dyDescent="0.25">
      <c r="A26" t="s">
        <v>19</v>
      </c>
      <c r="B26" t="s">
        <v>32</v>
      </c>
      <c r="C26" t="s">
        <v>47</v>
      </c>
      <c r="E26">
        <v>100388</v>
      </c>
      <c r="F26">
        <v>11896</v>
      </c>
      <c r="G26" t="s">
        <v>67</v>
      </c>
      <c r="I26" t="s">
        <v>71</v>
      </c>
      <c r="J26" t="s">
        <v>75</v>
      </c>
      <c r="K26" t="s">
        <v>96</v>
      </c>
      <c r="L26" t="s">
        <v>121</v>
      </c>
      <c r="M26">
        <v>7</v>
      </c>
      <c r="N26">
        <v>7</v>
      </c>
      <c r="O26" t="s">
        <v>151</v>
      </c>
      <c r="P26" t="s">
        <v>157</v>
      </c>
      <c r="Q26" t="s">
        <v>173</v>
      </c>
    </row>
    <row r="27" spans="1:17" x14ac:dyDescent="0.25">
      <c r="A27" t="s">
        <v>17</v>
      </c>
      <c r="B27" t="s">
        <v>32</v>
      </c>
      <c r="C27" t="s">
        <v>44</v>
      </c>
      <c r="D27" t="s">
        <v>56</v>
      </c>
      <c r="E27">
        <v>97793</v>
      </c>
      <c r="F27">
        <v>107</v>
      </c>
      <c r="G27" t="s">
        <v>65</v>
      </c>
      <c r="I27" t="s">
        <v>69</v>
      </c>
      <c r="J27" t="s">
        <v>72</v>
      </c>
      <c r="K27" t="s">
        <v>82</v>
      </c>
      <c r="L27" t="s">
        <v>112</v>
      </c>
      <c r="M27">
        <v>20</v>
      </c>
      <c r="N27">
        <v>20</v>
      </c>
      <c r="O27" t="s">
        <v>148</v>
      </c>
      <c r="P27" t="s">
        <v>157</v>
      </c>
      <c r="Q27" t="s">
        <v>180</v>
      </c>
    </row>
    <row r="28" spans="1:17" x14ac:dyDescent="0.25">
      <c r="A28" t="s">
        <v>19</v>
      </c>
      <c r="B28" t="s">
        <v>33</v>
      </c>
      <c r="C28" t="s">
        <v>37</v>
      </c>
      <c r="D28" t="s">
        <v>61</v>
      </c>
      <c r="E28">
        <v>110982</v>
      </c>
      <c r="F28">
        <v>21677</v>
      </c>
      <c r="G28" t="s">
        <v>68</v>
      </c>
      <c r="I28" t="s">
        <v>69</v>
      </c>
      <c r="J28" t="s">
        <v>78</v>
      </c>
      <c r="K28" t="s">
        <v>88</v>
      </c>
      <c r="L28" t="s">
        <v>117</v>
      </c>
      <c r="M28">
        <v>3</v>
      </c>
      <c r="N28">
        <v>3</v>
      </c>
      <c r="O28" t="s">
        <v>151</v>
      </c>
      <c r="P28" t="s">
        <v>157</v>
      </c>
      <c r="Q28" t="s">
        <v>181</v>
      </c>
    </row>
    <row r="29" spans="1:17" x14ac:dyDescent="0.25">
      <c r="A29" t="s">
        <v>17</v>
      </c>
      <c r="B29" t="s">
        <v>28</v>
      </c>
      <c r="C29" t="s">
        <v>36</v>
      </c>
      <c r="D29" t="s">
        <v>62</v>
      </c>
      <c r="E29">
        <v>63332</v>
      </c>
      <c r="F29">
        <v>3570</v>
      </c>
      <c r="G29" t="s">
        <v>68</v>
      </c>
      <c r="I29" t="s">
        <v>70</v>
      </c>
      <c r="J29" t="s">
        <v>76</v>
      </c>
      <c r="K29" t="s">
        <v>86</v>
      </c>
      <c r="L29" t="s">
        <v>115</v>
      </c>
      <c r="M29">
        <v>10</v>
      </c>
      <c r="N29">
        <v>10</v>
      </c>
      <c r="O29" t="s">
        <v>152</v>
      </c>
      <c r="P29" t="s">
        <v>157</v>
      </c>
      <c r="Q29" t="s">
        <v>182</v>
      </c>
    </row>
    <row r="30" spans="1:17" x14ac:dyDescent="0.25">
      <c r="A30" t="s">
        <v>19</v>
      </c>
      <c r="B30" t="s">
        <v>33</v>
      </c>
      <c r="C30" t="s">
        <v>48</v>
      </c>
      <c r="D30" t="s">
        <v>58</v>
      </c>
      <c r="E30">
        <v>85456</v>
      </c>
      <c r="F30">
        <v>3902</v>
      </c>
      <c r="G30" t="s">
        <v>68</v>
      </c>
      <c r="I30" t="s">
        <v>56</v>
      </c>
      <c r="J30" t="s">
        <v>76</v>
      </c>
      <c r="K30" t="s">
        <v>100</v>
      </c>
      <c r="L30" t="s">
        <v>126</v>
      </c>
      <c r="M30">
        <v>10</v>
      </c>
      <c r="N30">
        <v>10</v>
      </c>
      <c r="O30" t="s">
        <v>149</v>
      </c>
      <c r="P30" t="s">
        <v>154</v>
      </c>
      <c r="Q30" t="s">
        <v>183</v>
      </c>
    </row>
    <row r="31" spans="1:17" x14ac:dyDescent="0.25">
      <c r="A31" t="s">
        <v>19</v>
      </c>
      <c r="B31" t="s">
        <v>32</v>
      </c>
      <c r="C31" t="s">
        <v>44</v>
      </c>
      <c r="D31" t="s">
        <v>58</v>
      </c>
      <c r="E31">
        <v>94234</v>
      </c>
      <c r="F31">
        <v>0</v>
      </c>
      <c r="G31" t="s">
        <v>64</v>
      </c>
      <c r="I31" t="s">
        <v>71</v>
      </c>
      <c r="J31" t="s">
        <v>81</v>
      </c>
      <c r="K31" t="s">
        <v>101</v>
      </c>
      <c r="L31" t="s">
        <v>127</v>
      </c>
      <c r="M31">
        <v>7</v>
      </c>
      <c r="N31">
        <v>5</v>
      </c>
      <c r="O31" t="s">
        <v>149</v>
      </c>
      <c r="P31" t="s">
        <v>156</v>
      </c>
      <c r="Q31" t="s">
        <v>184</v>
      </c>
    </row>
    <row r="32" spans="1:17" x14ac:dyDescent="0.25">
      <c r="A32" t="s">
        <v>18</v>
      </c>
      <c r="B32" t="s">
        <v>29</v>
      </c>
      <c r="C32" t="s">
        <v>42</v>
      </c>
      <c r="D32" t="s">
        <v>56</v>
      </c>
      <c r="E32">
        <v>64137</v>
      </c>
      <c r="F32">
        <v>18602</v>
      </c>
      <c r="G32" t="s">
        <v>67</v>
      </c>
      <c r="I32" t="s">
        <v>56</v>
      </c>
      <c r="J32" t="s">
        <v>75</v>
      </c>
      <c r="K32" t="s">
        <v>85</v>
      </c>
      <c r="L32" t="s">
        <v>114</v>
      </c>
      <c r="M32">
        <v>1</v>
      </c>
      <c r="N32">
        <v>0</v>
      </c>
      <c r="O32" t="s">
        <v>149</v>
      </c>
      <c r="P32" t="s">
        <v>155</v>
      </c>
      <c r="Q32" t="s">
        <v>185</v>
      </c>
    </row>
    <row r="33" spans="1:17" x14ac:dyDescent="0.25">
      <c r="A33" t="s">
        <v>19</v>
      </c>
      <c r="B33" t="s">
        <v>24</v>
      </c>
      <c r="C33" t="s">
        <v>37</v>
      </c>
      <c r="E33">
        <v>98478</v>
      </c>
      <c r="F33">
        <v>3910</v>
      </c>
      <c r="G33" t="s">
        <v>65</v>
      </c>
      <c r="I33" t="s">
        <v>69</v>
      </c>
      <c r="J33" t="s">
        <v>74</v>
      </c>
      <c r="K33" t="s">
        <v>84</v>
      </c>
      <c r="L33" t="s">
        <v>74</v>
      </c>
      <c r="M33">
        <v>4</v>
      </c>
      <c r="N33">
        <v>4</v>
      </c>
      <c r="O33" t="s">
        <v>153</v>
      </c>
      <c r="P33" t="s">
        <v>155</v>
      </c>
      <c r="Q33" t="s">
        <v>186</v>
      </c>
    </row>
    <row r="34" spans="1:17" x14ac:dyDescent="0.25">
      <c r="A34" t="s">
        <v>17</v>
      </c>
      <c r="B34" t="s">
        <v>33</v>
      </c>
      <c r="C34" t="s">
        <v>45</v>
      </c>
      <c r="D34" t="s">
        <v>54</v>
      </c>
      <c r="E34">
        <v>134691</v>
      </c>
      <c r="F34">
        <v>12547</v>
      </c>
      <c r="G34" t="s">
        <v>67</v>
      </c>
      <c r="J34" t="s">
        <v>78</v>
      </c>
      <c r="K34" t="s">
        <v>88</v>
      </c>
      <c r="L34" t="s">
        <v>128</v>
      </c>
      <c r="M34">
        <v>12</v>
      </c>
      <c r="N34">
        <v>12</v>
      </c>
      <c r="O34" t="s">
        <v>150</v>
      </c>
      <c r="P34" t="s">
        <v>155</v>
      </c>
      <c r="Q34" t="s">
        <v>187</v>
      </c>
    </row>
    <row r="35" spans="1:17" x14ac:dyDescent="0.25">
      <c r="A35" t="s">
        <v>21</v>
      </c>
      <c r="B35" t="s">
        <v>26</v>
      </c>
      <c r="C35" t="s">
        <v>49</v>
      </c>
      <c r="D35" t="s">
        <v>55</v>
      </c>
      <c r="E35">
        <v>43161</v>
      </c>
      <c r="F35">
        <v>11937</v>
      </c>
      <c r="G35" t="s">
        <v>63</v>
      </c>
      <c r="I35" t="s">
        <v>69</v>
      </c>
      <c r="J35" t="s">
        <v>79</v>
      </c>
      <c r="K35" t="s">
        <v>91</v>
      </c>
      <c r="L35" t="s">
        <v>118</v>
      </c>
      <c r="M35">
        <v>8</v>
      </c>
      <c r="N35">
        <v>6</v>
      </c>
      <c r="O35" t="s">
        <v>151</v>
      </c>
      <c r="P35" t="s">
        <v>154</v>
      </c>
      <c r="Q35" t="s">
        <v>188</v>
      </c>
    </row>
    <row r="36" spans="1:17" x14ac:dyDescent="0.25">
      <c r="A36" t="s">
        <v>19</v>
      </c>
      <c r="B36" t="s">
        <v>32</v>
      </c>
      <c r="C36" t="s">
        <v>44</v>
      </c>
      <c r="D36" t="s">
        <v>55</v>
      </c>
      <c r="E36">
        <v>848118</v>
      </c>
      <c r="F36">
        <v>111998</v>
      </c>
      <c r="G36" t="s">
        <v>66</v>
      </c>
      <c r="J36" t="s">
        <v>81</v>
      </c>
      <c r="K36" t="s">
        <v>94</v>
      </c>
      <c r="L36" t="s">
        <v>129</v>
      </c>
      <c r="M36">
        <v>5</v>
      </c>
      <c r="N36">
        <v>5</v>
      </c>
      <c r="O36" t="s">
        <v>153</v>
      </c>
      <c r="P36" t="s">
        <v>154</v>
      </c>
      <c r="Q36" t="s">
        <v>189</v>
      </c>
    </row>
    <row r="37" spans="1:17" x14ac:dyDescent="0.25">
      <c r="A37" t="s">
        <v>21</v>
      </c>
      <c r="D37" t="s">
        <v>62</v>
      </c>
      <c r="F37">
        <v>918</v>
      </c>
      <c r="G37" t="s">
        <v>68</v>
      </c>
      <c r="I37" t="s">
        <v>70</v>
      </c>
      <c r="J37" t="s">
        <v>81</v>
      </c>
      <c r="K37" t="s">
        <v>98</v>
      </c>
      <c r="N37">
        <v>11</v>
      </c>
      <c r="O37" t="s">
        <v>148</v>
      </c>
      <c r="Q37" t="s">
        <v>190</v>
      </c>
    </row>
    <row r="38" spans="1:17" x14ac:dyDescent="0.25">
      <c r="A38" t="s">
        <v>19</v>
      </c>
      <c r="B38" t="s">
        <v>22</v>
      </c>
      <c r="C38" t="s">
        <v>39</v>
      </c>
      <c r="D38" t="s">
        <v>61</v>
      </c>
      <c r="E38">
        <v>1060556</v>
      </c>
      <c r="F38">
        <v>23114</v>
      </c>
      <c r="G38" t="s">
        <v>66</v>
      </c>
      <c r="J38" t="s">
        <v>73</v>
      </c>
      <c r="K38" t="s">
        <v>102</v>
      </c>
      <c r="L38" t="s">
        <v>102</v>
      </c>
      <c r="M38">
        <v>3</v>
      </c>
      <c r="N38">
        <v>3</v>
      </c>
      <c r="O38" t="s">
        <v>148</v>
      </c>
      <c r="P38" t="s">
        <v>154</v>
      </c>
      <c r="Q38" t="s">
        <v>191</v>
      </c>
    </row>
    <row r="39" spans="1:17" x14ac:dyDescent="0.25">
      <c r="A39" t="s">
        <v>20</v>
      </c>
      <c r="B39" t="s">
        <v>31</v>
      </c>
      <c r="C39" t="s">
        <v>50</v>
      </c>
      <c r="D39" t="s">
        <v>57</v>
      </c>
      <c r="E39">
        <v>44317</v>
      </c>
      <c r="F39">
        <v>2490</v>
      </c>
      <c r="G39" t="s">
        <v>63</v>
      </c>
      <c r="J39" t="s">
        <v>81</v>
      </c>
      <c r="K39" t="s">
        <v>94</v>
      </c>
      <c r="L39" t="s">
        <v>129</v>
      </c>
      <c r="M39">
        <v>6</v>
      </c>
      <c r="N39">
        <v>4</v>
      </c>
      <c r="O39" t="s">
        <v>151</v>
      </c>
      <c r="P39" t="s">
        <v>156</v>
      </c>
      <c r="Q39" t="s">
        <v>176</v>
      </c>
    </row>
    <row r="40" spans="1:17" x14ac:dyDescent="0.25">
      <c r="A40" t="s">
        <v>19</v>
      </c>
      <c r="B40" t="s">
        <v>32</v>
      </c>
      <c r="C40" t="s">
        <v>40</v>
      </c>
      <c r="D40" t="s">
        <v>59</v>
      </c>
      <c r="E40">
        <v>639511</v>
      </c>
      <c r="F40">
        <v>4336</v>
      </c>
      <c r="G40" t="s">
        <v>66</v>
      </c>
      <c r="I40" t="s">
        <v>70</v>
      </c>
      <c r="J40" t="s">
        <v>74</v>
      </c>
      <c r="K40" t="s">
        <v>84</v>
      </c>
      <c r="L40" t="s">
        <v>74</v>
      </c>
      <c r="M40">
        <v>3</v>
      </c>
      <c r="N40">
        <v>3</v>
      </c>
      <c r="O40" t="s">
        <v>150</v>
      </c>
      <c r="P40" t="s">
        <v>157</v>
      </c>
      <c r="Q40" t="s">
        <v>192</v>
      </c>
    </row>
    <row r="41" spans="1:17" x14ac:dyDescent="0.25">
      <c r="A41" t="s">
        <v>19</v>
      </c>
      <c r="B41" t="s">
        <v>24</v>
      </c>
      <c r="C41" t="s">
        <v>44</v>
      </c>
      <c r="D41" t="s">
        <v>54</v>
      </c>
      <c r="E41">
        <v>342811</v>
      </c>
      <c r="F41">
        <v>4747</v>
      </c>
      <c r="G41" t="s">
        <v>66</v>
      </c>
      <c r="I41" t="s">
        <v>69</v>
      </c>
      <c r="J41" t="s">
        <v>81</v>
      </c>
      <c r="K41" t="s">
        <v>103</v>
      </c>
      <c r="L41" t="s">
        <v>130</v>
      </c>
      <c r="M41">
        <v>2</v>
      </c>
      <c r="N41">
        <v>2</v>
      </c>
      <c r="O41" t="s">
        <v>149</v>
      </c>
      <c r="P41" t="s">
        <v>157</v>
      </c>
      <c r="Q41" t="s">
        <v>193</v>
      </c>
    </row>
    <row r="42" spans="1:17" x14ac:dyDescent="0.25">
      <c r="A42" t="s">
        <v>19</v>
      </c>
      <c r="F42">
        <v>32069</v>
      </c>
      <c r="G42" t="s">
        <v>64</v>
      </c>
      <c r="I42" t="s">
        <v>70</v>
      </c>
      <c r="J42" t="s">
        <v>81</v>
      </c>
      <c r="K42" t="s">
        <v>94</v>
      </c>
      <c r="N42">
        <v>4</v>
      </c>
      <c r="O42" t="s">
        <v>149</v>
      </c>
      <c r="Q42" t="s">
        <v>181</v>
      </c>
    </row>
    <row r="43" spans="1:17" x14ac:dyDescent="0.25">
      <c r="A43" t="s">
        <v>20</v>
      </c>
      <c r="B43" t="s">
        <v>33</v>
      </c>
      <c r="C43" t="s">
        <v>45</v>
      </c>
      <c r="D43" t="s">
        <v>57</v>
      </c>
      <c r="E43">
        <v>92228</v>
      </c>
      <c r="F43">
        <v>5507</v>
      </c>
      <c r="G43" t="s">
        <v>67</v>
      </c>
      <c r="I43" t="s">
        <v>56</v>
      </c>
      <c r="J43" t="s">
        <v>78</v>
      </c>
      <c r="K43" t="s">
        <v>104</v>
      </c>
      <c r="L43" t="s">
        <v>131</v>
      </c>
      <c r="M43">
        <v>5</v>
      </c>
      <c r="N43">
        <v>4</v>
      </c>
      <c r="O43" t="s">
        <v>150</v>
      </c>
      <c r="P43" t="s">
        <v>154</v>
      </c>
      <c r="Q43" t="s">
        <v>180</v>
      </c>
    </row>
    <row r="44" spans="1:17" x14ac:dyDescent="0.25">
      <c r="A44" t="s">
        <v>20</v>
      </c>
      <c r="B44" t="s">
        <v>29</v>
      </c>
      <c r="C44" t="s">
        <v>48</v>
      </c>
      <c r="E44">
        <v>73192</v>
      </c>
      <c r="F44">
        <v>9636</v>
      </c>
      <c r="G44" t="s">
        <v>67</v>
      </c>
      <c r="I44" t="s">
        <v>56</v>
      </c>
      <c r="J44" t="s">
        <v>76</v>
      </c>
      <c r="K44" t="s">
        <v>86</v>
      </c>
      <c r="L44" t="s">
        <v>115</v>
      </c>
      <c r="M44">
        <v>5</v>
      </c>
      <c r="N44">
        <v>4</v>
      </c>
      <c r="O44" t="s">
        <v>148</v>
      </c>
      <c r="P44" t="s">
        <v>154</v>
      </c>
      <c r="Q44" t="s">
        <v>194</v>
      </c>
    </row>
    <row r="45" spans="1:17" x14ac:dyDescent="0.25">
      <c r="A45" t="s">
        <v>19</v>
      </c>
      <c r="B45" t="s">
        <v>34</v>
      </c>
      <c r="C45" t="s">
        <v>46</v>
      </c>
      <c r="D45" t="s">
        <v>58</v>
      </c>
      <c r="E45">
        <v>1143063</v>
      </c>
      <c r="F45">
        <v>141574</v>
      </c>
      <c r="G45" t="s">
        <v>66</v>
      </c>
      <c r="J45" t="s">
        <v>76</v>
      </c>
      <c r="K45" t="s">
        <v>92</v>
      </c>
      <c r="L45" t="s">
        <v>119</v>
      </c>
      <c r="M45">
        <v>3</v>
      </c>
      <c r="N45">
        <v>1</v>
      </c>
      <c r="O45" t="s">
        <v>153</v>
      </c>
      <c r="P45" t="s">
        <v>156</v>
      </c>
      <c r="Q45" t="s">
        <v>169</v>
      </c>
    </row>
    <row r="46" spans="1:17" x14ac:dyDescent="0.25">
      <c r="A46" t="s">
        <v>17</v>
      </c>
      <c r="B46" t="s">
        <v>23</v>
      </c>
      <c r="C46" t="s">
        <v>44</v>
      </c>
      <c r="D46" t="s">
        <v>62</v>
      </c>
      <c r="E46">
        <v>103850</v>
      </c>
      <c r="F46">
        <v>16630</v>
      </c>
      <c r="G46" t="s">
        <v>64</v>
      </c>
      <c r="I46" t="s">
        <v>71</v>
      </c>
      <c r="J46" t="s">
        <v>74</v>
      </c>
      <c r="K46" t="s">
        <v>84</v>
      </c>
      <c r="L46" t="s">
        <v>74</v>
      </c>
      <c r="M46">
        <v>12</v>
      </c>
      <c r="N46">
        <v>11</v>
      </c>
      <c r="O46" t="s">
        <v>150</v>
      </c>
      <c r="P46" t="s">
        <v>157</v>
      </c>
      <c r="Q46" t="s">
        <v>195</v>
      </c>
    </row>
    <row r="47" spans="1:17" x14ac:dyDescent="0.25">
      <c r="A47" t="s">
        <v>17</v>
      </c>
      <c r="B47" t="s">
        <v>34</v>
      </c>
      <c r="C47" t="s">
        <v>45</v>
      </c>
      <c r="D47" t="s">
        <v>61</v>
      </c>
      <c r="E47">
        <v>92763</v>
      </c>
      <c r="F47">
        <v>5240</v>
      </c>
      <c r="G47" t="s">
        <v>65</v>
      </c>
      <c r="I47" t="s">
        <v>69</v>
      </c>
      <c r="J47" t="s">
        <v>80</v>
      </c>
      <c r="K47" t="s">
        <v>93</v>
      </c>
      <c r="L47" t="s">
        <v>93</v>
      </c>
      <c r="M47">
        <v>15</v>
      </c>
      <c r="N47">
        <v>14</v>
      </c>
      <c r="O47" t="s">
        <v>153</v>
      </c>
      <c r="P47" t="s">
        <v>154</v>
      </c>
      <c r="Q47" t="s">
        <v>196</v>
      </c>
    </row>
    <row r="48" spans="1:17" x14ac:dyDescent="0.25">
      <c r="A48" t="s">
        <v>21</v>
      </c>
      <c r="B48" t="s">
        <v>26</v>
      </c>
      <c r="C48" t="s">
        <v>44</v>
      </c>
      <c r="D48" t="s">
        <v>57</v>
      </c>
      <c r="E48">
        <v>40049</v>
      </c>
      <c r="F48">
        <v>3929</v>
      </c>
      <c r="G48" t="s">
        <v>63</v>
      </c>
      <c r="J48" t="s">
        <v>76</v>
      </c>
      <c r="K48" t="s">
        <v>100</v>
      </c>
      <c r="L48" t="s">
        <v>132</v>
      </c>
      <c r="M48">
        <v>18</v>
      </c>
      <c r="N48">
        <v>18</v>
      </c>
      <c r="O48" t="s">
        <v>152</v>
      </c>
      <c r="P48" t="s">
        <v>156</v>
      </c>
      <c r="Q48" t="s">
        <v>197</v>
      </c>
    </row>
    <row r="49" spans="1:17" x14ac:dyDescent="0.25">
      <c r="A49" t="s">
        <v>17</v>
      </c>
      <c r="B49" t="s">
        <v>23</v>
      </c>
      <c r="C49" t="s">
        <v>47</v>
      </c>
      <c r="D49" t="s">
        <v>59</v>
      </c>
      <c r="E49">
        <v>41988</v>
      </c>
      <c r="F49">
        <v>529</v>
      </c>
      <c r="G49" t="s">
        <v>67</v>
      </c>
      <c r="I49" t="s">
        <v>70</v>
      </c>
      <c r="J49" t="s">
        <v>77</v>
      </c>
      <c r="K49" t="s">
        <v>89</v>
      </c>
      <c r="L49" t="s">
        <v>124</v>
      </c>
      <c r="M49">
        <v>9</v>
      </c>
      <c r="N49">
        <v>6</v>
      </c>
      <c r="O49" t="s">
        <v>149</v>
      </c>
      <c r="P49" t="s">
        <v>154</v>
      </c>
      <c r="Q49" t="s">
        <v>198</v>
      </c>
    </row>
    <row r="50" spans="1:17" x14ac:dyDescent="0.25">
      <c r="A50" t="s">
        <v>17</v>
      </c>
      <c r="B50" t="s">
        <v>34</v>
      </c>
      <c r="C50" t="s">
        <v>37</v>
      </c>
      <c r="D50" t="s">
        <v>62</v>
      </c>
      <c r="E50">
        <v>65446</v>
      </c>
      <c r="F50">
        <v>2828</v>
      </c>
      <c r="G50" t="s">
        <v>63</v>
      </c>
      <c r="J50" t="s">
        <v>74</v>
      </c>
      <c r="K50" t="s">
        <v>84</v>
      </c>
      <c r="L50" t="s">
        <v>74</v>
      </c>
      <c r="M50">
        <v>12</v>
      </c>
      <c r="N50">
        <v>12</v>
      </c>
      <c r="O50" t="s">
        <v>151</v>
      </c>
      <c r="P50" t="s">
        <v>155</v>
      </c>
      <c r="Q50" t="s">
        <v>189</v>
      </c>
    </row>
    <row r="51" spans="1:17" x14ac:dyDescent="0.25">
      <c r="A51" t="s">
        <v>19</v>
      </c>
      <c r="B51" t="s">
        <v>24</v>
      </c>
      <c r="C51" t="s">
        <v>42</v>
      </c>
      <c r="D51" t="s">
        <v>60</v>
      </c>
      <c r="E51">
        <v>66319</v>
      </c>
      <c r="F51">
        <v>4666</v>
      </c>
      <c r="G51" t="s">
        <v>64</v>
      </c>
      <c r="I51" t="s">
        <v>70</v>
      </c>
      <c r="J51" t="s">
        <v>78</v>
      </c>
      <c r="K51" t="s">
        <v>105</v>
      </c>
      <c r="L51" t="s">
        <v>133</v>
      </c>
      <c r="M51">
        <v>9</v>
      </c>
      <c r="N51">
        <v>7</v>
      </c>
      <c r="O51" t="s">
        <v>150</v>
      </c>
      <c r="P51" t="s">
        <v>154</v>
      </c>
      <c r="Q51" t="s">
        <v>172</v>
      </c>
    </row>
    <row r="52" spans="1:17" x14ac:dyDescent="0.25">
      <c r="A52" t="s">
        <v>21</v>
      </c>
      <c r="B52" t="s">
        <v>26</v>
      </c>
      <c r="C52" t="s">
        <v>36</v>
      </c>
      <c r="D52" t="s">
        <v>57</v>
      </c>
      <c r="E52">
        <v>56671</v>
      </c>
      <c r="F52">
        <v>3210</v>
      </c>
      <c r="G52" t="s">
        <v>63</v>
      </c>
      <c r="I52" t="s">
        <v>70</v>
      </c>
      <c r="J52" t="s">
        <v>80</v>
      </c>
      <c r="K52" t="s">
        <v>106</v>
      </c>
      <c r="L52" t="s">
        <v>106</v>
      </c>
      <c r="M52">
        <v>25</v>
      </c>
      <c r="N52">
        <v>24</v>
      </c>
      <c r="O52" t="s">
        <v>151</v>
      </c>
      <c r="P52" t="s">
        <v>156</v>
      </c>
      <c r="Q52" t="s">
        <v>165</v>
      </c>
    </row>
    <row r="53" spans="1:17" x14ac:dyDescent="0.25">
      <c r="A53" t="s">
        <v>19</v>
      </c>
      <c r="D53" t="s">
        <v>62</v>
      </c>
      <c r="F53">
        <v>0</v>
      </c>
      <c r="G53" t="s">
        <v>66</v>
      </c>
      <c r="I53" t="s">
        <v>69</v>
      </c>
      <c r="J53" t="s">
        <v>79</v>
      </c>
      <c r="K53" t="s">
        <v>91</v>
      </c>
      <c r="N53">
        <v>12</v>
      </c>
      <c r="O53" t="s">
        <v>152</v>
      </c>
      <c r="Q53" t="s">
        <v>173</v>
      </c>
    </row>
    <row r="54" spans="1:17" x14ac:dyDescent="0.25">
      <c r="A54" t="s">
        <v>19</v>
      </c>
      <c r="B54" t="s">
        <v>27</v>
      </c>
      <c r="C54" t="s">
        <v>51</v>
      </c>
      <c r="D54" t="s">
        <v>57</v>
      </c>
      <c r="E54">
        <v>94266</v>
      </c>
      <c r="F54">
        <v>0</v>
      </c>
      <c r="G54" t="s">
        <v>68</v>
      </c>
      <c r="I54" t="s">
        <v>70</v>
      </c>
      <c r="J54" t="s">
        <v>77</v>
      </c>
      <c r="K54" t="s">
        <v>97</v>
      </c>
      <c r="L54" t="s">
        <v>122</v>
      </c>
      <c r="M54">
        <v>4</v>
      </c>
      <c r="N54">
        <v>3</v>
      </c>
      <c r="O54" t="s">
        <v>151</v>
      </c>
      <c r="P54" t="s">
        <v>154</v>
      </c>
      <c r="Q54" t="s">
        <v>199</v>
      </c>
    </row>
    <row r="55" spans="1:17" x14ac:dyDescent="0.25">
      <c r="A55" t="s">
        <v>20</v>
      </c>
      <c r="B55" t="s">
        <v>22</v>
      </c>
      <c r="C55" t="s">
        <v>43</v>
      </c>
      <c r="D55" t="s">
        <v>61</v>
      </c>
      <c r="E55">
        <v>141460</v>
      </c>
      <c r="F55">
        <v>387</v>
      </c>
      <c r="G55" t="s">
        <v>64</v>
      </c>
      <c r="J55" t="s">
        <v>72</v>
      </c>
      <c r="K55" t="s">
        <v>82</v>
      </c>
      <c r="L55" t="s">
        <v>112</v>
      </c>
      <c r="M55">
        <v>3</v>
      </c>
      <c r="N55">
        <v>0</v>
      </c>
      <c r="O55" t="s">
        <v>148</v>
      </c>
      <c r="P55" t="s">
        <v>156</v>
      </c>
      <c r="Q55" t="s">
        <v>188</v>
      </c>
    </row>
    <row r="56" spans="1:17" x14ac:dyDescent="0.25">
      <c r="A56" t="s">
        <v>20</v>
      </c>
      <c r="B56" t="s">
        <v>27</v>
      </c>
      <c r="C56" t="s">
        <v>50</v>
      </c>
      <c r="D56" t="s">
        <v>58</v>
      </c>
      <c r="E56">
        <v>79724</v>
      </c>
      <c r="F56">
        <v>201</v>
      </c>
      <c r="G56" t="s">
        <v>63</v>
      </c>
      <c r="I56" t="s">
        <v>69</v>
      </c>
      <c r="J56" t="s">
        <v>79</v>
      </c>
      <c r="K56" t="s">
        <v>107</v>
      </c>
      <c r="L56" t="s">
        <v>134</v>
      </c>
      <c r="M56">
        <v>6</v>
      </c>
      <c r="N56">
        <v>5</v>
      </c>
      <c r="O56" t="s">
        <v>152</v>
      </c>
      <c r="P56" t="s">
        <v>154</v>
      </c>
      <c r="Q56" t="s">
        <v>200</v>
      </c>
    </row>
    <row r="57" spans="1:17" x14ac:dyDescent="0.25">
      <c r="A57" t="s">
        <v>19</v>
      </c>
      <c r="B57" t="s">
        <v>27</v>
      </c>
      <c r="C57" t="s">
        <v>36</v>
      </c>
      <c r="D57" t="s">
        <v>57</v>
      </c>
      <c r="E57">
        <v>66097</v>
      </c>
      <c r="F57">
        <v>424</v>
      </c>
      <c r="G57" t="s">
        <v>65</v>
      </c>
      <c r="I57" t="s">
        <v>56</v>
      </c>
      <c r="J57" t="s">
        <v>76</v>
      </c>
      <c r="K57" t="s">
        <v>92</v>
      </c>
      <c r="L57" t="s">
        <v>119</v>
      </c>
      <c r="M57">
        <v>25</v>
      </c>
      <c r="N57">
        <v>23</v>
      </c>
      <c r="O57" t="s">
        <v>152</v>
      </c>
      <c r="P57" t="s">
        <v>156</v>
      </c>
      <c r="Q57" t="s">
        <v>166</v>
      </c>
    </row>
    <row r="58" spans="1:17" x14ac:dyDescent="0.25">
      <c r="A58" t="s">
        <v>17</v>
      </c>
      <c r="B58" t="s">
        <v>28</v>
      </c>
      <c r="C58" t="s">
        <v>49</v>
      </c>
      <c r="D58" t="s">
        <v>56</v>
      </c>
      <c r="E58">
        <v>85593</v>
      </c>
      <c r="F58">
        <v>7514</v>
      </c>
      <c r="G58" t="s">
        <v>65</v>
      </c>
      <c r="I58" t="s">
        <v>69</v>
      </c>
      <c r="J58" t="s">
        <v>80</v>
      </c>
      <c r="K58" t="s">
        <v>93</v>
      </c>
      <c r="L58" t="s">
        <v>93</v>
      </c>
      <c r="M58">
        <v>8</v>
      </c>
      <c r="N58">
        <v>7</v>
      </c>
      <c r="O58" t="s">
        <v>148</v>
      </c>
      <c r="P58" t="s">
        <v>156</v>
      </c>
      <c r="Q58" t="s">
        <v>180</v>
      </c>
    </row>
    <row r="59" spans="1:17" x14ac:dyDescent="0.25">
      <c r="A59" t="s">
        <v>19</v>
      </c>
      <c r="B59" t="s">
        <v>32</v>
      </c>
      <c r="C59" t="s">
        <v>52</v>
      </c>
      <c r="D59" t="s">
        <v>59</v>
      </c>
      <c r="E59">
        <v>441098</v>
      </c>
      <c r="F59">
        <v>0</v>
      </c>
      <c r="G59" t="s">
        <v>66</v>
      </c>
      <c r="I59" t="s">
        <v>70</v>
      </c>
      <c r="J59" t="s">
        <v>75</v>
      </c>
      <c r="K59" t="s">
        <v>85</v>
      </c>
      <c r="L59" t="s">
        <v>114</v>
      </c>
      <c r="M59">
        <v>6</v>
      </c>
      <c r="N59">
        <v>5</v>
      </c>
      <c r="O59" t="s">
        <v>148</v>
      </c>
      <c r="P59" t="s">
        <v>155</v>
      </c>
      <c r="Q59" t="s">
        <v>188</v>
      </c>
    </row>
    <row r="60" spans="1:17" x14ac:dyDescent="0.25">
      <c r="A60" t="s">
        <v>21</v>
      </c>
      <c r="B60" t="s">
        <v>25</v>
      </c>
      <c r="C60" t="s">
        <v>52</v>
      </c>
      <c r="D60" t="s">
        <v>56</v>
      </c>
      <c r="E60">
        <v>1042403</v>
      </c>
      <c r="F60">
        <v>0</v>
      </c>
      <c r="G60" t="s">
        <v>66</v>
      </c>
      <c r="I60" t="s">
        <v>70</v>
      </c>
      <c r="J60" t="s">
        <v>80</v>
      </c>
      <c r="K60" t="s">
        <v>93</v>
      </c>
      <c r="L60" t="s">
        <v>93</v>
      </c>
      <c r="M60">
        <v>12</v>
      </c>
      <c r="N60">
        <v>12</v>
      </c>
      <c r="O60" t="s">
        <v>153</v>
      </c>
      <c r="P60" t="s">
        <v>156</v>
      </c>
      <c r="Q60" t="s">
        <v>174</v>
      </c>
    </row>
    <row r="61" spans="1:17" x14ac:dyDescent="0.25">
      <c r="A61" t="s">
        <v>18</v>
      </c>
      <c r="B61" t="s">
        <v>25</v>
      </c>
      <c r="C61" t="s">
        <v>40</v>
      </c>
      <c r="D61" t="s">
        <v>59</v>
      </c>
      <c r="E61">
        <v>112462</v>
      </c>
      <c r="F61">
        <v>1173</v>
      </c>
      <c r="G61" t="s">
        <v>64</v>
      </c>
      <c r="I61" t="s">
        <v>71</v>
      </c>
      <c r="J61" t="s">
        <v>73</v>
      </c>
      <c r="K61" t="s">
        <v>102</v>
      </c>
      <c r="L61" t="s">
        <v>102</v>
      </c>
      <c r="M61">
        <v>0</v>
      </c>
      <c r="N61">
        <v>0</v>
      </c>
      <c r="O61" t="s">
        <v>148</v>
      </c>
      <c r="P61" t="s">
        <v>156</v>
      </c>
      <c r="Q61" t="s">
        <v>201</v>
      </c>
    </row>
    <row r="62" spans="1:17" x14ac:dyDescent="0.25">
      <c r="A62" t="s">
        <v>21</v>
      </c>
      <c r="B62" t="s">
        <v>34</v>
      </c>
      <c r="C62" t="s">
        <v>53</v>
      </c>
      <c r="D62" t="s">
        <v>62</v>
      </c>
      <c r="E62">
        <v>615089</v>
      </c>
      <c r="F62">
        <v>1588</v>
      </c>
      <c r="G62" t="s">
        <v>66</v>
      </c>
      <c r="I62" t="s">
        <v>69</v>
      </c>
      <c r="J62" t="s">
        <v>75</v>
      </c>
      <c r="K62" t="s">
        <v>108</v>
      </c>
      <c r="L62" t="s">
        <v>135</v>
      </c>
      <c r="M62">
        <v>25</v>
      </c>
      <c r="N62">
        <v>22</v>
      </c>
      <c r="O62" t="s">
        <v>152</v>
      </c>
      <c r="P62" t="s">
        <v>157</v>
      </c>
      <c r="Q62" t="s">
        <v>202</v>
      </c>
    </row>
    <row r="63" spans="1:17" x14ac:dyDescent="0.25">
      <c r="A63" t="s">
        <v>19</v>
      </c>
      <c r="D63" t="s">
        <v>55</v>
      </c>
      <c r="F63">
        <v>5754</v>
      </c>
      <c r="G63" t="s">
        <v>63</v>
      </c>
      <c r="I63" t="s">
        <v>70</v>
      </c>
      <c r="J63" t="s">
        <v>80</v>
      </c>
      <c r="K63" t="s">
        <v>93</v>
      </c>
      <c r="N63">
        <v>23</v>
      </c>
      <c r="O63" t="s">
        <v>152</v>
      </c>
      <c r="Q63" t="s">
        <v>203</v>
      </c>
    </row>
    <row r="64" spans="1:17" x14ac:dyDescent="0.25">
      <c r="A64" t="s">
        <v>21</v>
      </c>
      <c r="B64" t="s">
        <v>30</v>
      </c>
      <c r="C64" t="s">
        <v>52</v>
      </c>
      <c r="D64" t="s">
        <v>54</v>
      </c>
      <c r="E64">
        <v>123016</v>
      </c>
      <c r="F64">
        <v>23538</v>
      </c>
      <c r="G64" t="s">
        <v>67</v>
      </c>
      <c r="I64" t="s">
        <v>71</v>
      </c>
      <c r="J64" t="s">
        <v>78</v>
      </c>
      <c r="K64" t="s">
        <v>104</v>
      </c>
      <c r="L64" t="s">
        <v>131</v>
      </c>
      <c r="M64">
        <v>8</v>
      </c>
      <c r="N64">
        <v>5</v>
      </c>
      <c r="O64" t="s">
        <v>148</v>
      </c>
      <c r="P64" t="s">
        <v>156</v>
      </c>
      <c r="Q64" t="s">
        <v>204</v>
      </c>
    </row>
    <row r="65" spans="1:17" x14ac:dyDescent="0.25">
      <c r="A65" t="s">
        <v>17</v>
      </c>
      <c r="B65" t="s">
        <v>32</v>
      </c>
      <c r="C65" t="s">
        <v>38</v>
      </c>
      <c r="D65" t="s">
        <v>62</v>
      </c>
      <c r="E65">
        <v>520109</v>
      </c>
      <c r="F65">
        <v>29887</v>
      </c>
      <c r="G65" t="s">
        <v>66</v>
      </c>
      <c r="I65" t="s">
        <v>56</v>
      </c>
      <c r="J65" t="s">
        <v>78</v>
      </c>
      <c r="K65" t="s">
        <v>88</v>
      </c>
      <c r="L65" t="s">
        <v>136</v>
      </c>
      <c r="M65">
        <v>9</v>
      </c>
      <c r="N65">
        <v>9</v>
      </c>
      <c r="O65" t="s">
        <v>153</v>
      </c>
      <c r="P65" t="s">
        <v>157</v>
      </c>
      <c r="Q65" t="s">
        <v>166</v>
      </c>
    </row>
    <row r="66" spans="1:17" x14ac:dyDescent="0.25">
      <c r="A66" t="s">
        <v>20</v>
      </c>
      <c r="B66" t="s">
        <v>25</v>
      </c>
      <c r="C66" t="s">
        <v>42</v>
      </c>
      <c r="D66" t="s">
        <v>61</v>
      </c>
      <c r="E66">
        <v>605854</v>
      </c>
      <c r="F66">
        <v>16955</v>
      </c>
      <c r="G66" t="s">
        <v>66</v>
      </c>
      <c r="I66" t="s">
        <v>70</v>
      </c>
      <c r="J66" t="s">
        <v>77</v>
      </c>
      <c r="K66" t="s">
        <v>89</v>
      </c>
      <c r="L66" t="s">
        <v>124</v>
      </c>
      <c r="M66">
        <v>4</v>
      </c>
      <c r="N66">
        <v>4</v>
      </c>
      <c r="O66" t="s">
        <v>149</v>
      </c>
      <c r="P66" t="s">
        <v>154</v>
      </c>
      <c r="Q66" t="s">
        <v>165</v>
      </c>
    </row>
    <row r="67" spans="1:17" x14ac:dyDescent="0.25">
      <c r="A67" t="s">
        <v>20</v>
      </c>
      <c r="B67" t="s">
        <v>29</v>
      </c>
      <c r="C67" t="s">
        <v>41</v>
      </c>
      <c r="D67" t="s">
        <v>61</v>
      </c>
      <c r="E67">
        <v>61948</v>
      </c>
      <c r="F67">
        <v>7375</v>
      </c>
      <c r="G67" t="s">
        <v>65</v>
      </c>
      <c r="I67" t="s">
        <v>69</v>
      </c>
      <c r="J67" t="s">
        <v>79</v>
      </c>
      <c r="K67" t="s">
        <v>91</v>
      </c>
      <c r="L67" t="s">
        <v>118</v>
      </c>
      <c r="M67">
        <v>5</v>
      </c>
      <c r="N67">
        <v>2</v>
      </c>
      <c r="O67" t="s">
        <v>152</v>
      </c>
      <c r="P67" t="s">
        <v>154</v>
      </c>
      <c r="Q67" t="s">
        <v>169</v>
      </c>
    </row>
    <row r="68" spans="1:17" x14ac:dyDescent="0.25">
      <c r="A68" t="s">
        <v>18</v>
      </c>
      <c r="B68" t="s">
        <v>34</v>
      </c>
      <c r="C68" t="s">
        <v>40</v>
      </c>
      <c r="E68">
        <v>73908</v>
      </c>
      <c r="F68">
        <v>47</v>
      </c>
      <c r="G68" t="s">
        <v>65</v>
      </c>
      <c r="I68" t="s">
        <v>56</v>
      </c>
      <c r="J68" t="s">
        <v>72</v>
      </c>
      <c r="K68" t="s">
        <v>82</v>
      </c>
      <c r="L68" t="s">
        <v>112</v>
      </c>
      <c r="M68">
        <v>0</v>
      </c>
      <c r="N68">
        <v>0</v>
      </c>
      <c r="O68" t="s">
        <v>148</v>
      </c>
      <c r="P68" t="s">
        <v>156</v>
      </c>
      <c r="Q68" t="s">
        <v>205</v>
      </c>
    </row>
    <row r="69" spans="1:17" x14ac:dyDescent="0.25">
      <c r="A69" t="s">
        <v>20</v>
      </c>
      <c r="B69" t="s">
        <v>35</v>
      </c>
      <c r="C69" t="s">
        <v>49</v>
      </c>
      <c r="E69">
        <v>63614</v>
      </c>
      <c r="F69">
        <v>0</v>
      </c>
      <c r="G69" t="s">
        <v>64</v>
      </c>
      <c r="J69" t="s">
        <v>78</v>
      </c>
      <c r="K69" t="s">
        <v>109</v>
      </c>
      <c r="L69" t="s">
        <v>137</v>
      </c>
      <c r="M69">
        <v>2</v>
      </c>
      <c r="N69">
        <v>2</v>
      </c>
      <c r="O69" t="s">
        <v>149</v>
      </c>
      <c r="P69" t="s">
        <v>157</v>
      </c>
      <c r="Q69" t="s">
        <v>175</v>
      </c>
    </row>
    <row r="70" spans="1:17" x14ac:dyDescent="0.25">
      <c r="A70" t="s">
        <v>20</v>
      </c>
      <c r="B70" t="s">
        <v>26</v>
      </c>
      <c r="C70" t="s">
        <v>50</v>
      </c>
      <c r="D70" t="s">
        <v>62</v>
      </c>
      <c r="E70">
        <v>95929</v>
      </c>
      <c r="F70">
        <v>1157</v>
      </c>
      <c r="G70" t="s">
        <v>68</v>
      </c>
      <c r="J70" t="s">
        <v>72</v>
      </c>
      <c r="K70" t="s">
        <v>82</v>
      </c>
      <c r="L70" t="s">
        <v>112</v>
      </c>
      <c r="M70">
        <v>1</v>
      </c>
      <c r="N70">
        <v>0</v>
      </c>
      <c r="O70" t="s">
        <v>151</v>
      </c>
      <c r="P70" t="s">
        <v>154</v>
      </c>
      <c r="Q70" t="s">
        <v>174</v>
      </c>
    </row>
    <row r="71" spans="1:17" x14ac:dyDescent="0.25">
      <c r="A71" t="s">
        <v>20</v>
      </c>
      <c r="B71" t="s">
        <v>25</v>
      </c>
      <c r="C71" t="s">
        <v>45</v>
      </c>
      <c r="D71" t="s">
        <v>56</v>
      </c>
      <c r="E71">
        <v>27257</v>
      </c>
      <c r="F71">
        <v>0</v>
      </c>
      <c r="G71" t="s">
        <v>63</v>
      </c>
      <c r="I71" t="s">
        <v>56</v>
      </c>
      <c r="J71" t="s">
        <v>74</v>
      </c>
      <c r="K71" t="s">
        <v>84</v>
      </c>
      <c r="L71" t="s">
        <v>74</v>
      </c>
      <c r="M71">
        <v>6</v>
      </c>
      <c r="N71">
        <v>3</v>
      </c>
      <c r="O71" t="s">
        <v>149</v>
      </c>
      <c r="P71" t="s">
        <v>157</v>
      </c>
      <c r="Q71" t="s">
        <v>206</v>
      </c>
    </row>
    <row r="72" spans="1:17" x14ac:dyDescent="0.25">
      <c r="A72" t="s">
        <v>19</v>
      </c>
      <c r="B72" t="s">
        <v>28</v>
      </c>
      <c r="C72" t="s">
        <v>45</v>
      </c>
      <c r="D72" t="s">
        <v>57</v>
      </c>
      <c r="E72">
        <v>123007</v>
      </c>
      <c r="F72">
        <v>0</v>
      </c>
      <c r="G72" t="s">
        <v>64</v>
      </c>
      <c r="I72" t="s">
        <v>70</v>
      </c>
      <c r="J72" t="s">
        <v>75</v>
      </c>
      <c r="K72" t="s">
        <v>96</v>
      </c>
      <c r="L72" t="s">
        <v>121</v>
      </c>
      <c r="M72">
        <v>3</v>
      </c>
      <c r="N72">
        <v>2</v>
      </c>
      <c r="O72" t="s">
        <v>148</v>
      </c>
      <c r="P72" t="s">
        <v>157</v>
      </c>
      <c r="Q72" t="s">
        <v>207</v>
      </c>
    </row>
    <row r="73" spans="1:17" x14ac:dyDescent="0.25">
      <c r="A73" t="s">
        <v>17</v>
      </c>
      <c r="B73" t="s">
        <v>25</v>
      </c>
      <c r="C73" t="s">
        <v>39</v>
      </c>
      <c r="D73" t="s">
        <v>60</v>
      </c>
      <c r="E73">
        <v>774928</v>
      </c>
      <c r="F73">
        <v>36779</v>
      </c>
      <c r="G73" t="s">
        <v>66</v>
      </c>
      <c r="I73" t="s">
        <v>70</v>
      </c>
      <c r="J73" t="s">
        <v>81</v>
      </c>
      <c r="K73" t="s">
        <v>98</v>
      </c>
      <c r="L73" t="s">
        <v>123</v>
      </c>
      <c r="M73">
        <v>10</v>
      </c>
      <c r="N73">
        <v>10</v>
      </c>
      <c r="O73" t="s">
        <v>148</v>
      </c>
      <c r="P73" t="s">
        <v>157</v>
      </c>
      <c r="Q73" t="s">
        <v>175</v>
      </c>
    </row>
    <row r="74" spans="1:17" x14ac:dyDescent="0.25">
      <c r="A74" t="s">
        <v>19</v>
      </c>
      <c r="B74" t="s">
        <v>28</v>
      </c>
      <c r="C74" t="s">
        <v>43</v>
      </c>
      <c r="D74" t="s">
        <v>57</v>
      </c>
      <c r="E74">
        <v>15092</v>
      </c>
      <c r="F74">
        <v>10318</v>
      </c>
      <c r="G74" t="s">
        <v>67</v>
      </c>
      <c r="I74" t="s">
        <v>70</v>
      </c>
      <c r="J74" t="s">
        <v>74</v>
      </c>
      <c r="K74" t="s">
        <v>84</v>
      </c>
      <c r="L74" t="s">
        <v>74</v>
      </c>
      <c r="M74">
        <v>9</v>
      </c>
      <c r="N74">
        <v>9</v>
      </c>
      <c r="O74" t="s">
        <v>153</v>
      </c>
      <c r="P74" t="s">
        <v>156</v>
      </c>
      <c r="Q74" t="s">
        <v>208</v>
      </c>
    </row>
    <row r="75" spans="1:17" x14ac:dyDescent="0.25">
      <c r="A75" t="s">
        <v>20</v>
      </c>
      <c r="B75" t="s">
        <v>35</v>
      </c>
      <c r="C75" t="s">
        <v>40</v>
      </c>
      <c r="D75" t="s">
        <v>61</v>
      </c>
      <c r="E75">
        <v>492880</v>
      </c>
      <c r="F75">
        <v>15157</v>
      </c>
      <c r="G75" t="s">
        <v>66</v>
      </c>
      <c r="I75" t="s">
        <v>69</v>
      </c>
      <c r="J75" t="s">
        <v>79</v>
      </c>
      <c r="K75" t="s">
        <v>107</v>
      </c>
      <c r="L75" t="s">
        <v>134</v>
      </c>
      <c r="M75">
        <v>5</v>
      </c>
      <c r="N75">
        <v>5</v>
      </c>
      <c r="O75" t="s">
        <v>148</v>
      </c>
      <c r="P75" t="s">
        <v>157</v>
      </c>
      <c r="Q75" t="s">
        <v>158</v>
      </c>
    </row>
    <row r="76" spans="1:17" x14ac:dyDescent="0.25">
      <c r="A76" t="s">
        <v>19</v>
      </c>
      <c r="B76" t="s">
        <v>35</v>
      </c>
      <c r="C76" t="s">
        <v>44</v>
      </c>
      <c r="E76">
        <v>105033</v>
      </c>
      <c r="F76">
        <v>13302</v>
      </c>
      <c r="G76" t="s">
        <v>63</v>
      </c>
      <c r="I76" t="s">
        <v>71</v>
      </c>
      <c r="J76" t="s">
        <v>75</v>
      </c>
      <c r="K76" t="s">
        <v>96</v>
      </c>
      <c r="L76" t="s">
        <v>121</v>
      </c>
      <c r="M76">
        <v>18</v>
      </c>
      <c r="N76">
        <v>18</v>
      </c>
      <c r="O76" t="s">
        <v>149</v>
      </c>
      <c r="P76" t="s">
        <v>156</v>
      </c>
      <c r="Q76" t="s">
        <v>209</v>
      </c>
    </row>
    <row r="77" spans="1:17" x14ac:dyDescent="0.25">
      <c r="A77" t="s">
        <v>21</v>
      </c>
      <c r="B77" t="s">
        <v>28</v>
      </c>
      <c r="C77" t="s">
        <v>45</v>
      </c>
      <c r="D77" t="s">
        <v>57</v>
      </c>
      <c r="E77">
        <v>46301</v>
      </c>
      <c r="F77">
        <v>2565</v>
      </c>
      <c r="G77" t="s">
        <v>64</v>
      </c>
      <c r="I77" t="s">
        <v>70</v>
      </c>
      <c r="J77" t="s">
        <v>76</v>
      </c>
      <c r="K77" t="s">
        <v>100</v>
      </c>
      <c r="L77" t="s">
        <v>132</v>
      </c>
      <c r="M77">
        <v>25</v>
      </c>
      <c r="N77">
        <v>25</v>
      </c>
      <c r="O77" t="s">
        <v>149</v>
      </c>
      <c r="P77" t="s">
        <v>155</v>
      </c>
      <c r="Q77" t="s">
        <v>210</v>
      </c>
    </row>
    <row r="78" spans="1:17" x14ac:dyDescent="0.25">
      <c r="A78" t="s">
        <v>20</v>
      </c>
      <c r="B78" t="s">
        <v>26</v>
      </c>
      <c r="C78" t="s">
        <v>48</v>
      </c>
      <c r="E78">
        <v>79337</v>
      </c>
      <c r="F78">
        <v>6379</v>
      </c>
      <c r="G78" t="s">
        <v>63</v>
      </c>
      <c r="I78" t="s">
        <v>71</v>
      </c>
      <c r="J78" t="s">
        <v>72</v>
      </c>
      <c r="K78" t="s">
        <v>95</v>
      </c>
      <c r="L78" t="s">
        <v>120</v>
      </c>
      <c r="M78">
        <v>7</v>
      </c>
      <c r="N78">
        <v>5</v>
      </c>
      <c r="O78" t="s">
        <v>149</v>
      </c>
      <c r="P78" t="s">
        <v>157</v>
      </c>
      <c r="Q78" t="s">
        <v>211</v>
      </c>
    </row>
    <row r="79" spans="1:17" x14ac:dyDescent="0.25">
      <c r="A79" t="s">
        <v>17</v>
      </c>
      <c r="B79" t="s">
        <v>28</v>
      </c>
      <c r="C79" t="s">
        <v>41</v>
      </c>
      <c r="D79" t="s">
        <v>58</v>
      </c>
      <c r="E79">
        <v>80281</v>
      </c>
      <c r="F79">
        <v>4220</v>
      </c>
      <c r="G79" t="s">
        <v>63</v>
      </c>
      <c r="I79" t="s">
        <v>70</v>
      </c>
      <c r="J79" t="s">
        <v>73</v>
      </c>
      <c r="K79" t="s">
        <v>83</v>
      </c>
      <c r="L79" t="s">
        <v>113</v>
      </c>
      <c r="M79">
        <v>9</v>
      </c>
      <c r="N79">
        <v>9</v>
      </c>
      <c r="O79" t="s">
        <v>150</v>
      </c>
      <c r="P79" t="s">
        <v>155</v>
      </c>
      <c r="Q79" t="s">
        <v>188</v>
      </c>
    </row>
    <row r="80" spans="1:17" x14ac:dyDescent="0.25">
      <c r="A80" t="s">
        <v>19</v>
      </c>
      <c r="B80" t="s">
        <v>25</v>
      </c>
      <c r="C80" t="s">
        <v>41</v>
      </c>
      <c r="D80" t="s">
        <v>60</v>
      </c>
      <c r="E80">
        <v>786898</v>
      </c>
      <c r="F80">
        <v>22413</v>
      </c>
      <c r="G80" t="s">
        <v>66</v>
      </c>
      <c r="I80" t="s">
        <v>69</v>
      </c>
      <c r="J80" t="s">
        <v>72</v>
      </c>
      <c r="K80" t="s">
        <v>95</v>
      </c>
      <c r="L80" t="s">
        <v>120</v>
      </c>
      <c r="M80">
        <v>5</v>
      </c>
      <c r="N80">
        <v>2</v>
      </c>
      <c r="O80" t="s">
        <v>153</v>
      </c>
      <c r="P80" t="s">
        <v>154</v>
      </c>
      <c r="Q80" t="s">
        <v>188</v>
      </c>
    </row>
    <row r="81" spans="1:17" x14ac:dyDescent="0.25">
      <c r="A81" t="s">
        <v>19</v>
      </c>
      <c r="B81" t="s">
        <v>31</v>
      </c>
      <c r="C81" t="s">
        <v>42</v>
      </c>
      <c r="D81" t="s">
        <v>58</v>
      </c>
      <c r="E81">
        <v>839732</v>
      </c>
      <c r="F81">
        <v>34799</v>
      </c>
      <c r="G81" t="s">
        <v>66</v>
      </c>
      <c r="I81" t="s">
        <v>69</v>
      </c>
      <c r="J81" t="s">
        <v>75</v>
      </c>
      <c r="K81" t="s">
        <v>96</v>
      </c>
      <c r="L81" t="s">
        <v>121</v>
      </c>
      <c r="M81">
        <v>2</v>
      </c>
      <c r="N81">
        <v>0</v>
      </c>
      <c r="O81" t="s">
        <v>150</v>
      </c>
      <c r="P81" t="s">
        <v>155</v>
      </c>
      <c r="Q81" t="s">
        <v>212</v>
      </c>
    </row>
    <row r="82" spans="1:17" x14ac:dyDescent="0.25">
      <c r="A82" t="s">
        <v>19</v>
      </c>
      <c r="B82" t="s">
        <v>35</v>
      </c>
      <c r="C82" t="s">
        <v>44</v>
      </c>
      <c r="D82" t="s">
        <v>60</v>
      </c>
      <c r="E82">
        <v>89281</v>
      </c>
      <c r="F82">
        <v>1714</v>
      </c>
      <c r="G82" t="s">
        <v>63</v>
      </c>
      <c r="J82" t="s">
        <v>78</v>
      </c>
      <c r="K82" t="s">
        <v>90</v>
      </c>
      <c r="L82" t="s">
        <v>138</v>
      </c>
      <c r="M82">
        <v>8</v>
      </c>
      <c r="N82">
        <v>6</v>
      </c>
      <c r="O82" t="s">
        <v>148</v>
      </c>
      <c r="P82" t="s">
        <v>154</v>
      </c>
      <c r="Q82" t="s">
        <v>188</v>
      </c>
    </row>
    <row r="83" spans="1:17" x14ac:dyDescent="0.25">
      <c r="A83" t="s">
        <v>18</v>
      </c>
      <c r="B83" t="s">
        <v>23</v>
      </c>
      <c r="C83" t="s">
        <v>37</v>
      </c>
      <c r="D83" t="s">
        <v>62</v>
      </c>
      <c r="E83">
        <v>108312</v>
      </c>
      <c r="F83">
        <v>5107</v>
      </c>
      <c r="G83" t="s">
        <v>68</v>
      </c>
      <c r="I83" t="s">
        <v>56</v>
      </c>
      <c r="J83" t="s">
        <v>73</v>
      </c>
      <c r="K83" t="s">
        <v>83</v>
      </c>
      <c r="L83" t="s">
        <v>113</v>
      </c>
      <c r="M83">
        <v>0</v>
      </c>
      <c r="N83">
        <v>0</v>
      </c>
      <c r="O83" t="s">
        <v>148</v>
      </c>
      <c r="P83" t="s">
        <v>155</v>
      </c>
      <c r="Q83" t="s">
        <v>213</v>
      </c>
    </row>
    <row r="84" spans="1:17" x14ac:dyDescent="0.25">
      <c r="A84" t="s">
        <v>19</v>
      </c>
      <c r="B84" t="s">
        <v>28</v>
      </c>
      <c r="C84" t="s">
        <v>48</v>
      </c>
      <c r="D84" t="s">
        <v>57</v>
      </c>
      <c r="E84">
        <v>8781</v>
      </c>
      <c r="F84">
        <v>10240</v>
      </c>
      <c r="G84" t="s">
        <v>68</v>
      </c>
      <c r="I84" t="s">
        <v>69</v>
      </c>
      <c r="J84" t="s">
        <v>74</v>
      </c>
      <c r="K84" t="s">
        <v>84</v>
      </c>
      <c r="L84" t="s">
        <v>74</v>
      </c>
      <c r="M84">
        <v>8</v>
      </c>
      <c r="N84">
        <v>5</v>
      </c>
      <c r="O84" t="s">
        <v>152</v>
      </c>
      <c r="P84" t="s">
        <v>157</v>
      </c>
      <c r="Q84" t="s">
        <v>202</v>
      </c>
    </row>
    <row r="85" spans="1:17" x14ac:dyDescent="0.25">
      <c r="A85" t="s">
        <v>19</v>
      </c>
      <c r="B85" t="s">
        <v>28</v>
      </c>
      <c r="C85" t="s">
        <v>40</v>
      </c>
      <c r="D85" t="s">
        <v>56</v>
      </c>
      <c r="E85">
        <v>18665</v>
      </c>
      <c r="F85">
        <v>0</v>
      </c>
      <c r="G85" t="s">
        <v>64</v>
      </c>
      <c r="I85" t="s">
        <v>56</v>
      </c>
      <c r="J85" t="s">
        <v>77</v>
      </c>
      <c r="K85" t="s">
        <v>110</v>
      </c>
      <c r="L85" t="s">
        <v>139</v>
      </c>
      <c r="M85">
        <v>12</v>
      </c>
      <c r="N85">
        <v>12</v>
      </c>
      <c r="O85" t="s">
        <v>148</v>
      </c>
      <c r="P85" t="s">
        <v>156</v>
      </c>
      <c r="Q85" t="s">
        <v>214</v>
      </c>
    </row>
    <row r="86" spans="1:17" x14ac:dyDescent="0.25">
      <c r="A86" t="s">
        <v>21</v>
      </c>
      <c r="B86" t="s">
        <v>24</v>
      </c>
      <c r="C86" t="s">
        <v>44</v>
      </c>
      <c r="D86" t="s">
        <v>60</v>
      </c>
      <c r="E86">
        <v>47693</v>
      </c>
      <c r="F86">
        <v>0</v>
      </c>
      <c r="G86" t="s">
        <v>68</v>
      </c>
      <c r="I86" t="s">
        <v>56</v>
      </c>
      <c r="J86" t="s">
        <v>77</v>
      </c>
      <c r="K86" t="s">
        <v>89</v>
      </c>
      <c r="L86" t="s">
        <v>124</v>
      </c>
      <c r="M86">
        <v>10</v>
      </c>
      <c r="N86">
        <v>9</v>
      </c>
      <c r="O86" t="s">
        <v>153</v>
      </c>
      <c r="P86" t="s">
        <v>157</v>
      </c>
      <c r="Q86" t="s">
        <v>178</v>
      </c>
    </row>
    <row r="87" spans="1:17" x14ac:dyDescent="0.25">
      <c r="A87" t="s">
        <v>19</v>
      </c>
      <c r="B87" t="s">
        <v>24</v>
      </c>
      <c r="C87" t="s">
        <v>37</v>
      </c>
      <c r="D87" t="s">
        <v>62</v>
      </c>
      <c r="E87">
        <v>120358</v>
      </c>
      <c r="F87">
        <v>10790</v>
      </c>
      <c r="G87" t="s">
        <v>67</v>
      </c>
      <c r="I87" t="s">
        <v>70</v>
      </c>
      <c r="J87" t="s">
        <v>81</v>
      </c>
      <c r="K87" t="s">
        <v>103</v>
      </c>
      <c r="L87" t="s">
        <v>140</v>
      </c>
      <c r="M87">
        <v>5</v>
      </c>
      <c r="N87">
        <v>5</v>
      </c>
      <c r="O87" t="s">
        <v>148</v>
      </c>
      <c r="P87" t="s">
        <v>155</v>
      </c>
      <c r="Q87" t="s">
        <v>178</v>
      </c>
    </row>
    <row r="88" spans="1:17" x14ac:dyDescent="0.25">
      <c r="A88" t="s">
        <v>19</v>
      </c>
      <c r="D88" t="s">
        <v>60</v>
      </c>
      <c r="F88">
        <v>7811</v>
      </c>
      <c r="G88" t="s">
        <v>63</v>
      </c>
      <c r="I88" t="s">
        <v>56</v>
      </c>
      <c r="J88" t="s">
        <v>79</v>
      </c>
      <c r="K88" t="s">
        <v>91</v>
      </c>
      <c r="N88">
        <v>4</v>
      </c>
      <c r="O88" t="s">
        <v>150</v>
      </c>
      <c r="Q88" t="s">
        <v>215</v>
      </c>
    </row>
    <row r="89" spans="1:17" x14ac:dyDescent="0.25">
      <c r="A89" t="s">
        <v>20</v>
      </c>
      <c r="B89" t="s">
        <v>23</v>
      </c>
      <c r="C89" t="s">
        <v>39</v>
      </c>
      <c r="D89" t="s">
        <v>56</v>
      </c>
      <c r="E89">
        <v>67864</v>
      </c>
      <c r="F89">
        <v>4878</v>
      </c>
      <c r="G89" t="s">
        <v>64</v>
      </c>
      <c r="I89" t="s">
        <v>69</v>
      </c>
      <c r="J89" t="s">
        <v>77</v>
      </c>
      <c r="K89" t="s">
        <v>97</v>
      </c>
      <c r="L89" t="s">
        <v>122</v>
      </c>
      <c r="M89">
        <v>6</v>
      </c>
      <c r="N89">
        <v>6</v>
      </c>
      <c r="O89" t="s">
        <v>149</v>
      </c>
      <c r="P89" t="s">
        <v>154</v>
      </c>
      <c r="Q89" t="s">
        <v>212</v>
      </c>
    </row>
    <row r="90" spans="1:17" x14ac:dyDescent="0.25">
      <c r="A90" t="s">
        <v>20</v>
      </c>
      <c r="B90" t="s">
        <v>29</v>
      </c>
      <c r="C90" t="s">
        <v>46</v>
      </c>
      <c r="D90" t="s">
        <v>61</v>
      </c>
      <c r="E90">
        <v>91974</v>
      </c>
      <c r="F90">
        <v>0</v>
      </c>
      <c r="G90" t="s">
        <v>65</v>
      </c>
      <c r="I90" t="s">
        <v>56</v>
      </c>
      <c r="J90" t="s">
        <v>77</v>
      </c>
      <c r="K90" t="s">
        <v>110</v>
      </c>
      <c r="L90" t="s">
        <v>139</v>
      </c>
      <c r="M90">
        <v>6</v>
      </c>
      <c r="N90">
        <v>4</v>
      </c>
      <c r="O90" t="s">
        <v>153</v>
      </c>
      <c r="P90" t="s">
        <v>154</v>
      </c>
      <c r="Q90" t="s">
        <v>167</v>
      </c>
    </row>
    <row r="91" spans="1:17" x14ac:dyDescent="0.25">
      <c r="A91" t="s">
        <v>20</v>
      </c>
      <c r="B91" t="s">
        <v>23</v>
      </c>
      <c r="C91" t="s">
        <v>52</v>
      </c>
      <c r="D91" t="s">
        <v>61</v>
      </c>
      <c r="E91">
        <v>130119</v>
      </c>
      <c r="F91">
        <v>13404</v>
      </c>
      <c r="G91" t="s">
        <v>64</v>
      </c>
      <c r="I91" t="s">
        <v>71</v>
      </c>
      <c r="J91" t="s">
        <v>79</v>
      </c>
      <c r="K91" t="s">
        <v>107</v>
      </c>
      <c r="L91" t="s">
        <v>134</v>
      </c>
      <c r="M91">
        <v>3</v>
      </c>
      <c r="N91">
        <v>2</v>
      </c>
      <c r="O91" t="s">
        <v>153</v>
      </c>
      <c r="P91" t="s">
        <v>155</v>
      </c>
      <c r="Q91" t="s">
        <v>178</v>
      </c>
    </row>
    <row r="92" spans="1:17" x14ac:dyDescent="0.25">
      <c r="A92" t="s">
        <v>20</v>
      </c>
      <c r="B92" t="s">
        <v>24</v>
      </c>
      <c r="C92" t="s">
        <v>51</v>
      </c>
      <c r="D92" t="s">
        <v>57</v>
      </c>
      <c r="E92">
        <v>90905</v>
      </c>
      <c r="F92">
        <v>0</v>
      </c>
      <c r="G92" t="s">
        <v>64</v>
      </c>
      <c r="I92" t="s">
        <v>69</v>
      </c>
      <c r="J92" t="s">
        <v>77</v>
      </c>
      <c r="K92" t="s">
        <v>97</v>
      </c>
      <c r="L92" t="s">
        <v>122</v>
      </c>
      <c r="M92">
        <v>7</v>
      </c>
      <c r="N92">
        <v>7</v>
      </c>
      <c r="O92" t="s">
        <v>151</v>
      </c>
      <c r="P92" t="s">
        <v>155</v>
      </c>
      <c r="Q92" t="s">
        <v>216</v>
      </c>
    </row>
    <row r="93" spans="1:17" x14ac:dyDescent="0.25">
      <c r="A93" t="s">
        <v>19</v>
      </c>
      <c r="B93" t="s">
        <v>35</v>
      </c>
      <c r="C93" t="s">
        <v>42</v>
      </c>
      <c r="E93">
        <v>71493</v>
      </c>
      <c r="F93">
        <v>0</v>
      </c>
      <c r="G93" t="s">
        <v>68</v>
      </c>
      <c r="I93" t="s">
        <v>71</v>
      </c>
      <c r="J93" t="s">
        <v>79</v>
      </c>
      <c r="K93" t="s">
        <v>91</v>
      </c>
      <c r="L93" t="s">
        <v>118</v>
      </c>
      <c r="M93">
        <v>25</v>
      </c>
      <c r="N93">
        <v>25</v>
      </c>
      <c r="O93" t="s">
        <v>153</v>
      </c>
      <c r="P93" t="s">
        <v>155</v>
      </c>
      <c r="Q93" t="s">
        <v>188</v>
      </c>
    </row>
    <row r="94" spans="1:17" x14ac:dyDescent="0.25">
      <c r="A94" t="s">
        <v>20</v>
      </c>
      <c r="B94" t="s">
        <v>33</v>
      </c>
      <c r="C94" t="s">
        <v>43</v>
      </c>
      <c r="D94" t="s">
        <v>59</v>
      </c>
      <c r="E94">
        <v>1409249</v>
      </c>
      <c r="F94">
        <v>102411</v>
      </c>
      <c r="G94" t="s">
        <v>66</v>
      </c>
      <c r="I94" t="s">
        <v>71</v>
      </c>
      <c r="J94" t="s">
        <v>79</v>
      </c>
      <c r="K94" t="s">
        <v>107</v>
      </c>
      <c r="L94" t="s">
        <v>134</v>
      </c>
      <c r="M94">
        <v>6</v>
      </c>
      <c r="N94">
        <v>5</v>
      </c>
      <c r="O94" t="s">
        <v>148</v>
      </c>
      <c r="P94" t="s">
        <v>155</v>
      </c>
      <c r="Q94" t="s">
        <v>174</v>
      </c>
    </row>
    <row r="95" spans="1:17" x14ac:dyDescent="0.25">
      <c r="A95" t="s">
        <v>20</v>
      </c>
      <c r="B95" t="s">
        <v>34</v>
      </c>
      <c r="C95" t="s">
        <v>37</v>
      </c>
      <c r="D95" t="s">
        <v>56</v>
      </c>
      <c r="E95">
        <v>38301</v>
      </c>
      <c r="F95">
        <v>0</v>
      </c>
      <c r="G95" t="s">
        <v>64</v>
      </c>
      <c r="I95" t="s">
        <v>70</v>
      </c>
      <c r="J95" t="s">
        <v>75</v>
      </c>
      <c r="K95" t="s">
        <v>85</v>
      </c>
      <c r="L95" t="s">
        <v>114</v>
      </c>
      <c r="M95">
        <v>4</v>
      </c>
      <c r="N95">
        <v>1</v>
      </c>
      <c r="O95" t="s">
        <v>149</v>
      </c>
      <c r="P95" t="s">
        <v>157</v>
      </c>
      <c r="Q95" t="s">
        <v>189</v>
      </c>
    </row>
    <row r="96" spans="1:17" x14ac:dyDescent="0.25">
      <c r="A96" t="s">
        <v>17</v>
      </c>
      <c r="B96" t="s">
        <v>25</v>
      </c>
      <c r="C96" t="s">
        <v>50</v>
      </c>
      <c r="E96">
        <v>162037</v>
      </c>
      <c r="F96">
        <v>7892</v>
      </c>
      <c r="G96" t="s">
        <v>67</v>
      </c>
      <c r="J96" t="s">
        <v>80</v>
      </c>
      <c r="K96" t="s">
        <v>93</v>
      </c>
      <c r="L96" t="s">
        <v>93</v>
      </c>
      <c r="M96">
        <v>8</v>
      </c>
      <c r="N96">
        <v>8</v>
      </c>
      <c r="O96" t="s">
        <v>151</v>
      </c>
      <c r="P96" t="s">
        <v>155</v>
      </c>
      <c r="Q96" t="s">
        <v>189</v>
      </c>
    </row>
    <row r="97" spans="1:17" x14ac:dyDescent="0.25">
      <c r="A97" t="s">
        <v>19</v>
      </c>
      <c r="B97" t="s">
        <v>30</v>
      </c>
      <c r="C97" t="s">
        <v>44</v>
      </c>
      <c r="D97" t="s">
        <v>59</v>
      </c>
      <c r="E97">
        <v>82839</v>
      </c>
      <c r="F97">
        <v>704</v>
      </c>
      <c r="G97" t="s">
        <v>64</v>
      </c>
      <c r="I97" t="s">
        <v>56</v>
      </c>
      <c r="J97" t="s">
        <v>79</v>
      </c>
      <c r="K97" t="s">
        <v>107</v>
      </c>
      <c r="L97" t="s">
        <v>134</v>
      </c>
      <c r="M97">
        <v>2</v>
      </c>
      <c r="N97">
        <v>0</v>
      </c>
      <c r="O97" t="s">
        <v>151</v>
      </c>
      <c r="P97" t="s">
        <v>155</v>
      </c>
      <c r="Q97" t="s">
        <v>217</v>
      </c>
    </row>
    <row r="98" spans="1:17" x14ac:dyDescent="0.25">
      <c r="A98" t="s">
        <v>19</v>
      </c>
      <c r="B98" t="s">
        <v>25</v>
      </c>
      <c r="C98" t="s">
        <v>47</v>
      </c>
      <c r="D98" t="s">
        <v>59</v>
      </c>
      <c r="E98">
        <v>90710</v>
      </c>
      <c r="F98">
        <v>23735</v>
      </c>
      <c r="G98" t="s">
        <v>65</v>
      </c>
      <c r="I98" t="s">
        <v>70</v>
      </c>
      <c r="J98" t="s">
        <v>81</v>
      </c>
      <c r="K98" t="s">
        <v>94</v>
      </c>
      <c r="L98" t="s">
        <v>129</v>
      </c>
      <c r="M98">
        <v>4</v>
      </c>
      <c r="N98">
        <v>1</v>
      </c>
      <c r="O98" t="s">
        <v>152</v>
      </c>
      <c r="P98" t="s">
        <v>157</v>
      </c>
      <c r="Q98" t="s">
        <v>171</v>
      </c>
    </row>
    <row r="99" spans="1:17" x14ac:dyDescent="0.25">
      <c r="A99" t="s">
        <v>17</v>
      </c>
      <c r="B99" t="s">
        <v>23</v>
      </c>
      <c r="C99" t="s">
        <v>48</v>
      </c>
      <c r="D99" t="s">
        <v>58</v>
      </c>
      <c r="E99">
        <v>100105</v>
      </c>
      <c r="F99">
        <v>282</v>
      </c>
      <c r="G99" t="s">
        <v>63</v>
      </c>
      <c r="I99" t="s">
        <v>70</v>
      </c>
      <c r="J99" t="s">
        <v>81</v>
      </c>
      <c r="K99" t="s">
        <v>94</v>
      </c>
      <c r="L99" t="s">
        <v>129</v>
      </c>
      <c r="M99">
        <v>20</v>
      </c>
      <c r="N99">
        <v>20</v>
      </c>
      <c r="O99" t="s">
        <v>151</v>
      </c>
      <c r="P99" t="s">
        <v>155</v>
      </c>
      <c r="Q99" t="s">
        <v>167</v>
      </c>
    </row>
    <row r="100" spans="1:17" x14ac:dyDescent="0.25">
      <c r="A100" t="s">
        <v>19</v>
      </c>
      <c r="B100" t="s">
        <v>23</v>
      </c>
      <c r="C100" t="s">
        <v>53</v>
      </c>
      <c r="D100" t="s">
        <v>60</v>
      </c>
      <c r="E100">
        <v>134782</v>
      </c>
      <c r="F100">
        <v>28438</v>
      </c>
      <c r="G100" t="s">
        <v>67</v>
      </c>
      <c r="I100" t="s">
        <v>56</v>
      </c>
      <c r="J100" t="s">
        <v>79</v>
      </c>
      <c r="K100" t="s">
        <v>91</v>
      </c>
      <c r="L100" t="s">
        <v>118</v>
      </c>
      <c r="M100">
        <v>5</v>
      </c>
      <c r="N100">
        <v>3</v>
      </c>
      <c r="O100" t="s">
        <v>150</v>
      </c>
      <c r="P100" t="s">
        <v>156</v>
      </c>
      <c r="Q100" t="s">
        <v>209</v>
      </c>
    </row>
    <row r="101" spans="1:17" x14ac:dyDescent="0.25">
      <c r="A101" t="s">
        <v>21</v>
      </c>
      <c r="B101" t="s">
        <v>30</v>
      </c>
      <c r="C101" t="s">
        <v>47</v>
      </c>
      <c r="E101">
        <v>114964</v>
      </c>
      <c r="F101">
        <v>12307</v>
      </c>
      <c r="G101" t="s">
        <v>67</v>
      </c>
      <c r="I101" t="s">
        <v>69</v>
      </c>
      <c r="J101" t="s">
        <v>72</v>
      </c>
      <c r="K101" t="s">
        <v>95</v>
      </c>
      <c r="L101" t="s">
        <v>120</v>
      </c>
      <c r="M101">
        <v>10</v>
      </c>
      <c r="N101">
        <v>9</v>
      </c>
      <c r="O101" t="s">
        <v>151</v>
      </c>
      <c r="P101" t="s">
        <v>154</v>
      </c>
      <c r="Q101" t="s">
        <v>218</v>
      </c>
    </row>
    <row r="102" spans="1:17" x14ac:dyDescent="0.25">
      <c r="A102" t="s">
        <v>21</v>
      </c>
      <c r="B102" t="s">
        <v>26</v>
      </c>
      <c r="C102" t="s">
        <v>47</v>
      </c>
      <c r="D102" t="s">
        <v>60</v>
      </c>
      <c r="E102">
        <v>42718</v>
      </c>
      <c r="F102">
        <v>2889</v>
      </c>
      <c r="G102" t="s">
        <v>63</v>
      </c>
      <c r="I102" t="s">
        <v>71</v>
      </c>
      <c r="J102" t="s">
        <v>78</v>
      </c>
      <c r="K102" t="s">
        <v>104</v>
      </c>
      <c r="L102" t="s">
        <v>131</v>
      </c>
      <c r="M102">
        <v>9</v>
      </c>
      <c r="N102">
        <v>9</v>
      </c>
      <c r="O102" t="s">
        <v>150</v>
      </c>
      <c r="P102" t="s">
        <v>154</v>
      </c>
      <c r="Q102" t="s">
        <v>162</v>
      </c>
    </row>
    <row r="103" spans="1:17" x14ac:dyDescent="0.25">
      <c r="A103" t="s">
        <v>20</v>
      </c>
      <c r="B103" t="s">
        <v>27</v>
      </c>
      <c r="C103" t="s">
        <v>49</v>
      </c>
      <c r="D103" t="s">
        <v>58</v>
      </c>
      <c r="E103">
        <v>85237</v>
      </c>
      <c r="F103">
        <v>280</v>
      </c>
      <c r="G103" t="s">
        <v>65</v>
      </c>
      <c r="I103" t="s">
        <v>56</v>
      </c>
      <c r="J103" t="s">
        <v>76</v>
      </c>
      <c r="K103" t="s">
        <v>86</v>
      </c>
      <c r="L103" t="s">
        <v>115</v>
      </c>
      <c r="M103">
        <v>7</v>
      </c>
      <c r="N103">
        <v>4</v>
      </c>
      <c r="O103" t="s">
        <v>152</v>
      </c>
      <c r="P103" t="s">
        <v>156</v>
      </c>
      <c r="Q103" t="s">
        <v>175</v>
      </c>
    </row>
    <row r="104" spans="1:17" x14ac:dyDescent="0.25">
      <c r="A104" t="s">
        <v>20</v>
      </c>
      <c r="B104" t="s">
        <v>26</v>
      </c>
      <c r="C104" t="s">
        <v>43</v>
      </c>
      <c r="D104" t="s">
        <v>59</v>
      </c>
      <c r="E104">
        <v>63568</v>
      </c>
      <c r="F104">
        <v>1035</v>
      </c>
      <c r="G104" t="s">
        <v>68</v>
      </c>
      <c r="I104" t="s">
        <v>56</v>
      </c>
      <c r="J104" t="s">
        <v>78</v>
      </c>
      <c r="K104" t="s">
        <v>90</v>
      </c>
      <c r="L104" t="s">
        <v>138</v>
      </c>
      <c r="M104">
        <v>4</v>
      </c>
      <c r="N104">
        <v>4</v>
      </c>
      <c r="O104" t="s">
        <v>153</v>
      </c>
      <c r="P104" t="s">
        <v>157</v>
      </c>
      <c r="Q104" t="s">
        <v>219</v>
      </c>
    </row>
    <row r="105" spans="1:17" x14ac:dyDescent="0.25">
      <c r="A105" t="s">
        <v>20</v>
      </c>
      <c r="B105" t="s">
        <v>32</v>
      </c>
      <c r="C105" t="s">
        <v>45</v>
      </c>
      <c r="D105" t="s">
        <v>59</v>
      </c>
      <c r="E105">
        <v>26557</v>
      </c>
      <c r="F105">
        <v>215</v>
      </c>
      <c r="G105" t="s">
        <v>63</v>
      </c>
      <c r="I105" t="s">
        <v>69</v>
      </c>
      <c r="J105" t="s">
        <v>74</v>
      </c>
      <c r="K105" t="s">
        <v>84</v>
      </c>
      <c r="L105" t="s">
        <v>74</v>
      </c>
      <c r="M105">
        <v>2</v>
      </c>
      <c r="N105">
        <v>2</v>
      </c>
      <c r="O105" t="s">
        <v>150</v>
      </c>
      <c r="P105" t="s">
        <v>157</v>
      </c>
      <c r="Q105" t="s">
        <v>178</v>
      </c>
    </row>
    <row r="106" spans="1:17" x14ac:dyDescent="0.25">
      <c r="A106" t="s">
        <v>17</v>
      </c>
      <c r="B106" t="s">
        <v>25</v>
      </c>
      <c r="C106" t="s">
        <v>42</v>
      </c>
      <c r="D106" t="s">
        <v>59</v>
      </c>
      <c r="E106">
        <v>109385</v>
      </c>
      <c r="F106">
        <v>0</v>
      </c>
      <c r="G106" t="s">
        <v>64</v>
      </c>
      <c r="I106" t="s">
        <v>70</v>
      </c>
      <c r="J106" t="s">
        <v>76</v>
      </c>
      <c r="K106" t="s">
        <v>100</v>
      </c>
      <c r="L106" t="s">
        <v>132</v>
      </c>
      <c r="M106">
        <v>18</v>
      </c>
      <c r="N106">
        <v>18</v>
      </c>
      <c r="O106" t="s">
        <v>153</v>
      </c>
      <c r="P106" t="s">
        <v>156</v>
      </c>
      <c r="Q106" t="s">
        <v>220</v>
      </c>
    </row>
    <row r="107" spans="1:17" x14ac:dyDescent="0.25">
      <c r="A107" t="s">
        <v>19</v>
      </c>
      <c r="B107" t="s">
        <v>27</v>
      </c>
      <c r="C107" t="s">
        <v>50</v>
      </c>
      <c r="D107" t="s">
        <v>62</v>
      </c>
      <c r="E107">
        <v>198742</v>
      </c>
      <c r="F107">
        <v>3691</v>
      </c>
      <c r="G107" t="s">
        <v>66</v>
      </c>
      <c r="I107" t="s">
        <v>70</v>
      </c>
      <c r="J107" t="s">
        <v>79</v>
      </c>
      <c r="K107" t="s">
        <v>91</v>
      </c>
      <c r="L107" t="s">
        <v>118</v>
      </c>
      <c r="M107">
        <v>25</v>
      </c>
      <c r="N107">
        <v>25</v>
      </c>
      <c r="O107" t="s">
        <v>149</v>
      </c>
      <c r="P107" t="s">
        <v>154</v>
      </c>
      <c r="Q107" t="s">
        <v>171</v>
      </c>
    </row>
    <row r="108" spans="1:17" x14ac:dyDescent="0.25">
      <c r="A108" t="s">
        <v>20</v>
      </c>
      <c r="B108" t="s">
        <v>27</v>
      </c>
      <c r="C108" t="s">
        <v>43</v>
      </c>
      <c r="D108" t="s">
        <v>62</v>
      </c>
      <c r="E108">
        <v>47252</v>
      </c>
      <c r="F108">
        <v>3784</v>
      </c>
      <c r="G108" t="s">
        <v>68</v>
      </c>
      <c r="I108" t="s">
        <v>69</v>
      </c>
      <c r="J108" t="s">
        <v>76</v>
      </c>
      <c r="K108" t="s">
        <v>86</v>
      </c>
      <c r="L108" t="s">
        <v>115</v>
      </c>
      <c r="M108">
        <v>1</v>
      </c>
      <c r="N108">
        <v>1</v>
      </c>
      <c r="O108" t="s">
        <v>149</v>
      </c>
      <c r="P108" t="s">
        <v>157</v>
      </c>
      <c r="Q108" t="s">
        <v>169</v>
      </c>
    </row>
    <row r="109" spans="1:17" x14ac:dyDescent="0.25">
      <c r="A109" t="s">
        <v>17</v>
      </c>
      <c r="B109" t="s">
        <v>33</v>
      </c>
      <c r="C109" t="s">
        <v>41</v>
      </c>
      <c r="D109" t="s">
        <v>60</v>
      </c>
      <c r="E109">
        <v>1368201</v>
      </c>
      <c r="F109">
        <v>59189</v>
      </c>
      <c r="G109" t="s">
        <v>66</v>
      </c>
      <c r="I109" t="s">
        <v>56</v>
      </c>
      <c r="J109" t="s">
        <v>72</v>
      </c>
      <c r="K109" t="s">
        <v>82</v>
      </c>
      <c r="L109" t="s">
        <v>112</v>
      </c>
      <c r="M109">
        <v>10</v>
      </c>
      <c r="N109">
        <v>9</v>
      </c>
      <c r="O109" t="s">
        <v>150</v>
      </c>
      <c r="P109" t="s">
        <v>157</v>
      </c>
      <c r="Q109" t="s">
        <v>170</v>
      </c>
    </row>
    <row r="110" spans="1:17" x14ac:dyDescent="0.25">
      <c r="A110" t="s">
        <v>21</v>
      </c>
      <c r="B110" t="s">
        <v>33</v>
      </c>
      <c r="C110" t="s">
        <v>42</v>
      </c>
      <c r="D110" t="s">
        <v>62</v>
      </c>
      <c r="E110">
        <v>563042</v>
      </c>
      <c r="F110">
        <v>37620</v>
      </c>
      <c r="G110" t="s">
        <v>66</v>
      </c>
      <c r="I110" t="s">
        <v>70</v>
      </c>
      <c r="J110" t="s">
        <v>81</v>
      </c>
      <c r="K110" t="s">
        <v>101</v>
      </c>
      <c r="L110" t="s">
        <v>127</v>
      </c>
      <c r="M110">
        <v>15</v>
      </c>
      <c r="N110">
        <v>14</v>
      </c>
      <c r="O110" t="s">
        <v>151</v>
      </c>
      <c r="P110" t="s">
        <v>156</v>
      </c>
      <c r="Q110" t="s">
        <v>169</v>
      </c>
    </row>
    <row r="111" spans="1:17" x14ac:dyDescent="0.25">
      <c r="A111" t="s">
        <v>17</v>
      </c>
      <c r="B111" t="s">
        <v>33</v>
      </c>
      <c r="C111" t="s">
        <v>48</v>
      </c>
      <c r="D111" t="s">
        <v>59</v>
      </c>
      <c r="E111">
        <v>106987</v>
      </c>
      <c r="F111">
        <v>3719</v>
      </c>
      <c r="G111" t="s">
        <v>65</v>
      </c>
      <c r="I111" t="s">
        <v>71</v>
      </c>
      <c r="J111" t="s">
        <v>78</v>
      </c>
      <c r="K111" t="s">
        <v>104</v>
      </c>
      <c r="L111" t="s">
        <v>131</v>
      </c>
      <c r="M111">
        <v>15</v>
      </c>
      <c r="N111">
        <v>15</v>
      </c>
      <c r="O111" t="s">
        <v>149</v>
      </c>
      <c r="P111" t="s">
        <v>157</v>
      </c>
      <c r="Q111" t="s">
        <v>221</v>
      </c>
    </row>
    <row r="112" spans="1:17" x14ac:dyDescent="0.25">
      <c r="A112" t="s">
        <v>17</v>
      </c>
      <c r="B112" t="s">
        <v>28</v>
      </c>
      <c r="C112" t="s">
        <v>43</v>
      </c>
      <c r="D112" t="s">
        <v>62</v>
      </c>
      <c r="E112">
        <v>191077</v>
      </c>
      <c r="F112">
        <v>7028</v>
      </c>
      <c r="G112" t="s">
        <v>67</v>
      </c>
      <c r="J112" t="s">
        <v>81</v>
      </c>
      <c r="K112" t="s">
        <v>94</v>
      </c>
      <c r="L112" t="s">
        <v>129</v>
      </c>
      <c r="M112">
        <v>8</v>
      </c>
      <c r="N112">
        <v>6</v>
      </c>
      <c r="O112" t="s">
        <v>152</v>
      </c>
      <c r="P112" t="s">
        <v>157</v>
      </c>
      <c r="Q112" t="s">
        <v>162</v>
      </c>
    </row>
    <row r="113" spans="1:17" x14ac:dyDescent="0.25">
      <c r="A113" t="s">
        <v>19</v>
      </c>
      <c r="B113" t="s">
        <v>35</v>
      </c>
      <c r="C113" t="s">
        <v>45</v>
      </c>
      <c r="D113" t="s">
        <v>57</v>
      </c>
      <c r="E113">
        <v>72350</v>
      </c>
      <c r="F113">
        <v>742</v>
      </c>
      <c r="G113" t="s">
        <v>65</v>
      </c>
      <c r="I113" t="s">
        <v>70</v>
      </c>
      <c r="J113" t="s">
        <v>75</v>
      </c>
      <c r="K113" t="s">
        <v>96</v>
      </c>
      <c r="L113" t="s">
        <v>121</v>
      </c>
      <c r="M113">
        <v>18</v>
      </c>
      <c r="N113">
        <v>18</v>
      </c>
      <c r="O113" t="s">
        <v>150</v>
      </c>
      <c r="P113" t="s">
        <v>157</v>
      </c>
      <c r="Q113" t="s">
        <v>171</v>
      </c>
    </row>
    <row r="114" spans="1:17" x14ac:dyDescent="0.25">
      <c r="A114" t="s">
        <v>20</v>
      </c>
      <c r="B114" t="s">
        <v>25</v>
      </c>
      <c r="C114" t="s">
        <v>40</v>
      </c>
      <c r="D114" t="s">
        <v>57</v>
      </c>
      <c r="E114">
        <v>27538</v>
      </c>
      <c r="F114">
        <v>0</v>
      </c>
      <c r="G114" t="s">
        <v>63</v>
      </c>
      <c r="I114" t="s">
        <v>69</v>
      </c>
      <c r="J114" t="s">
        <v>72</v>
      </c>
      <c r="K114" t="s">
        <v>95</v>
      </c>
      <c r="L114" t="s">
        <v>120</v>
      </c>
      <c r="M114">
        <v>1</v>
      </c>
      <c r="N114">
        <v>0</v>
      </c>
      <c r="O114" t="s">
        <v>151</v>
      </c>
      <c r="P114" t="s">
        <v>155</v>
      </c>
      <c r="Q114" t="s">
        <v>222</v>
      </c>
    </row>
    <row r="115" spans="1:17" x14ac:dyDescent="0.25">
      <c r="A115" t="s">
        <v>19</v>
      </c>
      <c r="B115" t="s">
        <v>31</v>
      </c>
      <c r="C115" t="s">
        <v>48</v>
      </c>
      <c r="D115" t="s">
        <v>61</v>
      </c>
      <c r="E115">
        <v>64107</v>
      </c>
      <c r="F115">
        <v>0</v>
      </c>
      <c r="G115" t="s">
        <v>65</v>
      </c>
      <c r="I115" t="s">
        <v>69</v>
      </c>
      <c r="J115" t="s">
        <v>79</v>
      </c>
      <c r="K115" t="s">
        <v>91</v>
      </c>
      <c r="L115" t="s">
        <v>118</v>
      </c>
      <c r="M115">
        <v>3</v>
      </c>
      <c r="N115">
        <v>3</v>
      </c>
      <c r="O115" t="s">
        <v>151</v>
      </c>
      <c r="P115" t="s">
        <v>154</v>
      </c>
      <c r="Q115" t="s">
        <v>180</v>
      </c>
    </row>
    <row r="116" spans="1:17" x14ac:dyDescent="0.25">
      <c r="A116" t="s">
        <v>20</v>
      </c>
      <c r="B116" t="s">
        <v>33</v>
      </c>
      <c r="C116" t="s">
        <v>41</v>
      </c>
      <c r="D116" t="s">
        <v>57</v>
      </c>
      <c r="E116">
        <v>44113</v>
      </c>
      <c r="F116">
        <v>101</v>
      </c>
      <c r="G116" t="s">
        <v>65</v>
      </c>
      <c r="I116" t="s">
        <v>71</v>
      </c>
      <c r="J116" t="s">
        <v>81</v>
      </c>
      <c r="K116" t="s">
        <v>101</v>
      </c>
      <c r="L116" t="s">
        <v>127</v>
      </c>
      <c r="M116">
        <v>4</v>
      </c>
      <c r="N116">
        <v>3</v>
      </c>
      <c r="O116" t="s">
        <v>153</v>
      </c>
      <c r="P116" t="s">
        <v>156</v>
      </c>
      <c r="Q116" t="s">
        <v>215</v>
      </c>
    </row>
    <row r="117" spans="1:17" x14ac:dyDescent="0.25">
      <c r="A117" t="s">
        <v>19</v>
      </c>
      <c r="B117" t="s">
        <v>26</v>
      </c>
      <c r="C117" t="s">
        <v>45</v>
      </c>
      <c r="D117" t="s">
        <v>59</v>
      </c>
      <c r="E117">
        <v>105296</v>
      </c>
      <c r="F117">
        <v>7706</v>
      </c>
      <c r="G117" t="s">
        <v>67</v>
      </c>
      <c r="I117" t="s">
        <v>69</v>
      </c>
      <c r="J117" t="s">
        <v>77</v>
      </c>
      <c r="K117" t="s">
        <v>89</v>
      </c>
      <c r="L117" t="s">
        <v>124</v>
      </c>
      <c r="M117">
        <v>15</v>
      </c>
      <c r="N117">
        <v>15</v>
      </c>
      <c r="O117" t="s">
        <v>153</v>
      </c>
      <c r="P117" t="s">
        <v>157</v>
      </c>
      <c r="Q117" t="s">
        <v>162</v>
      </c>
    </row>
    <row r="118" spans="1:17" x14ac:dyDescent="0.25">
      <c r="A118" t="s">
        <v>21</v>
      </c>
      <c r="B118" t="s">
        <v>22</v>
      </c>
      <c r="C118" t="s">
        <v>42</v>
      </c>
      <c r="E118">
        <v>1036261</v>
      </c>
      <c r="F118">
        <v>19136</v>
      </c>
      <c r="G118" t="s">
        <v>66</v>
      </c>
      <c r="J118" t="s">
        <v>79</v>
      </c>
      <c r="K118" t="s">
        <v>91</v>
      </c>
      <c r="L118" t="s">
        <v>118</v>
      </c>
      <c r="M118">
        <v>15</v>
      </c>
      <c r="N118">
        <v>15</v>
      </c>
      <c r="O118" t="s">
        <v>149</v>
      </c>
      <c r="P118" t="s">
        <v>155</v>
      </c>
      <c r="Q118" t="s">
        <v>223</v>
      </c>
    </row>
    <row r="119" spans="1:17" x14ac:dyDescent="0.25">
      <c r="A119" t="s">
        <v>20</v>
      </c>
      <c r="B119" t="s">
        <v>32</v>
      </c>
      <c r="C119" t="s">
        <v>39</v>
      </c>
      <c r="D119" t="s">
        <v>59</v>
      </c>
      <c r="E119">
        <v>307654</v>
      </c>
      <c r="F119">
        <v>45451</v>
      </c>
      <c r="G119" t="s">
        <v>66</v>
      </c>
      <c r="I119" t="s">
        <v>70</v>
      </c>
      <c r="J119" t="s">
        <v>75</v>
      </c>
      <c r="K119" t="s">
        <v>96</v>
      </c>
      <c r="L119" t="s">
        <v>121</v>
      </c>
      <c r="M119">
        <v>1</v>
      </c>
      <c r="N119">
        <v>1</v>
      </c>
      <c r="O119" t="s">
        <v>150</v>
      </c>
      <c r="P119" t="s">
        <v>157</v>
      </c>
      <c r="Q119" t="s">
        <v>224</v>
      </c>
    </row>
    <row r="120" spans="1:17" x14ac:dyDescent="0.25">
      <c r="A120" t="s">
        <v>17</v>
      </c>
      <c r="B120" t="s">
        <v>27</v>
      </c>
      <c r="C120" t="s">
        <v>53</v>
      </c>
      <c r="D120" t="s">
        <v>59</v>
      </c>
      <c r="E120">
        <v>873934</v>
      </c>
      <c r="F120">
        <v>162867</v>
      </c>
      <c r="G120" t="s">
        <v>66</v>
      </c>
      <c r="I120" t="s">
        <v>71</v>
      </c>
      <c r="J120" t="s">
        <v>78</v>
      </c>
      <c r="K120" t="s">
        <v>105</v>
      </c>
      <c r="L120" t="s">
        <v>133</v>
      </c>
      <c r="M120">
        <v>9</v>
      </c>
      <c r="N120">
        <v>8</v>
      </c>
      <c r="O120" t="s">
        <v>153</v>
      </c>
      <c r="P120" t="s">
        <v>157</v>
      </c>
      <c r="Q120" t="s">
        <v>225</v>
      </c>
    </row>
    <row r="121" spans="1:17" x14ac:dyDescent="0.25">
      <c r="A121" t="s">
        <v>17</v>
      </c>
      <c r="B121" t="s">
        <v>32</v>
      </c>
      <c r="C121" t="s">
        <v>46</v>
      </c>
      <c r="D121" t="s">
        <v>61</v>
      </c>
      <c r="E121">
        <v>83876</v>
      </c>
      <c r="F121">
        <v>1084</v>
      </c>
      <c r="G121" t="s">
        <v>65</v>
      </c>
      <c r="I121" t="s">
        <v>69</v>
      </c>
      <c r="J121" t="s">
        <v>81</v>
      </c>
      <c r="K121" t="s">
        <v>98</v>
      </c>
      <c r="L121" t="s">
        <v>123</v>
      </c>
      <c r="M121">
        <v>10</v>
      </c>
      <c r="N121">
        <v>9</v>
      </c>
      <c r="O121" t="s">
        <v>149</v>
      </c>
      <c r="P121" t="s">
        <v>156</v>
      </c>
      <c r="Q121" t="s">
        <v>226</v>
      </c>
    </row>
    <row r="122" spans="1:17" x14ac:dyDescent="0.25">
      <c r="A122" t="s">
        <v>19</v>
      </c>
      <c r="B122" t="s">
        <v>31</v>
      </c>
      <c r="C122" t="s">
        <v>47</v>
      </c>
      <c r="D122" t="s">
        <v>54</v>
      </c>
      <c r="E122">
        <v>43516</v>
      </c>
      <c r="F122">
        <v>4984</v>
      </c>
      <c r="G122" t="s">
        <v>64</v>
      </c>
      <c r="J122" t="s">
        <v>80</v>
      </c>
      <c r="K122" t="s">
        <v>106</v>
      </c>
      <c r="L122" t="s">
        <v>106</v>
      </c>
      <c r="M122">
        <v>4</v>
      </c>
      <c r="N122">
        <v>2</v>
      </c>
      <c r="O122" t="s">
        <v>153</v>
      </c>
      <c r="P122" t="s">
        <v>155</v>
      </c>
      <c r="Q122" t="s">
        <v>165</v>
      </c>
    </row>
    <row r="123" spans="1:17" x14ac:dyDescent="0.25">
      <c r="A123" t="s">
        <v>21</v>
      </c>
      <c r="B123" t="s">
        <v>22</v>
      </c>
      <c r="C123" t="s">
        <v>40</v>
      </c>
      <c r="D123" t="s">
        <v>58</v>
      </c>
      <c r="E123">
        <v>83192</v>
      </c>
      <c r="F123">
        <v>10176</v>
      </c>
      <c r="G123" t="s">
        <v>65</v>
      </c>
      <c r="I123" t="s">
        <v>56</v>
      </c>
      <c r="J123" t="s">
        <v>74</v>
      </c>
      <c r="K123" t="s">
        <v>84</v>
      </c>
      <c r="L123" t="s">
        <v>74</v>
      </c>
      <c r="M123">
        <v>9</v>
      </c>
      <c r="N123">
        <v>9</v>
      </c>
      <c r="O123" t="s">
        <v>150</v>
      </c>
      <c r="P123" t="s">
        <v>155</v>
      </c>
      <c r="Q123" t="s">
        <v>173</v>
      </c>
    </row>
    <row r="124" spans="1:17" x14ac:dyDescent="0.25">
      <c r="A124" t="s">
        <v>21</v>
      </c>
      <c r="B124" t="s">
        <v>30</v>
      </c>
      <c r="C124" t="s">
        <v>45</v>
      </c>
      <c r="D124" t="s">
        <v>58</v>
      </c>
      <c r="E124">
        <v>97274</v>
      </c>
      <c r="F124">
        <v>0</v>
      </c>
      <c r="G124" t="s">
        <v>67</v>
      </c>
      <c r="I124" t="s">
        <v>70</v>
      </c>
      <c r="J124" t="s">
        <v>81</v>
      </c>
      <c r="K124" t="s">
        <v>101</v>
      </c>
      <c r="L124" t="s">
        <v>127</v>
      </c>
      <c r="M124">
        <v>20</v>
      </c>
      <c r="N124">
        <v>19</v>
      </c>
      <c r="O124" t="s">
        <v>149</v>
      </c>
      <c r="P124" t="s">
        <v>156</v>
      </c>
      <c r="Q124" t="s">
        <v>212</v>
      </c>
    </row>
    <row r="125" spans="1:17" x14ac:dyDescent="0.25">
      <c r="A125" t="s">
        <v>19</v>
      </c>
      <c r="B125" t="s">
        <v>24</v>
      </c>
      <c r="C125" t="s">
        <v>51</v>
      </c>
      <c r="D125" t="s">
        <v>57</v>
      </c>
      <c r="E125">
        <v>77766</v>
      </c>
      <c r="F125">
        <v>17653</v>
      </c>
      <c r="G125" t="s">
        <v>65</v>
      </c>
      <c r="I125" t="s">
        <v>70</v>
      </c>
      <c r="J125" t="s">
        <v>77</v>
      </c>
      <c r="K125" t="s">
        <v>110</v>
      </c>
      <c r="L125" t="s">
        <v>139</v>
      </c>
      <c r="M125">
        <v>4</v>
      </c>
      <c r="N125">
        <v>4</v>
      </c>
      <c r="O125" t="s">
        <v>151</v>
      </c>
      <c r="P125" t="s">
        <v>154</v>
      </c>
      <c r="Q125" t="s">
        <v>181</v>
      </c>
    </row>
    <row r="126" spans="1:17" x14ac:dyDescent="0.25">
      <c r="A126" t="s">
        <v>21</v>
      </c>
      <c r="B126" t="s">
        <v>33</v>
      </c>
      <c r="C126" t="s">
        <v>52</v>
      </c>
      <c r="D126" t="s">
        <v>57</v>
      </c>
      <c r="E126">
        <v>103236</v>
      </c>
      <c r="F126">
        <v>0</v>
      </c>
      <c r="G126" t="s">
        <v>64</v>
      </c>
      <c r="I126" t="s">
        <v>69</v>
      </c>
      <c r="J126" t="s">
        <v>74</v>
      </c>
      <c r="K126" t="s">
        <v>84</v>
      </c>
      <c r="L126" t="s">
        <v>74</v>
      </c>
      <c r="M126">
        <v>10</v>
      </c>
      <c r="N126">
        <v>8</v>
      </c>
      <c r="O126" t="s">
        <v>149</v>
      </c>
      <c r="P126" t="s">
        <v>155</v>
      </c>
      <c r="Q126" t="s">
        <v>227</v>
      </c>
    </row>
    <row r="127" spans="1:17" x14ac:dyDescent="0.25">
      <c r="A127" t="s">
        <v>20</v>
      </c>
      <c r="B127" t="s">
        <v>30</v>
      </c>
      <c r="C127" t="s">
        <v>52</v>
      </c>
      <c r="D127" t="s">
        <v>61</v>
      </c>
      <c r="E127">
        <v>1539582</v>
      </c>
      <c r="F127">
        <v>65597</v>
      </c>
      <c r="G127" t="s">
        <v>66</v>
      </c>
      <c r="J127" t="s">
        <v>77</v>
      </c>
      <c r="K127" t="s">
        <v>89</v>
      </c>
      <c r="L127" t="s">
        <v>124</v>
      </c>
      <c r="M127">
        <v>1</v>
      </c>
      <c r="N127">
        <v>0</v>
      </c>
      <c r="O127" t="s">
        <v>149</v>
      </c>
      <c r="P127" t="s">
        <v>157</v>
      </c>
      <c r="Q127" t="s">
        <v>228</v>
      </c>
    </row>
    <row r="128" spans="1:17" x14ac:dyDescent="0.25">
      <c r="A128" t="s">
        <v>21</v>
      </c>
      <c r="B128" t="s">
        <v>30</v>
      </c>
      <c r="C128" t="s">
        <v>42</v>
      </c>
      <c r="D128" t="s">
        <v>57</v>
      </c>
      <c r="E128">
        <v>43669</v>
      </c>
      <c r="F128">
        <v>722</v>
      </c>
      <c r="G128" t="s">
        <v>65</v>
      </c>
      <c r="I128" t="s">
        <v>71</v>
      </c>
      <c r="J128" t="s">
        <v>72</v>
      </c>
      <c r="K128" t="s">
        <v>95</v>
      </c>
      <c r="L128" t="s">
        <v>120</v>
      </c>
      <c r="M128">
        <v>12</v>
      </c>
      <c r="N128">
        <v>10</v>
      </c>
      <c r="O128" t="s">
        <v>153</v>
      </c>
      <c r="P128" t="s">
        <v>155</v>
      </c>
      <c r="Q128" t="s">
        <v>189</v>
      </c>
    </row>
    <row r="129" spans="1:17" x14ac:dyDescent="0.25">
      <c r="A129" t="s">
        <v>19</v>
      </c>
      <c r="B129" t="s">
        <v>27</v>
      </c>
      <c r="C129" t="s">
        <v>38</v>
      </c>
      <c r="D129" t="s">
        <v>55</v>
      </c>
      <c r="E129">
        <v>85090</v>
      </c>
      <c r="F129">
        <v>4032</v>
      </c>
      <c r="G129" t="s">
        <v>68</v>
      </c>
      <c r="I129" t="s">
        <v>70</v>
      </c>
      <c r="J129" t="s">
        <v>74</v>
      </c>
      <c r="K129" t="s">
        <v>84</v>
      </c>
      <c r="L129" t="s">
        <v>74</v>
      </c>
      <c r="M129">
        <v>10</v>
      </c>
      <c r="N129">
        <v>10</v>
      </c>
      <c r="O129" t="s">
        <v>149</v>
      </c>
      <c r="P129" t="s">
        <v>154</v>
      </c>
      <c r="Q129" t="s">
        <v>229</v>
      </c>
    </row>
    <row r="130" spans="1:17" x14ac:dyDescent="0.25">
      <c r="A130" t="s">
        <v>20</v>
      </c>
      <c r="B130" t="s">
        <v>34</v>
      </c>
      <c r="C130" t="s">
        <v>43</v>
      </c>
      <c r="D130" t="s">
        <v>55</v>
      </c>
      <c r="E130">
        <v>141303</v>
      </c>
      <c r="F130">
        <v>90</v>
      </c>
      <c r="G130" t="s">
        <v>64</v>
      </c>
      <c r="I130" t="s">
        <v>56</v>
      </c>
      <c r="J130" t="s">
        <v>73</v>
      </c>
      <c r="K130" t="s">
        <v>99</v>
      </c>
      <c r="L130" t="s">
        <v>125</v>
      </c>
      <c r="M130">
        <v>5</v>
      </c>
      <c r="N130">
        <v>4</v>
      </c>
      <c r="O130" t="s">
        <v>153</v>
      </c>
      <c r="P130" t="s">
        <v>157</v>
      </c>
      <c r="Q130" t="s">
        <v>230</v>
      </c>
    </row>
    <row r="131" spans="1:17" x14ac:dyDescent="0.25">
      <c r="A131" t="s">
        <v>19</v>
      </c>
      <c r="D131" t="s">
        <v>60</v>
      </c>
      <c r="F131">
        <v>0</v>
      </c>
      <c r="G131" t="s">
        <v>63</v>
      </c>
      <c r="I131" t="s">
        <v>69</v>
      </c>
      <c r="J131" t="s">
        <v>80</v>
      </c>
      <c r="K131" t="s">
        <v>106</v>
      </c>
      <c r="N131">
        <v>2</v>
      </c>
      <c r="O131" t="s">
        <v>149</v>
      </c>
      <c r="Q131" t="s">
        <v>221</v>
      </c>
    </row>
    <row r="132" spans="1:17" x14ac:dyDescent="0.25">
      <c r="A132" t="s">
        <v>19</v>
      </c>
      <c r="F132">
        <v>3198</v>
      </c>
      <c r="G132" t="s">
        <v>63</v>
      </c>
      <c r="I132" t="s">
        <v>56</v>
      </c>
      <c r="J132" t="s">
        <v>79</v>
      </c>
      <c r="K132" t="s">
        <v>107</v>
      </c>
      <c r="N132">
        <v>1</v>
      </c>
      <c r="O132" t="s">
        <v>152</v>
      </c>
      <c r="Q132" t="s">
        <v>173</v>
      </c>
    </row>
    <row r="133" spans="1:17" x14ac:dyDescent="0.25">
      <c r="A133" t="s">
        <v>19</v>
      </c>
      <c r="B133" t="s">
        <v>32</v>
      </c>
      <c r="C133" t="s">
        <v>41</v>
      </c>
      <c r="D133" t="s">
        <v>60</v>
      </c>
      <c r="E133">
        <v>47696</v>
      </c>
      <c r="F133">
        <v>156</v>
      </c>
      <c r="G133" t="s">
        <v>68</v>
      </c>
      <c r="I133" t="s">
        <v>70</v>
      </c>
      <c r="J133" t="s">
        <v>76</v>
      </c>
      <c r="K133" t="s">
        <v>100</v>
      </c>
      <c r="L133" t="s">
        <v>126</v>
      </c>
      <c r="M133">
        <v>5</v>
      </c>
      <c r="N133">
        <v>5</v>
      </c>
      <c r="O133" t="s">
        <v>148</v>
      </c>
      <c r="P133" t="s">
        <v>156</v>
      </c>
      <c r="Q133" t="s">
        <v>174</v>
      </c>
    </row>
    <row r="134" spans="1:17" x14ac:dyDescent="0.25">
      <c r="A134" t="s">
        <v>19</v>
      </c>
      <c r="B134" t="s">
        <v>23</v>
      </c>
      <c r="C134" t="s">
        <v>53</v>
      </c>
      <c r="D134" t="s">
        <v>61</v>
      </c>
      <c r="E134">
        <v>1221456</v>
      </c>
      <c r="F134">
        <v>59986</v>
      </c>
      <c r="G134" t="s">
        <v>66</v>
      </c>
      <c r="I134" t="s">
        <v>56</v>
      </c>
      <c r="J134" t="s">
        <v>72</v>
      </c>
      <c r="K134" t="s">
        <v>82</v>
      </c>
      <c r="L134" t="s">
        <v>112</v>
      </c>
      <c r="M134">
        <v>9</v>
      </c>
      <c r="N134">
        <v>9</v>
      </c>
      <c r="O134" t="s">
        <v>149</v>
      </c>
      <c r="P134" t="s">
        <v>155</v>
      </c>
      <c r="Q134" t="s">
        <v>231</v>
      </c>
    </row>
    <row r="135" spans="1:17" x14ac:dyDescent="0.25">
      <c r="A135" t="s">
        <v>19</v>
      </c>
      <c r="B135" t="s">
        <v>26</v>
      </c>
      <c r="C135" t="s">
        <v>42</v>
      </c>
      <c r="D135" t="s">
        <v>62</v>
      </c>
      <c r="E135">
        <v>29260</v>
      </c>
      <c r="F135">
        <v>432</v>
      </c>
      <c r="G135" t="s">
        <v>68</v>
      </c>
      <c r="J135" t="s">
        <v>74</v>
      </c>
      <c r="K135" t="s">
        <v>84</v>
      </c>
      <c r="L135" t="s">
        <v>74</v>
      </c>
      <c r="M135">
        <v>25</v>
      </c>
      <c r="N135">
        <v>25</v>
      </c>
      <c r="O135" t="s">
        <v>152</v>
      </c>
      <c r="P135" t="s">
        <v>154</v>
      </c>
      <c r="Q135" t="s">
        <v>232</v>
      </c>
    </row>
    <row r="136" spans="1:17" x14ac:dyDescent="0.25">
      <c r="A136" t="s">
        <v>20</v>
      </c>
      <c r="B136" t="s">
        <v>26</v>
      </c>
      <c r="C136" t="s">
        <v>37</v>
      </c>
      <c r="D136" t="s">
        <v>54</v>
      </c>
      <c r="E136">
        <v>78469</v>
      </c>
      <c r="F136">
        <v>4772</v>
      </c>
      <c r="G136" t="s">
        <v>64</v>
      </c>
      <c r="I136" t="s">
        <v>56</v>
      </c>
      <c r="J136" t="s">
        <v>77</v>
      </c>
      <c r="K136" t="s">
        <v>111</v>
      </c>
      <c r="L136" t="s">
        <v>141</v>
      </c>
      <c r="M136">
        <v>6</v>
      </c>
      <c r="N136">
        <v>4</v>
      </c>
      <c r="O136" t="s">
        <v>149</v>
      </c>
      <c r="P136" t="s">
        <v>157</v>
      </c>
      <c r="Q136" t="s">
        <v>169</v>
      </c>
    </row>
    <row r="137" spans="1:17" x14ac:dyDescent="0.25">
      <c r="A137" t="s">
        <v>19</v>
      </c>
      <c r="B137" t="s">
        <v>32</v>
      </c>
      <c r="C137" t="s">
        <v>37</v>
      </c>
      <c r="D137" t="s">
        <v>62</v>
      </c>
      <c r="E137">
        <v>121666</v>
      </c>
      <c r="F137">
        <v>0</v>
      </c>
      <c r="G137" t="s">
        <v>67</v>
      </c>
      <c r="I137" t="s">
        <v>71</v>
      </c>
      <c r="J137" t="s">
        <v>74</v>
      </c>
      <c r="K137" t="s">
        <v>84</v>
      </c>
      <c r="L137" t="s">
        <v>74</v>
      </c>
      <c r="M137">
        <v>4</v>
      </c>
      <c r="N137">
        <v>4</v>
      </c>
      <c r="O137" t="s">
        <v>152</v>
      </c>
      <c r="P137" t="s">
        <v>155</v>
      </c>
      <c r="Q137" t="s">
        <v>233</v>
      </c>
    </row>
    <row r="138" spans="1:17" x14ac:dyDescent="0.25">
      <c r="A138" t="s">
        <v>20</v>
      </c>
      <c r="B138" t="s">
        <v>23</v>
      </c>
      <c r="C138" t="s">
        <v>39</v>
      </c>
      <c r="D138" t="s">
        <v>58</v>
      </c>
      <c r="E138">
        <v>88730</v>
      </c>
      <c r="F138">
        <v>13771</v>
      </c>
      <c r="G138" t="s">
        <v>68</v>
      </c>
      <c r="J138" t="s">
        <v>78</v>
      </c>
      <c r="K138" t="s">
        <v>105</v>
      </c>
      <c r="L138" t="s">
        <v>133</v>
      </c>
      <c r="M138">
        <v>4</v>
      </c>
      <c r="N138">
        <v>2</v>
      </c>
      <c r="O138" t="s">
        <v>150</v>
      </c>
      <c r="P138" t="s">
        <v>156</v>
      </c>
      <c r="Q138" t="s">
        <v>158</v>
      </c>
    </row>
    <row r="139" spans="1:17" x14ac:dyDescent="0.25">
      <c r="A139" t="s">
        <v>18</v>
      </c>
      <c r="B139" t="s">
        <v>23</v>
      </c>
      <c r="C139" t="s">
        <v>44</v>
      </c>
      <c r="D139" t="s">
        <v>55</v>
      </c>
      <c r="E139">
        <v>49938</v>
      </c>
      <c r="F139">
        <v>617</v>
      </c>
      <c r="G139" t="s">
        <v>68</v>
      </c>
      <c r="I139" t="s">
        <v>71</v>
      </c>
      <c r="J139" t="s">
        <v>72</v>
      </c>
      <c r="K139" t="s">
        <v>95</v>
      </c>
      <c r="L139" t="s">
        <v>120</v>
      </c>
      <c r="M139">
        <v>0</v>
      </c>
      <c r="N139">
        <v>0</v>
      </c>
      <c r="O139" t="s">
        <v>152</v>
      </c>
      <c r="P139" t="s">
        <v>156</v>
      </c>
      <c r="Q139" t="s">
        <v>234</v>
      </c>
    </row>
    <row r="140" spans="1:17" x14ac:dyDescent="0.25">
      <c r="A140" t="s">
        <v>17</v>
      </c>
      <c r="B140" t="s">
        <v>27</v>
      </c>
      <c r="C140" t="s">
        <v>45</v>
      </c>
      <c r="D140" t="s">
        <v>56</v>
      </c>
      <c r="E140">
        <v>24418</v>
      </c>
      <c r="F140">
        <v>2665</v>
      </c>
      <c r="G140" t="s">
        <v>63</v>
      </c>
      <c r="I140" t="s">
        <v>71</v>
      </c>
      <c r="J140" t="s">
        <v>74</v>
      </c>
      <c r="K140" t="s">
        <v>84</v>
      </c>
      <c r="L140" t="s">
        <v>74</v>
      </c>
      <c r="M140">
        <v>10</v>
      </c>
      <c r="N140">
        <v>9</v>
      </c>
      <c r="O140" t="s">
        <v>150</v>
      </c>
      <c r="P140" t="s">
        <v>154</v>
      </c>
      <c r="Q140" t="s">
        <v>235</v>
      </c>
    </row>
    <row r="141" spans="1:17" x14ac:dyDescent="0.25">
      <c r="A141" t="s">
        <v>17</v>
      </c>
      <c r="B141" t="s">
        <v>34</v>
      </c>
      <c r="C141" t="s">
        <v>52</v>
      </c>
      <c r="D141" t="s">
        <v>61</v>
      </c>
      <c r="E141">
        <v>93863</v>
      </c>
      <c r="F141">
        <v>0</v>
      </c>
      <c r="G141" t="s">
        <v>65</v>
      </c>
      <c r="I141" t="s">
        <v>69</v>
      </c>
      <c r="J141" t="s">
        <v>75</v>
      </c>
      <c r="K141" t="s">
        <v>85</v>
      </c>
      <c r="L141" t="s">
        <v>114</v>
      </c>
      <c r="M141">
        <v>20</v>
      </c>
      <c r="N141">
        <v>20</v>
      </c>
      <c r="O141" t="s">
        <v>149</v>
      </c>
      <c r="P141" t="s">
        <v>155</v>
      </c>
      <c r="Q141" t="s">
        <v>230</v>
      </c>
    </row>
    <row r="142" spans="1:17" x14ac:dyDescent="0.25">
      <c r="A142" t="s">
        <v>21</v>
      </c>
      <c r="B142" t="s">
        <v>32</v>
      </c>
      <c r="C142" t="s">
        <v>53</v>
      </c>
      <c r="D142" t="s">
        <v>58</v>
      </c>
      <c r="E142">
        <v>73199</v>
      </c>
      <c r="F142">
        <v>0</v>
      </c>
      <c r="G142" t="s">
        <v>64</v>
      </c>
      <c r="J142" t="s">
        <v>75</v>
      </c>
      <c r="K142" t="s">
        <v>108</v>
      </c>
      <c r="L142" t="s">
        <v>135</v>
      </c>
      <c r="M142">
        <v>10</v>
      </c>
      <c r="N142">
        <v>8</v>
      </c>
      <c r="O142" t="s">
        <v>153</v>
      </c>
      <c r="P142" t="s">
        <v>154</v>
      </c>
      <c r="Q142" t="s">
        <v>236</v>
      </c>
    </row>
    <row r="143" spans="1:17" x14ac:dyDescent="0.25">
      <c r="A143" t="s">
        <v>20</v>
      </c>
      <c r="B143" t="s">
        <v>23</v>
      </c>
      <c r="C143" t="s">
        <v>40</v>
      </c>
      <c r="D143" t="s">
        <v>54</v>
      </c>
      <c r="E143">
        <v>81061</v>
      </c>
      <c r="F143">
        <v>1237</v>
      </c>
      <c r="G143" t="s">
        <v>67</v>
      </c>
      <c r="I143" t="s">
        <v>56</v>
      </c>
      <c r="J143" t="s">
        <v>81</v>
      </c>
      <c r="K143" t="s">
        <v>101</v>
      </c>
      <c r="L143" t="s">
        <v>127</v>
      </c>
      <c r="M143">
        <v>5</v>
      </c>
      <c r="N143">
        <v>5</v>
      </c>
      <c r="O143" t="s">
        <v>151</v>
      </c>
      <c r="P143" t="s">
        <v>156</v>
      </c>
      <c r="Q143" t="s">
        <v>237</v>
      </c>
    </row>
    <row r="144" spans="1:17" x14ac:dyDescent="0.25">
      <c r="A144" t="s">
        <v>20</v>
      </c>
      <c r="B144" t="s">
        <v>25</v>
      </c>
      <c r="C144" t="s">
        <v>44</v>
      </c>
      <c r="D144" t="s">
        <v>58</v>
      </c>
      <c r="E144">
        <v>83983</v>
      </c>
      <c r="F144">
        <v>4621</v>
      </c>
      <c r="G144" t="s">
        <v>68</v>
      </c>
      <c r="I144" t="s">
        <v>56</v>
      </c>
      <c r="J144" t="s">
        <v>81</v>
      </c>
      <c r="K144" t="s">
        <v>98</v>
      </c>
      <c r="L144" t="s">
        <v>123</v>
      </c>
      <c r="M144">
        <v>3</v>
      </c>
      <c r="N144">
        <v>2</v>
      </c>
      <c r="O144" t="s">
        <v>150</v>
      </c>
      <c r="P144" t="s">
        <v>155</v>
      </c>
      <c r="Q144" t="s">
        <v>238</v>
      </c>
    </row>
    <row r="145" spans="1:17" x14ac:dyDescent="0.25">
      <c r="A145" t="s">
        <v>20</v>
      </c>
      <c r="D145" t="s">
        <v>54</v>
      </c>
      <c r="F145">
        <v>165208</v>
      </c>
      <c r="G145" t="s">
        <v>66</v>
      </c>
      <c r="I145" t="s">
        <v>71</v>
      </c>
      <c r="J145" t="s">
        <v>80</v>
      </c>
      <c r="K145" t="s">
        <v>106</v>
      </c>
      <c r="N145">
        <v>5</v>
      </c>
      <c r="O145" t="s">
        <v>151</v>
      </c>
      <c r="Q145" t="s">
        <v>239</v>
      </c>
    </row>
    <row r="146" spans="1:17" x14ac:dyDescent="0.25">
      <c r="A146" t="s">
        <v>21</v>
      </c>
      <c r="B146" t="s">
        <v>33</v>
      </c>
      <c r="C146" t="s">
        <v>38</v>
      </c>
      <c r="D146" t="s">
        <v>56</v>
      </c>
      <c r="E146">
        <v>59986</v>
      </c>
      <c r="F146">
        <v>8094</v>
      </c>
      <c r="G146" t="s">
        <v>68</v>
      </c>
      <c r="I146" t="s">
        <v>70</v>
      </c>
      <c r="J146" t="s">
        <v>79</v>
      </c>
      <c r="K146" t="s">
        <v>91</v>
      </c>
      <c r="L146" t="s">
        <v>118</v>
      </c>
      <c r="M146">
        <v>8</v>
      </c>
      <c r="N146">
        <v>8</v>
      </c>
      <c r="O146" t="s">
        <v>149</v>
      </c>
      <c r="P146" t="s">
        <v>154</v>
      </c>
      <c r="Q146" t="s">
        <v>178</v>
      </c>
    </row>
    <row r="147" spans="1:17" x14ac:dyDescent="0.25">
      <c r="A147" t="s">
        <v>19</v>
      </c>
      <c r="B147" t="s">
        <v>35</v>
      </c>
      <c r="C147" t="s">
        <v>42</v>
      </c>
      <c r="D147" t="s">
        <v>61</v>
      </c>
      <c r="E147">
        <v>185581</v>
      </c>
      <c r="F147">
        <v>29117</v>
      </c>
      <c r="G147" t="s">
        <v>63</v>
      </c>
      <c r="I147" t="s">
        <v>56</v>
      </c>
      <c r="J147" t="s">
        <v>78</v>
      </c>
      <c r="K147" t="s">
        <v>104</v>
      </c>
      <c r="L147" t="s">
        <v>131</v>
      </c>
      <c r="M147">
        <v>7</v>
      </c>
      <c r="N147">
        <v>6</v>
      </c>
      <c r="O147" t="s">
        <v>151</v>
      </c>
      <c r="P147" t="s">
        <v>156</v>
      </c>
      <c r="Q147" t="s">
        <v>212</v>
      </c>
    </row>
    <row r="148" spans="1:17" x14ac:dyDescent="0.25">
      <c r="A148" t="s">
        <v>17</v>
      </c>
      <c r="B148" t="s">
        <v>22</v>
      </c>
      <c r="C148" t="s">
        <v>42</v>
      </c>
      <c r="D148" t="s">
        <v>62</v>
      </c>
      <c r="E148">
        <v>57638</v>
      </c>
      <c r="F148">
        <v>1605</v>
      </c>
      <c r="G148" t="s">
        <v>68</v>
      </c>
      <c r="J148" t="s">
        <v>75</v>
      </c>
      <c r="K148" t="s">
        <v>108</v>
      </c>
      <c r="L148" t="s">
        <v>135</v>
      </c>
      <c r="M148">
        <v>15</v>
      </c>
      <c r="N148">
        <v>15</v>
      </c>
      <c r="O148" t="s">
        <v>152</v>
      </c>
      <c r="P148" t="s">
        <v>155</v>
      </c>
      <c r="Q148" t="s">
        <v>167</v>
      </c>
    </row>
    <row r="149" spans="1:17" x14ac:dyDescent="0.25">
      <c r="A149" t="s">
        <v>20</v>
      </c>
      <c r="B149" t="s">
        <v>24</v>
      </c>
      <c r="C149" t="s">
        <v>51</v>
      </c>
      <c r="D149" t="s">
        <v>56</v>
      </c>
      <c r="E149">
        <v>914346</v>
      </c>
      <c r="F149">
        <v>6861</v>
      </c>
      <c r="G149" t="s">
        <v>66</v>
      </c>
      <c r="I149" t="s">
        <v>56</v>
      </c>
      <c r="J149" t="s">
        <v>79</v>
      </c>
      <c r="K149" t="s">
        <v>107</v>
      </c>
      <c r="L149" t="s">
        <v>134</v>
      </c>
      <c r="M149">
        <v>3</v>
      </c>
      <c r="N149">
        <v>0</v>
      </c>
      <c r="O149" t="s">
        <v>152</v>
      </c>
      <c r="P149" t="s">
        <v>156</v>
      </c>
      <c r="Q149" t="s">
        <v>240</v>
      </c>
    </row>
    <row r="150" spans="1:17" x14ac:dyDescent="0.25">
      <c r="A150" t="s">
        <v>20</v>
      </c>
      <c r="D150" t="s">
        <v>59</v>
      </c>
      <c r="F150">
        <v>12468</v>
      </c>
      <c r="G150" t="s">
        <v>65</v>
      </c>
      <c r="J150" t="s">
        <v>73</v>
      </c>
      <c r="K150" t="s">
        <v>102</v>
      </c>
      <c r="N150">
        <v>0</v>
      </c>
      <c r="O150" t="s">
        <v>148</v>
      </c>
      <c r="Q150" t="s">
        <v>241</v>
      </c>
    </row>
    <row r="151" spans="1:17" x14ac:dyDescent="0.25">
      <c r="A151" t="s">
        <v>20</v>
      </c>
      <c r="B151" t="s">
        <v>29</v>
      </c>
      <c r="C151" t="s">
        <v>44</v>
      </c>
      <c r="D151" t="s">
        <v>55</v>
      </c>
      <c r="E151">
        <v>88470</v>
      </c>
      <c r="F151">
        <v>0</v>
      </c>
      <c r="G151" t="s">
        <v>64</v>
      </c>
      <c r="I151" t="s">
        <v>71</v>
      </c>
      <c r="J151" t="s">
        <v>80</v>
      </c>
      <c r="K151" t="s">
        <v>93</v>
      </c>
      <c r="L151" t="s">
        <v>93</v>
      </c>
      <c r="M151">
        <v>0</v>
      </c>
      <c r="N151">
        <v>0</v>
      </c>
      <c r="O151" t="s">
        <v>153</v>
      </c>
      <c r="P151" t="s">
        <v>154</v>
      </c>
      <c r="Q151" t="s">
        <v>242</v>
      </c>
    </row>
    <row r="152" spans="1:17" x14ac:dyDescent="0.25">
      <c r="A152" t="s">
        <v>20</v>
      </c>
      <c r="B152" t="s">
        <v>25</v>
      </c>
      <c r="C152" t="s">
        <v>44</v>
      </c>
      <c r="D152" t="s">
        <v>54</v>
      </c>
      <c r="E152">
        <v>36108</v>
      </c>
      <c r="F152">
        <v>5099</v>
      </c>
      <c r="G152" t="s">
        <v>63</v>
      </c>
      <c r="I152" t="s">
        <v>56</v>
      </c>
      <c r="J152" t="s">
        <v>79</v>
      </c>
      <c r="K152" t="s">
        <v>107</v>
      </c>
      <c r="L152" t="s">
        <v>134</v>
      </c>
      <c r="M152">
        <v>3</v>
      </c>
      <c r="N152">
        <v>3</v>
      </c>
      <c r="O152" t="s">
        <v>150</v>
      </c>
      <c r="P152" t="s">
        <v>155</v>
      </c>
      <c r="Q152" t="s">
        <v>243</v>
      </c>
    </row>
    <row r="153" spans="1:17" x14ac:dyDescent="0.25">
      <c r="A153" t="s">
        <v>19</v>
      </c>
      <c r="B153" t="s">
        <v>32</v>
      </c>
      <c r="C153" t="s">
        <v>48</v>
      </c>
      <c r="D153" t="s">
        <v>59</v>
      </c>
      <c r="E153">
        <v>127251</v>
      </c>
      <c r="F153">
        <v>2993</v>
      </c>
      <c r="G153" t="s">
        <v>67</v>
      </c>
      <c r="J153" t="s">
        <v>76</v>
      </c>
      <c r="K153" t="s">
        <v>92</v>
      </c>
      <c r="L153" t="s">
        <v>119</v>
      </c>
      <c r="M153">
        <v>20</v>
      </c>
      <c r="N153">
        <v>20</v>
      </c>
      <c r="O153" t="s">
        <v>151</v>
      </c>
      <c r="P153" t="s">
        <v>156</v>
      </c>
      <c r="Q153" t="s">
        <v>172</v>
      </c>
    </row>
    <row r="154" spans="1:17" x14ac:dyDescent="0.25">
      <c r="A154" t="s">
        <v>20</v>
      </c>
      <c r="B154" t="s">
        <v>23</v>
      </c>
      <c r="C154" t="s">
        <v>39</v>
      </c>
      <c r="D154" t="s">
        <v>58</v>
      </c>
      <c r="E154">
        <v>88730</v>
      </c>
      <c r="F154">
        <v>13771</v>
      </c>
      <c r="G154" t="s">
        <v>68</v>
      </c>
      <c r="J154" t="s">
        <v>78</v>
      </c>
      <c r="K154" t="s">
        <v>105</v>
      </c>
      <c r="L154" t="s">
        <v>133</v>
      </c>
      <c r="M154">
        <v>4</v>
      </c>
      <c r="N154">
        <v>2</v>
      </c>
      <c r="O154" t="s">
        <v>150</v>
      </c>
      <c r="P154" t="s">
        <v>156</v>
      </c>
      <c r="Q154" t="s">
        <v>158</v>
      </c>
    </row>
    <row r="155" spans="1:17" x14ac:dyDescent="0.25">
      <c r="A155" t="s">
        <v>20</v>
      </c>
      <c r="B155" t="s">
        <v>25</v>
      </c>
      <c r="C155" t="s">
        <v>46</v>
      </c>
      <c r="D155" t="s">
        <v>56</v>
      </c>
      <c r="E155">
        <v>103504</v>
      </c>
      <c r="F155">
        <v>19416</v>
      </c>
      <c r="G155" t="s">
        <v>67</v>
      </c>
      <c r="I155" t="s">
        <v>69</v>
      </c>
      <c r="J155" t="s">
        <v>78</v>
      </c>
      <c r="K155" t="s">
        <v>105</v>
      </c>
      <c r="L155" t="s">
        <v>142</v>
      </c>
      <c r="M155">
        <v>0</v>
      </c>
      <c r="N155">
        <v>0</v>
      </c>
      <c r="O155" t="s">
        <v>153</v>
      </c>
      <c r="P155" t="s">
        <v>154</v>
      </c>
      <c r="Q155" t="s">
        <v>244</v>
      </c>
    </row>
    <row r="156" spans="1:17" x14ac:dyDescent="0.25">
      <c r="A156" t="s">
        <v>20</v>
      </c>
      <c r="B156" t="s">
        <v>33</v>
      </c>
      <c r="C156" t="s">
        <v>36</v>
      </c>
      <c r="D156" t="s">
        <v>61</v>
      </c>
      <c r="E156">
        <v>844369</v>
      </c>
      <c r="F156">
        <v>44286</v>
      </c>
      <c r="G156" t="s">
        <v>66</v>
      </c>
      <c r="I156" t="s">
        <v>71</v>
      </c>
      <c r="J156" t="s">
        <v>78</v>
      </c>
      <c r="K156" t="s">
        <v>109</v>
      </c>
      <c r="L156" t="s">
        <v>137</v>
      </c>
      <c r="M156">
        <v>7</v>
      </c>
      <c r="N156">
        <v>7</v>
      </c>
      <c r="O156" t="s">
        <v>149</v>
      </c>
      <c r="P156" t="s">
        <v>155</v>
      </c>
      <c r="Q156" t="s">
        <v>245</v>
      </c>
    </row>
    <row r="157" spans="1:17" x14ac:dyDescent="0.25">
      <c r="A157" t="s">
        <v>21</v>
      </c>
      <c r="B157" t="s">
        <v>32</v>
      </c>
      <c r="C157" t="s">
        <v>51</v>
      </c>
      <c r="D157" t="s">
        <v>55</v>
      </c>
      <c r="E157">
        <v>78925</v>
      </c>
      <c r="F157">
        <v>712</v>
      </c>
      <c r="G157" t="s">
        <v>65</v>
      </c>
      <c r="I157" t="s">
        <v>71</v>
      </c>
      <c r="J157" t="s">
        <v>72</v>
      </c>
      <c r="K157" t="s">
        <v>95</v>
      </c>
      <c r="L157" t="s">
        <v>120</v>
      </c>
      <c r="M157">
        <v>15</v>
      </c>
      <c r="N157">
        <v>15</v>
      </c>
      <c r="O157" t="s">
        <v>151</v>
      </c>
      <c r="P157" t="s">
        <v>157</v>
      </c>
      <c r="Q157" t="s">
        <v>237</v>
      </c>
    </row>
    <row r="158" spans="1:17" x14ac:dyDescent="0.25">
      <c r="A158" t="s">
        <v>17</v>
      </c>
      <c r="B158" t="s">
        <v>30</v>
      </c>
      <c r="C158" t="s">
        <v>47</v>
      </c>
      <c r="E158">
        <v>100188</v>
      </c>
      <c r="F158">
        <v>1228</v>
      </c>
      <c r="G158" t="s">
        <v>63</v>
      </c>
      <c r="I158" t="s">
        <v>56</v>
      </c>
      <c r="J158" t="s">
        <v>77</v>
      </c>
      <c r="K158" t="s">
        <v>87</v>
      </c>
      <c r="L158" t="s">
        <v>143</v>
      </c>
      <c r="M158">
        <v>20</v>
      </c>
      <c r="N158">
        <v>20</v>
      </c>
      <c r="O158" t="s">
        <v>151</v>
      </c>
      <c r="P158" t="s">
        <v>154</v>
      </c>
      <c r="Q158" t="s">
        <v>246</v>
      </c>
    </row>
    <row r="159" spans="1:17" x14ac:dyDescent="0.25">
      <c r="A159" t="s">
        <v>19</v>
      </c>
      <c r="B159" t="s">
        <v>29</v>
      </c>
      <c r="C159" t="s">
        <v>43</v>
      </c>
      <c r="D159" t="s">
        <v>54</v>
      </c>
      <c r="E159">
        <v>25644</v>
      </c>
      <c r="F159">
        <v>717</v>
      </c>
      <c r="G159" t="s">
        <v>63</v>
      </c>
      <c r="I159" t="s">
        <v>69</v>
      </c>
      <c r="J159" t="s">
        <v>72</v>
      </c>
      <c r="K159" t="s">
        <v>82</v>
      </c>
      <c r="L159" t="s">
        <v>112</v>
      </c>
      <c r="M159">
        <v>8</v>
      </c>
      <c r="N159">
        <v>6</v>
      </c>
      <c r="O159" t="s">
        <v>151</v>
      </c>
      <c r="P159" t="s">
        <v>155</v>
      </c>
      <c r="Q159" t="s">
        <v>169</v>
      </c>
    </row>
    <row r="160" spans="1:17" x14ac:dyDescent="0.25">
      <c r="A160" t="s">
        <v>17</v>
      </c>
      <c r="B160" t="s">
        <v>31</v>
      </c>
      <c r="C160" t="s">
        <v>42</v>
      </c>
      <c r="D160" t="s">
        <v>60</v>
      </c>
      <c r="E160">
        <v>74289</v>
      </c>
      <c r="F160">
        <v>0</v>
      </c>
      <c r="G160" t="s">
        <v>65</v>
      </c>
      <c r="I160" t="s">
        <v>69</v>
      </c>
      <c r="J160" t="s">
        <v>74</v>
      </c>
      <c r="K160" t="s">
        <v>84</v>
      </c>
      <c r="L160" t="s">
        <v>74</v>
      </c>
      <c r="M160">
        <v>8</v>
      </c>
      <c r="N160">
        <v>8</v>
      </c>
      <c r="O160" t="s">
        <v>148</v>
      </c>
      <c r="P160" t="s">
        <v>154</v>
      </c>
      <c r="Q160" t="s">
        <v>234</v>
      </c>
    </row>
    <row r="161" spans="1:17" x14ac:dyDescent="0.25">
      <c r="A161" t="s">
        <v>17</v>
      </c>
      <c r="B161" t="s">
        <v>29</v>
      </c>
      <c r="C161" t="s">
        <v>42</v>
      </c>
      <c r="D161" t="s">
        <v>61</v>
      </c>
      <c r="E161">
        <v>86746</v>
      </c>
      <c r="F161">
        <v>3939</v>
      </c>
      <c r="G161" t="s">
        <v>64</v>
      </c>
      <c r="J161" t="s">
        <v>74</v>
      </c>
      <c r="K161" t="s">
        <v>84</v>
      </c>
      <c r="L161" t="s">
        <v>74</v>
      </c>
      <c r="M161">
        <v>18</v>
      </c>
      <c r="N161">
        <v>16</v>
      </c>
      <c r="O161" t="s">
        <v>148</v>
      </c>
      <c r="P161" t="s">
        <v>155</v>
      </c>
      <c r="Q161" t="s">
        <v>169</v>
      </c>
    </row>
    <row r="162" spans="1:17" x14ac:dyDescent="0.25">
      <c r="A162" t="s">
        <v>19</v>
      </c>
      <c r="B162" t="s">
        <v>24</v>
      </c>
      <c r="C162" t="s">
        <v>39</v>
      </c>
      <c r="E162">
        <v>97333</v>
      </c>
      <c r="F162">
        <v>14508</v>
      </c>
      <c r="G162" t="s">
        <v>67</v>
      </c>
      <c r="I162" t="s">
        <v>56</v>
      </c>
      <c r="J162" t="s">
        <v>81</v>
      </c>
      <c r="K162" t="s">
        <v>103</v>
      </c>
      <c r="L162" t="s">
        <v>130</v>
      </c>
      <c r="M162">
        <v>5</v>
      </c>
      <c r="N162">
        <v>2</v>
      </c>
      <c r="O162" t="s">
        <v>151</v>
      </c>
      <c r="P162" t="s">
        <v>155</v>
      </c>
      <c r="Q162" t="s">
        <v>243</v>
      </c>
    </row>
    <row r="163" spans="1:17" x14ac:dyDescent="0.25">
      <c r="A163" t="s">
        <v>17</v>
      </c>
      <c r="B163" t="s">
        <v>22</v>
      </c>
      <c r="C163" t="s">
        <v>52</v>
      </c>
      <c r="D163" t="s">
        <v>57</v>
      </c>
      <c r="E163">
        <v>104164</v>
      </c>
      <c r="F163">
        <v>23399</v>
      </c>
      <c r="G163" t="s">
        <v>68</v>
      </c>
      <c r="I163" t="s">
        <v>71</v>
      </c>
      <c r="J163" t="s">
        <v>74</v>
      </c>
      <c r="K163" t="s">
        <v>84</v>
      </c>
      <c r="L163" t="s">
        <v>74</v>
      </c>
      <c r="M163">
        <v>10</v>
      </c>
      <c r="N163">
        <v>10</v>
      </c>
      <c r="O163" t="s">
        <v>150</v>
      </c>
      <c r="P163" t="s">
        <v>156</v>
      </c>
      <c r="Q163" t="s">
        <v>247</v>
      </c>
    </row>
    <row r="164" spans="1:17" x14ac:dyDescent="0.25">
      <c r="A164" t="s">
        <v>19</v>
      </c>
      <c r="B164" t="s">
        <v>27</v>
      </c>
      <c r="C164" t="s">
        <v>46</v>
      </c>
      <c r="D164" t="s">
        <v>55</v>
      </c>
      <c r="E164">
        <v>654555</v>
      </c>
      <c r="F164">
        <v>2880</v>
      </c>
      <c r="G164" t="s">
        <v>66</v>
      </c>
      <c r="J164" t="s">
        <v>77</v>
      </c>
      <c r="K164" t="s">
        <v>87</v>
      </c>
      <c r="L164" t="s">
        <v>144</v>
      </c>
      <c r="M164">
        <v>12</v>
      </c>
      <c r="N164">
        <v>10</v>
      </c>
      <c r="O164" t="s">
        <v>149</v>
      </c>
      <c r="P164" t="s">
        <v>157</v>
      </c>
      <c r="Q164" t="s">
        <v>163</v>
      </c>
    </row>
    <row r="165" spans="1:17" x14ac:dyDescent="0.25">
      <c r="A165" t="s">
        <v>18</v>
      </c>
      <c r="B165" t="s">
        <v>27</v>
      </c>
      <c r="C165" t="s">
        <v>50</v>
      </c>
      <c r="E165">
        <v>1006019</v>
      </c>
      <c r="F165">
        <v>40458</v>
      </c>
      <c r="G165" t="s">
        <v>66</v>
      </c>
      <c r="I165" t="s">
        <v>71</v>
      </c>
      <c r="J165" t="s">
        <v>78</v>
      </c>
      <c r="K165" t="s">
        <v>104</v>
      </c>
      <c r="L165" t="s">
        <v>131</v>
      </c>
      <c r="M165">
        <v>1</v>
      </c>
      <c r="N165">
        <v>0</v>
      </c>
      <c r="O165" t="s">
        <v>148</v>
      </c>
      <c r="P165" t="s">
        <v>154</v>
      </c>
      <c r="Q165" t="s">
        <v>248</v>
      </c>
    </row>
    <row r="166" spans="1:17" x14ac:dyDescent="0.25">
      <c r="A166" t="s">
        <v>20</v>
      </c>
      <c r="B166" t="s">
        <v>26</v>
      </c>
      <c r="C166" t="s">
        <v>52</v>
      </c>
      <c r="D166" t="s">
        <v>57</v>
      </c>
      <c r="E166">
        <v>18694</v>
      </c>
      <c r="F166">
        <v>3123</v>
      </c>
      <c r="G166" t="s">
        <v>63</v>
      </c>
      <c r="I166" t="s">
        <v>70</v>
      </c>
      <c r="J166" t="s">
        <v>72</v>
      </c>
      <c r="K166" t="s">
        <v>95</v>
      </c>
      <c r="L166" t="s">
        <v>120</v>
      </c>
      <c r="M166">
        <v>7</v>
      </c>
      <c r="N166">
        <v>4</v>
      </c>
      <c r="O166" t="s">
        <v>149</v>
      </c>
      <c r="P166" t="s">
        <v>157</v>
      </c>
      <c r="Q166" t="s">
        <v>167</v>
      </c>
    </row>
    <row r="167" spans="1:17" x14ac:dyDescent="0.25">
      <c r="A167" t="s">
        <v>19</v>
      </c>
      <c r="B167" t="s">
        <v>31</v>
      </c>
      <c r="C167" t="s">
        <v>39</v>
      </c>
      <c r="D167" t="s">
        <v>61</v>
      </c>
      <c r="E167">
        <v>72142</v>
      </c>
      <c r="F167">
        <v>0</v>
      </c>
      <c r="G167" t="s">
        <v>67</v>
      </c>
      <c r="I167" t="s">
        <v>71</v>
      </c>
      <c r="J167" t="s">
        <v>75</v>
      </c>
      <c r="K167" t="s">
        <v>96</v>
      </c>
      <c r="L167" t="s">
        <v>121</v>
      </c>
      <c r="M167">
        <v>15</v>
      </c>
      <c r="N167">
        <v>15</v>
      </c>
      <c r="O167" t="s">
        <v>149</v>
      </c>
      <c r="P167" t="s">
        <v>154</v>
      </c>
      <c r="Q167" t="s">
        <v>249</v>
      </c>
    </row>
    <row r="168" spans="1:17" x14ac:dyDescent="0.25">
      <c r="A168" t="s">
        <v>21</v>
      </c>
      <c r="B168" t="s">
        <v>24</v>
      </c>
      <c r="C168" t="s">
        <v>39</v>
      </c>
      <c r="E168">
        <v>1164210</v>
      </c>
      <c r="F168">
        <v>5709</v>
      </c>
      <c r="G168" t="s">
        <v>68</v>
      </c>
      <c r="I168" t="s">
        <v>56</v>
      </c>
      <c r="J168" t="s">
        <v>77</v>
      </c>
      <c r="K168" t="s">
        <v>87</v>
      </c>
      <c r="L168" t="s">
        <v>143</v>
      </c>
      <c r="M168">
        <v>20</v>
      </c>
      <c r="N168">
        <v>20</v>
      </c>
      <c r="O168" t="s">
        <v>148</v>
      </c>
      <c r="P168" t="s">
        <v>155</v>
      </c>
      <c r="Q168" t="s">
        <v>162</v>
      </c>
    </row>
    <row r="169" spans="1:17" x14ac:dyDescent="0.25">
      <c r="A169" t="s">
        <v>20</v>
      </c>
      <c r="B169" t="s">
        <v>28</v>
      </c>
      <c r="C169" t="s">
        <v>37</v>
      </c>
      <c r="D169" t="s">
        <v>61</v>
      </c>
      <c r="E169">
        <v>60713</v>
      </c>
      <c r="F169">
        <v>2891</v>
      </c>
      <c r="G169" t="s">
        <v>63</v>
      </c>
      <c r="I169" t="s">
        <v>56</v>
      </c>
      <c r="J169" t="s">
        <v>76</v>
      </c>
      <c r="K169" t="s">
        <v>86</v>
      </c>
      <c r="L169" t="s">
        <v>115</v>
      </c>
      <c r="M169">
        <v>0</v>
      </c>
      <c r="N169">
        <v>0</v>
      </c>
      <c r="O169" t="s">
        <v>153</v>
      </c>
      <c r="P169" t="s">
        <v>154</v>
      </c>
      <c r="Q169" t="s">
        <v>235</v>
      </c>
    </row>
    <row r="170" spans="1:17" x14ac:dyDescent="0.25">
      <c r="A170" t="s">
        <v>21</v>
      </c>
      <c r="B170" t="s">
        <v>26</v>
      </c>
      <c r="C170" t="s">
        <v>52</v>
      </c>
      <c r="D170" t="s">
        <v>62</v>
      </c>
      <c r="E170">
        <v>92403</v>
      </c>
      <c r="F170">
        <v>24578</v>
      </c>
      <c r="G170" t="s">
        <v>65</v>
      </c>
      <c r="I170" t="s">
        <v>56</v>
      </c>
      <c r="J170" t="s">
        <v>79</v>
      </c>
      <c r="K170" t="s">
        <v>107</v>
      </c>
      <c r="L170" t="s">
        <v>134</v>
      </c>
      <c r="M170">
        <v>9</v>
      </c>
      <c r="N170">
        <v>6</v>
      </c>
      <c r="O170" t="s">
        <v>149</v>
      </c>
      <c r="P170" t="s">
        <v>157</v>
      </c>
      <c r="Q170" t="s">
        <v>178</v>
      </c>
    </row>
    <row r="171" spans="1:17" x14ac:dyDescent="0.25">
      <c r="A171" t="s">
        <v>18</v>
      </c>
      <c r="B171" t="s">
        <v>24</v>
      </c>
      <c r="C171" t="s">
        <v>46</v>
      </c>
      <c r="D171" t="s">
        <v>60</v>
      </c>
      <c r="E171">
        <v>92862</v>
      </c>
      <c r="F171">
        <v>9109</v>
      </c>
      <c r="G171" t="s">
        <v>67</v>
      </c>
      <c r="I171" t="s">
        <v>71</v>
      </c>
      <c r="J171" t="s">
        <v>76</v>
      </c>
      <c r="K171" t="s">
        <v>100</v>
      </c>
      <c r="L171" t="s">
        <v>132</v>
      </c>
      <c r="M171">
        <v>0</v>
      </c>
      <c r="N171">
        <v>0</v>
      </c>
      <c r="O171" t="s">
        <v>148</v>
      </c>
      <c r="P171" t="s">
        <v>155</v>
      </c>
      <c r="Q171" t="s">
        <v>167</v>
      </c>
    </row>
    <row r="172" spans="1:17" x14ac:dyDescent="0.25">
      <c r="A172" t="s">
        <v>19</v>
      </c>
      <c r="B172" t="s">
        <v>34</v>
      </c>
      <c r="C172" t="s">
        <v>40</v>
      </c>
      <c r="D172" t="s">
        <v>59</v>
      </c>
      <c r="E172">
        <v>73756</v>
      </c>
      <c r="F172">
        <v>5957</v>
      </c>
      <c r="G172" t="s">
        <v>65</v>
      </c>
      <c r="I172" t="s">
        <v>70</v>
      </c>
      <c r="J172" t="s">
        <v>73</v>
      </c>
      <c r="K172" t="s">
        <v>83</v>
      </c>
      <c r="L172" t="s">
        <v>113</v>
      </c>
      <c r="M172">
        <v>18</v>
      </c>
      <c r="N172">
        <v>18</v>
      </c>
      <c r="O172" t="s">
        <v>152</v>
      </c>
      <c r="P172" t="s">
        <v>155</v>
      </c>
      <c r="Q172" t="s">
        <v>171</v>
      </c>
    </row>
    <row r="173" spans="1:17" x14ac:dyDescent="0.25">
      <c r="A173" t="s">
        <v>19</v>
      </c>
      <c r="B173" t="s">
        <v>27</v>
      </c>
      <c r="C173" t="s">
        <v>42</v>
      </c>
      <c r="D173" t="s">
        <v>57</v>
      </c>
      <c r="E173">
        <v>979083</v>
      </c>
      <c r="F173">
        <v>30548</v>
      </c>
      <c r="G173" t="s">
        <v>66</v>
      </c>
      <c r="I173" t="s">
        <v>71</v>
      </c>
      <c r="J173" t="s">
        <v>72</v>
      </c>
      <c r="K173" t="s">
        <v>82</v>
      </c>
      <c r="L173" t="s">
        <v>112</v>
      </c>
      <c r="M173">
        <v>15</v>
      </c>
      <c r="N173">
        <v>15</v>
      </c>
      <c r="O173" t="s">
        <v>149</v>
      </c>
      <c r="P173" t="s">
        <v>155</v>
      </c>
      <c r="Q173" t="s">
        <v>250</v>
      </c>
    </row>
    <row r="174" spans="1:17" x14ac:dyDescent="0.25">
      <c r="A174" t="s">
        <v>17</v>
      </c>
      <c r="B174" t="s">
        <v>27</v>
      </c>
      <c r="C174" t="s">
        <v>44</v>
      </c>
      <c r="D174" t="s">
        <v>61</v>
      </c>
      <c r="E174">
        <v>82274</v>
      </c>
      <c r="F174">
        <v>13288</v>
      </c>
      <c r="G174" t="s">
        <v>65</v>
      </c>
      <c r="I174" t="s">
        <v>69</v>
      </c>
      <c r="J174" t="s">
        <v>79</v>
      </c>
      <c r="K174" t="s">
        <v>107</v>
      </c>
      <c r="L174" t="s">
        <v>134</v>
      </c>
      <c r="M174">
        <v>8</v>
      </c>
      <c r="N174">
        <v>8</v>
      </c>
      <c r="O174" t="s">
        <v>149</v>
      </c>
      <c r="P174" t="s">
        <v>154</v>
      </c>
      <c r="Q174" t="s">
        <v>251</v>
      </c>
    </row>
    <row r="175" spans="1:17" x14ac:dyDescent="0.25">
      <c r="A175" t="s">
        <v>18</v>
      </c>
      <c r="D175" t="s">
        <v>61</v>
      </c>
      <c r="F175">
        <v>6176</v>
      </c>
      <c r="G175" t="s">
        <v>65</v>
      </c>
      <c r="J175" t="s">
        <v>76</v>
      </c>
      <c r="K175" t="s">
        <v>100</v>
      </c>
      <c r="N175">
        <v>0</v>
      </c>
      <c r="O175" t="s">
        <v>149</v>
      </c>
      <c r="Q175" t="s">
        <v>252</v>
      </c>
    </row>
    <row r="176" spans="1:17" x14ac:dyDescent="0.25">
      <c r="A176" t="s">
        <v>19</v>
      </c>
      <c r="B176" t="s">
        <v>30</v>
      </c>
      <c r="C176" t="s">
        <v>42</v>
      </c>
      <c r="D176" t="s">
        <v>58</v>
      </c>
      <c r="E176">
        <v>99798</v>
      </c>
      <c r="F176">
        <v>15148</v>
      </c>
      <c r="G176" t="s">
        <v>67</v>
      </c>
      <c r="J176" t="s">
        <v>72</v>
      </c>
      <c r="K176" t="s">
        <v>82</v>
      </c>
      <c r="L176" t="s">
        <v>112</v>
      </c>
      <c r="M176">
        <v>5</v>
      </c>
      <c r="N176">
        <v>5</v>
      </c>
      <c r="O176" t="s">
        <v>151</v>
      </c>
      <c r="P176" t="s">
        <v>155</v>
      </c>
      <c r="Q176" t="s">
        <v>195</v>
      </c>
    </row>
    <row r="177" spans="1:17" x14ac:dyDescent="0.25">
      <c r="A177" t="s">
        <v>19</v>
      </c>
      <c r="B177" t="s">
        <v>30</v>
      </c>
      <c r="C177" t="s">
        <v>40</v>
      </c>
      <c r="D177" t="s">
        <v>55</v>
      </c>
      <c r="E177">
        <v>608330</v>
      </c>
      <c r="F177">
        <v>61835</v>
      </c>
      <c r="G177" t="s">
        <v>66</v>
      </c>
      <c r="I177" t="s">
        <v>71</v>
      </c>
      <c r="J177" t="s">
        <v>72</v>
      </c>
      <c r="K177" t="s">
        <v>95</v>
      </c>
      <c r="L177" t="s">
        <v>120</v>
      </c>
      <c r="M177">
        <v>4</v>
      </c>
      <c r="N177">
        <v>4</v>
      </c>
      <c r="O177" t="s">
        <v>148</v>
      </c>
      <c r="P177" t="s">
        <v>154</v>
      </c>
      <c r="Q177" t="s">
        <v>253</v>
      </c>
    </row>
    <row r="178" spans="1:17" x14ac:dyDescent="0.25">
      <c r="A178" t="s">
        <v>20</v>
      </c>
      <c r="B178" t="s">
        <v>33</v>
      </c>
      <c r="C178" t="s">
        <v>45</v>
      </c>
      <c r="D178" t="s">
        <v>61</v>
      </c>
      <c r="E178">
        <v>71158</v>
      </c>
      <c r="F178">
        <v>2045</v>
      </c>
      <c r="G178" t="s">
        <v>67</v>
      </c>
      <c r="I178" t="s">
        <v>56</v>
      </c>
      <c r="J178" t="s">
        <v>77</v>
      </c>
      <c r="K178" t="s">
        <v>111</v>
      </c>
      <c r="L178" t="s">
        <v>141</v>
      </c>
      <c r="M178">
        <v>1</v>
      </c>
      <c r="N178">
        <v>0</v>
      </c>
      <c r="O178" t="s">
        <v>149</v>
      </c>
      <c r="P178" t="s">
        <v>156</v>
      </c>
      <c r="Q178" t="s">
        <v>191</v>
      </c>
    </row>
    <row r="179" spans="1:17" x14ac:dyDescent="0.25">
      <c r="A179" t="s">
        <v>19</v>
      </c>
      <c r="B179" t="s">
        <v>31</v>
      </c>
      <c r="C179" t="s">
        <v>43</v>
      </c>
      <c r="D179" t="s">
        <v>61</v>
      </c>
      <c r="E179">
        <v>122819</v>
      </c>
      <c r="F179">
        <v>8839</v>
      </c>
      <c r="G179" t="s">
        <v>67</v>
      </c>
      <c r="I179" t="s">
        <v>70</v>
      </c>
      <c r="J179" t="s">
        <v>80</v>
      </c>
      <c r="K179" t="s">
        <v>106</v>
      </c>
      <c r="L179" t="s">
        <v>106</v>
      </c>
      <c r="M179">
        <v>8</v>
      </c>
      <c r="N179">
        <v>6</v>
      </c>
      <c r="O179" t="s">
        <v>148</v>
      </c>
      <c r="P179" t="s">
        <v>157</v>
      </c>
      <c r="Q179" t="s">
        <v>175</v>
      </c>
    </row>
    <row r="180" spans="1:17" x14ac:dyDescent="0.25">
      <c r="A180" t="s">
        <v>21</v>
      </c>
      <c r="B180" t="s">
        <v>23</v>
      </c>
      <c r="C180" t="s">
        <v>39</v>
      </c>
      <c r="D180" t="s">
        <v>58</v>
      </c>
      <c r="E180">
        <v>761314</v>
      </c>
      <c r="F180">
        <v>0</v>
      </c>
      <c r="G180" t="s">
        <v>66</v>
      </c>
      <c r="J180" t="s">
        <v>80</v>
      </c>
      <c r="K180" t="s">
        <v>106</v>
      </c>
      <c r="L180" t="s">
        <v>106</v>
      </c>
      <c r="M180">
        <v>8</v>
      </c>
      <c r="N180">
        <v>6</v>
      </c>
      <c r="O180" t="s">
        <v>152</v>
      </c>
      <c r="P180" t="s">
        <v>154</v>
      </c>
      <c r="Q180" t="s">
        <v>254</v>
      </c>
    </row>
    <row r="181" spans="1:17" x14ac:dyDescent="0.25">
      <c r="A181" t="s">
        <v>21</v>
      </c>
      <c r="B181" t="s">
        <v>27</v>
      </c>
      <c r="C181" t="s">
        <v>51</v>
      </c>
      <c r="D181" t="s">
        <v>55</v>
      </c>
      <c r="E181">
        <v>107725</v>
      </c>
      <c r="F181">
        <v>4500</v>
      </c>
      <c r="G181" t="s">
        <v>64</v>
      </c>
      <c r="I181" t="s">
        <v>70</v>
      </c>
      <c r="J181" t="s">
        <v>76</v>
      </c>
      <c r="K181" t="s">
        <v>92</v>
      </c>
      <c r="L181" t="s">
        <v>119</v>
      </c>
      <c r="M181">
        <v>8</v>
      </c>
      <c r="N181">
        <v>5</v>
      </c>
      <c r="O181" t="s">
        <v>152</v>
      </c>
      <c r="P181" t="s">
        <v>156</v>
      </c>
      <c r="Q181" t="s">
        <v>255</v>
      </c>
    </row>
    <row r="182" spans="1:17" x14ac:dyDescent="0.25">
      <c r="A182" t="s">
        <v>20</v>
      </c>
      <c r="B182" t="s">
        <v>24</v>
      </c>
      <c r="C182" t="s">
        <v>43</v>
      </c>
      <c r="E182">
        <v>109147</v>
      </c>
      <c r="F182">
        <v>1830</v>
      </c>
      <c r="G182" t="s">
        <v>65</v>
      </c>
      <c r="I182" t="s">
        <v>56</v>
      </c>
      <c r="J182" t="s">
        <v>78</v>
      </c>
      <c r="K182" t="s">
        <v>104</v>
      </c>
      <c r="L182" t="s">
        <v>131</v>
      </c>
      <c r="M182">
        <v>3</v>
      </c>
      <c r="N182">
        <v>3</v>
      </c>
      <c r="O182" t="s">
        <v>148</v>
      </c>
      <c r="P182" t="s">
        <v>155</v>
      </c>
      <c r="Q182" t="s">
        <v>159</v>
      </c>
    </row>
    <row r="183" spans="1:17" x14ac:dyDescent="0.25">
      <c r="A183" t="s">
        <v>20</v>
      </c>
      <c r="B183" t="s">
        <v>35</v>
      </c>
      <c r="C183" t="s">
        <v>39</v>
      </c>
      <c r="D183" t="s">
        <v>57</v>
      </c>
      <c r="E183">
        <v>103239</v>
      </c>
      <c r="F183">
        <v>15303</v>
      </c>
      <c r="G183" t="s">
        <v>65</v>
      </c>
      <c r="I183" t="s">
        <v>69</v>
      </c>
      <c r="J183" t="s">
        <v>73</v>
      </c>
      <c r="K183" t="s">
        <v>99</v>
      </c>
      <c r="L183" t="s">
        <v>125</v>
      </c>
      <c r="M183">
        <v>2</v>
      </c>
      <c r="N183">
        <v>0</v>
      </c>
      <c r="O183" t="s">
        <v>149</v>
      </c>
      <c r="P183" t="s">
        <v>157</v>
      </c>
      <c r="Q183" t="s">
        <v>256</v>
      </c>
    </row>
    <row r="184" spans="1:17" x14ac:dyDescent="0.25">
      <c r="A184" t="s">
        <v>20</v>
      </c>
      <c r="B184" t="s">
        <v>32</v>
      </c>
      <c r="C184" t="s">
        <v>44</v>
      </c>
      <c r="D184" t="s">
        <v>61</v>
      </c>
      <c r="E184">
        <v>85331</v>
      </c>
      <c r="F184">
        <v>3949</v>
      </c>
      <c r="G184" t="s">
        <v>65</v>
      </c>
      <c r="I184" t="s">
        <v>71</v>
      </c>
      <c r="J184" t="s">
        <v>80</v>
      </c>
      <c r="K184" t="s">
        <v>93</v>
      </c>
      <c r="L184" t="s">
        <v>93</v>
      </c>
      <c r="M184">
        <v>7</v>
      </c>
      <c r="N184">
        <v>6</v>
      </c>
      <c r="O184" t="s">
        <v>151</v>
      </c>
      <c r="P184" t="s">
        <v>154</v>
      </c>
      <c r="Q184" t="s">
        <v>256</v>
      </c>
    </row>
    <row r="185" spans="1:17" x14ac:dyDescent="0.25">
      <c r="A185" t="s">
        <v>17</v>
      </c>
      <c r="B185" t="s">
        <v>24</v>
      </c>
      <c r="C185" t="s">
        <v>52</v>
      </c>
      <c r="D185" t="s">
        <v>56</v>
      </c>
      <c r="E185">
        <v>1049139</v>
      </c>
      <c r="F185">
        <v>0</v>
      </c>
      <c r="G185" t="s">
        <v>66</v>
      </c>
      <c r="I185" t="s">
        <v>56</v>
      </c>
      <c r="J185" t="s">
        <v>80</v>
      </c>
      <c r="K185" t="s">
        <v>106</v>
      </c>
      <c r="L185" t="s">
        <v>106</v>
      </c>
      <c r="M185">
        <v>9</v>
      </c>
      <c r="N185">
        <v>6</v>
      </c>
      <c r="O185" t="s">
        <v>152</v>
      </c>
      <c r="P185" t="s">
        <v>157</v>
      </c>
      <c r="Q185" t="s">
        <v>257</v>
      </c>
    </row>
    <row r="186" spans="1:17" x14ac:dyDescent="0.25">
      <c r="A186" t="s">
        <v>18</v>
      </c>
      <c r="B186" t="s">
        <v>28</v>
      </c>
      <c r="C186" t="s">
        <v>45</v>
      </c>
      <c r="D186" t="s">
        <v>62</v>
      </c>
      <c r="E186">
        <v>77895</v>
      </c>
      <c r="F186">
        <v>25</v>
      </c>
      <c r="G186" t="s">
        <v>65</v>
      </c>
      <c r="I186" t="s">
        <v>56</v>
      </c>
      <c r="J186" t="s">
        <v>74</v>
      </c>
      <c r="K186" t="s">
        <v>84</v>
      </c>
      <c r="L186" t="s">
        <v>74</v>
      </c>
      <c r="M186">
        <v>0</v>
      </c>
      <c r="N186">
        <v>0</v>
      </c>
      <c r="O186" t="s">
        <v>152</v>
      </c>
      <c r="P186" t="s">
        <v>156</v>
      </c>
      <c r="Q186" t="s">
        <v>258</v>
      </c>
    </row>
    <row r="187" spans="1:17" x14ac:dyDescent="0.25">
      <c r="A187" t="s">
        <v>20</v>
      </c>
      <c r="B187" t="s">
        <v>33</v>
      </c>
      <c r="C187" t="s">
        <v>39</v>
      </c>
      <c r="E187">
        <v>123124</v>
      </c>
      <c r="F187">
        <v>9454</v>
      </c>
      <c r="G187" t="s">
        <v>63</v>
      </c>
      <c r="I187" t="s">
        <v>69</v>
      </c>
      <c r="J187" t="s">
        <v>80</v>
      </c>
      <c r="K187" t="s">
        <v>106</v>
      </c>
      <c r="L187" t="s">
        <v>106</v>
      </c>
      <c r="M187">
        <v>0</v>
      </c>
      <c r="N187">
        <v>0</v>
      </c>
      <c r="O187" t="s">
        <v>148</v>
      </c>
      <c r="P187" t="s">
        <v>157</v>
      </c>
      <c r="Q187" t="s">
        <v>171</v>
      </c>
    </row>
    <row r="188" spans="1:17" x14ac:dyDescent="0.25">
      <c r="A188" t="s">
        <v>20</v>
      </c>
      <c r="B188" t="s">
        <v>33</v>
      </c>
      <c r="C188" t="s">
        <v>39</v>
      </c>
      <c r="D188" t="s">
        <v>55</v>
      </c>
      <c r="E188">
        <v>76103</v>
      </c>
      <c r="F188">
        <v>15009</v>
      </c>
      <c r="G188" t="s">
        <v>63</v>
      </c>
      <c r="J188" t="s">
        <v>78</v>
      </c>
      <c r="K188" t="s">
        <v>90</v>
      </c>
      <c r="L188" t="s">
        <v>138</v>
      </c>
      <c r="M188">
        <v>2</v>
      </c>
      <c r="N188">
        <v>1</v>
      </c>
      <c r="O188" t="s">
        <v>150</v>
      </c>
      <c r="P188" t="s">
        <v>157</v>
      </c>
      <c r="Q188" t="s">
        <v>238</v>
      </c>
    </row>
    <row r="189" spans="1:17" x14ac:dyDescent="0.25">
      <c r="A189" t="s">
        <v>19</v>
      </c>
      <c r="B189" t="s">
        <v>34</v>
      </c>
      <c r="C189" t="s">
        <v>37</v>
      </c>
      <c r="D189" t="s">
        <v>62</v>
      </c>
      <c r="E189">
        <v>104157</v>
      </c>
      <c r="F189">
        <v>548</v>
      </c>
      <c r="G189" t="s">
        <v>64</v>
      </c>
      <c r="I189" t="s">
        <v>70</v>
      </c>
      <c r="J189" t="s">
        <v>75</v>
      </c>
      <c r="K189" t="s">
        <v>96</v>
      </c>
      <c r="L189" t="s">
        <v>121</v>
      </c>
      <c r="M189">
        <v>6</v>
      </c>
      <c r="N189">
        <v>6</v>
      </c>
      <c r="O189" t="s">
        <v>153</v>
      </c>
      <c r="P189" t="s">
        <v>155</v>
      </c>
      <c r="Q189" t="s">
        <v>217</v>
      </c>
    </row>
    <row r="190" spans="1:17" x14ac:dyDescent="0.25">
      <c r="A190" t="s">
        <v>20</v>
      </c>
      <c r="B190" t="s">
        <v>32</v>
      </c>
      <c r="C190" t="s">
        <v>42</v>
      </c>
      <c r="D190" t="s">
        <v>62</v>
      </c>
      <c r="E190">
        <v>74393</v>
      </c>
      <c r="F190">
        <v>3512</v>
      </c>
      <c r="G190" t="s">
        <v>65</v>
      </c>
      <c r="I190" t="s">
        <v>71</v>
      </c>
      <c r="J190" t="s">
        <v>75</v>
      </c>
      <c r="K190" t="s">
        <v>96</v>
      </c>
      <c r="L190" t="s">
        <v>121</v>
      </c>
      <c r="M190">
        <v>6</v>
      </c>
      <c r="N190">
        <v>6</v>
      </c>
      <c r="O190" t="s">
        <v>150</v>
      </c>
      <c r="P190" t="s">
        <v>156</v>
      </c>
      <c r="Q190" t="s">
        <v>175</v>
      </c>
    </row>
    <row r="191" spans="1:17" x14ac:dyDescent="0.25">
      <c r="A191" t="s">
        <v>20</v>
      </c>
      <c r="B191" t="s">
        <v>33</v>
      </c>
      <c r="C191" t="s">
        <v>44</v>
      </c>
      <c r="D191" t="s">
        <v>62</v>
      </c>
      <c r="E191">
        <v>102177</v>
      </c>
      <c r="F191">
        <v>12138</v>
      </c>
      <c r="G191" t="s">
        <v>64</v>
      </c>
      <c r="I191" t="s">
        <v>70</v>
      </c>
      <c r="J191" t="s">
        <v>72</v>
      </c>
      <c r="K191" t="s">
        <v>95</v>
      </c>
      <c r="L191" t="s">
        <v>120</v>
      </c>
      <c r="M191">
        <v>1</v>
      </c>
      <c r="N191">
        <v>1</v>
      </c>
      <c r="O191" t="s">
        <v>153</v>
      </c>
      <c r="P191" t="s">
        <v>154</v>
      </c>
      <c r="Q191" t="s">
        <v>259</v>
      </c>
    </row>
    <row r="192" spans="1:17" x14ac:dyDescent="0.25">
      <c r="A192" t="s">
        <v>17</v>
      </c>
      <c r="B192" t="s">
        <v>35</v>
      </c>
      <c r="C192" t="s">
        <v>39</v>
      </c>
      <c r="D192" t="s">
        <v>55</v>
      </c>
      <c r="E192">
        <v>49708</v>
      </c>
      <c r="F192">
        <v>7893</v>
      </c>
      <c r="G192" t="s">
        <v>63</v>
      </c>
      <c r="I192" t="s">
        <v>71</v>
      </c>
      <c r="J192" t="s">
        <v>79</v>
      </c>
      <c r="K192" t="s">
        <v>107</v>
      </c>
      <c r="L192" t="s">
        <v>134</v>
      </c>
      <c r="M192">
        <v>25</v>
      </c>
      <c r="N192">
        <v>25</v>
      </c>
      <c r="O192" t="s">
        <v>148</v>
      </c>
      <c r="P192" t="s">
        <v>155</v>
      </c>
      <c r="Q192" t="s">
        <v>260</v>
      </c>
    </row>
    <row r="193" spans="1:17" x14ac:dyDescent="0.25">
      <c r="A193" t="s">
        <v>19</v>
      </c>
      <c r="B193" t="s">
        <v>27</v>
      </c>
      <c r="C193" t="s">
        <v>41</v>
      </c>
      <c r="E193">
        <v>12436</v>
      </c>
      <c r="F193">
        <v>27</v>
      </c>
      <c r="G193" t="s">
        <v>63</v>
      </c>
      <c r="I193" t="s">
        <v>70</v>
      </c>
      <c r="J193" t="s">
        <v>72</v>
      </c>
      <c r="K193" t="s">
        <v>95</v>
      </c>
      <c r="L193" t="s">
        <v>120</v>
      </c>
      <c r="M193">
        <v>6</v>
      </c>
      <c r="N193">
        <v>6</v>
      </c>
      <c r="O193" t="s">
        <v>152</v>
      </c>
      <c r="P193" t="s">
        <v>156</v>
      </c>
      <c r="Q193" t="s">
        <v>165</v>
      </c>
    </row>
    <row r="194" spans="1:17" x14ac:dyDescent="0.25">
      <c r="A194" t="s">
        <v>19</v>
      </c>
      <c r="B194" t="s">
        <v>31</v>
      </c>
      <c r="C194" t="s">
        <v>42</v>
      </c>
      <c r="D194" t="s">
        <v>57</v>
      </c>
      <c r="E194">
        <v>61566</v>
      </c>
      <c r="F194">
        <v>6036</v>
      </c>
      <c r="G194" t="s">
        <v>63</v>
      </c>
      <c r="I194" t="s">
        <v>70</v>
      </c>
      <c r="J194" t="s">
        <v>73</v>
      </c>
      <c r="K194" t="s">
        <v>99</v>
      </c>
      <c r="L194" t="s">
        <v>125</v>
      </c>
      <c r="M194">
        <v>9</v>
      </c>
      <c r="N194">
        <v>9</v>
      </c>
      <c r="O194" t="s">
        <v>152</v>
      </c>
      <c r="P194" t="s">
        <v>155</v>
      </c>
      <c r="Q194" t="s">
        <v>261</v>
      </c>
    </row>
    <row r="195" spans="1:17" x14ac:dyDescent="0.25">
      <c r="A195" t="s">
        <v>20</v>
      </c>
      <c r="B195" t="s">
        <v>27</v>
      </c>
      <c r="C195" t="s">
        <v>49</v>
      </c>
      <c r="E195">
        <v>91833</v>
      </c>
      <c r="F195">
        <v>1860</v>
      </c>
      <c r="G195" t="s">
        <v>65</v>
      </c>
      <c r="I195" t="s">
        <v>70</v>
      </c>
      <c r="J195" t="s">
        <v>72</v>
      </c>
      <c r="K195" t="s">
        <v>82</v>
      </c>
      <c r="L195" t="s">
        <v>112</v>
      </c>
      <c r="M195">
        <v>6</v>
      </c>
      <c r="N195">
        <v>4</v>
      </c>
      <c r="O195" t="s">
        <v>149</v>
      </c>
      <c r="P195" t="s">
        <v>154</v>
      </c>
      <c r="Q195" t="s">
        <v>262</v>
      </c>
    </row>
    <row r="196" spans="1:17" x14ac:dyDescent="0.25">
      <c r="A196" t="s">
        <v>17</v>
      </c>
      <c r="B196" t="s">
        <v>29</v>
      </c>
      <c r="C196" t="s">
        <v>50</v>
      </c>
      <c r="D196" t="s">
        <v>60</v>
      </c>
      <c r="E196">
        <v>31697</v>
      </c>
      <c r="F196">
        <v>1386</v>
      </c>
      <c r="G196" t="s">
        <v>63</v>
      </c>
      <c r="I196" t="s">
        <v>70</v>
      </c>
      <c r="J196" t="s">
        <v>79</v>
      </c>
      <c r="K196" t="s">
        <v>107</v>
      </c>
      <c r="L196" t="s">
        <v>134</v>
      </c>
      <c r="M196">
        <v>25</v>
      </c>
      <c r="N196">
        <v>24</v>
      </c>
      <c r="O196" t="s">
        <v>148</v>
      </c>
      <c r="P196" t="s">
        <v>154</v>
      </c>
      <c r="Q196" t="s">
        <v>216</v>
      </c>
    </row>
    <row r="197" spans="1:17" x14ac:dyDescent="0.25">
      <c r="A197" t="s">
        <v>19</v>
      </c>
      <c r="B197" t="s">
        <v>30</v>
      </c>
      <c r="C197" t="s">
        <v>45</v>
      </c>
      <c r="D197" t="s">
        <v>61</v>
      </c>
      <c r="E197">
        <v>49150</v>
      </c>
      <c r="F197">
        <v>4384</v>
      </c>
      <c r="G197" t="s">
        <v>67</v>
      </c>
      <c r="J197" t="s">
        <v>72</v>
      </c>
      <c r="K197" t="s">
        <v>82</v>
      </c>
      <c r="L197" t="s">
        <v>112</v>
      </c>
      <c r="M197">
        <v>5</v>
      </c>
      <c r="N197">
        <v>2</v>
      </c>
      <c r="O197" t="s">
        <v>149</v>
      </c>
      <c r="P197" t="s">
        <v>157</v>
      </c>
      <c r="Q197" t="s">
        <v>263</v>
      </c>
    </row>
    <row r="198" spans="1:17" x14ac:dyDescent="0.25">
      <c r="A198" t="s">
        <v>20</v>
      </c>
      <c r="B198" t="s">
        <v>27</v>
      </c>
      <c r="C198" t="s">
        <v>52</v>
      </c>
      <c r="D198" t="s">
        <v>59</v>
      </c>
      <c r="E198">
        <v>85822</v>
      </c>
      <c r="F198">
        <v>0</v>
      </c>
      <c r="G198" t="s">
        <v>65</v>
      </c>
      <c r="J198" t="s">
        <v>79</v>
      </c>
      <c r="K198" t="s">
        <v>107</v>
      </c>
      <c r="L198" t="s">
        <v>134</v>
      </c>
      <c r="M198">
        <v>7</v>
      </c>
      <c r="N198">
        <v>6</v>
      </c>
      <c r="O198" t="s">
        <v>150</v>
      </c>
      <c r="P198" t="s">
        <v>155</v>
      </c>
      <c r="Q198" t="s">
        <v>260</v>
      </c>
    </row>
    <row r="199" spans="1:17" x14ac:dyDescent="0.25">
      <c r="A199" t="s">
        <v>19</v>
      </c>
      <c r="B199" t="s">
        <v>27</v>
      </c>
      <c r="C199" t="s">
        <v>49</v>
      </c>
      <c r="D199" t="s">
        <v>55</v>
      </c>
      <c r="E199">
        <v>1060080</v>
      </c>
      <c r="F199">
        <v>0</v>
      </c>
      <c r="G199" t="s">
        <v>66</v>
      </c>
      <c r="I199" t="s">
        <v>70</v>
      </c>
      <c r="J199" t="s">
        <v>75</v>
      </c>
      <c r="K199" t="s">
        <v>108</v>
      </c>
      <c r="L199" t="s">
        <v>135</v>
      </c>
      <c r="M199">
        <v>25</v>
      </c>
      <c r="N199">
        <v>25</v>
      </c>
      <c r="O199" t="s">
        <v>151</v>
      </c>
      <c r="P199" t="s">
        <v>157</v>
      </c>
      <c r="Q199" t="s">
        <v>264</v>
      </c>
    </row>
    <row r="200" spans="1:17" x14ac:dyDescent="0.25">
      <c r="A200" t="s">
        <v>21</v>
      </c>
      <c r="D200" t="s">
        <v>59</v>
      </c>
      <c r="F200">
        <v>1215</v>
      </c>
      <c r="G200" t="s">
        <v>63</v>
      </c>
      <c r="I200" t="s">
        <v>70</v>
      </c>
      <c r="J200" t="s">
        <v>74</v>
      </c>
      <c r="K200" t="s">
        <v>84</v>
      </c>
      <c r="N200">
        <v>18</v>
      </c>
      <c r="O200" t="s">
        <v>149</v>
      </c>
      <c r="Q200" t="s">
        <v>216</v>
      </c>
    </row>
    <row r="201" spans="1:17" x14ac:dyDescent="0.25">
      <c r="A201" t="s">
        <v>19</v>
      </c>
      <c r="B201" t="s">
        <v>22</v>
      </c>
      <c r="C201" t="s">
        <v>45</v>
      </c>
      <c r="D201" t="s">
        <v>62</v>
      </c>
      <c r="E201">
        <v>110036</v>
      </c>
      <c r="F201">
        <v>9513</v>
      </c>
      <c r="G201" t="s">
        <v>67</v>
      </c>
      <c r="I201" t="s">
        <v>56</v>
      </c>
      <c r="J201" t="s">
        <v>79</v>
      </c>
      <c r="K201" t="s">
        <v>91</v>
      </c>
      <c r="L201" t="s">
        <v>118</v>
      </c>
      <c r="M201">
        <v>2</v>
      </c>
      <c r="N201">
        <v>2</v>
      </c>
      <c r="O201" t="s">
        <v>148</v>
      </c>
      <c r="P201" t="s">
        <v>157</v>
      </c>
      <c r="Q201" t="s">
        <v>265</v>
      </c>
    </row>
    <row r="202" spans="1:17" x14ac:dyDescent="0.25">
      <c r="A202" t="s">
        <v>19</v>
      </c>
      <c r="B202" t="s">
        <v>26</v>
      </c>
      <c r="C202" t="s">
        <v>42</v>
      </c>
      <c r="D202" t="s">
        <v>54</v>
      </c>
      <c r="E202">
        <v>882230</v>
      </c>
      <c r="F202">
        <v>5012</v>
      </c>
      <c r="G202" t="s">
        <v>63</v>
      </c>
      <c r="I202" t="s">
        <v>71</v>
      </c>
      <c r="J202" t="s">
        <v>79</v>
      </c>
      <c r="K202" t="s">
        <v>91</v>
      </c>
      <c r="L202" t="s">
        <v>118</v>
      </c>
      <c r="M202">
        <v>2</v>
      </c>
      <c r="N202">
        <v>2</v>
      </c>
      <c r="O202" t="s">
        <v>149</v>
      </c>
      <c r="P202" t="s">
        <v>156</v>
      </c>
      <c r="Q202" t="s">
        <v>202</v>
      </c>
    </row>
    <row r="203" spans="1:17" x14ac:dyDescent="0.25">
      <c r="A203" t="s">
        <v>20</v>
      </c>
      <c r="B203" t="s">
        <v>34</v>
      </c>
      <c r="C203" t="s">
        <v>52</v>
      </c>
      <c r="D203" t="s">
        <v>57</v>
      </c>
      <c r="E203">
        <v>88317</v>
      </c>
      <c r="F203">
        <v>5223</v>
      </c>
      <c r="G203" t="s">
        <v>63</v>
      </c>
      <c r="I203" t="s">
        <v>70</v>
      </c>
      <c r="J203" t="s">
        <v>81</v>
      </c>
      <c r="K203" t="s">
        <v>98</v>
      </c>
      <c r="L203" t="s">
        <v>123</v>
      </c>
      <c r="M203">
        <v>3</v>
      </c>
      <c r="N203">
        <v>0</v>
      </c>
      <c r="O203" t="s">
        <v>153</v>
      </c>
      <c r="P203" t="s">
        <v>154</v>
      </c>
      <c r="Q203" t="s">
        <v>190</v>
      </c>
    </row>
    <row r="204" spans="1:17" x14ac:dyDescent="0.25">
      <c r="A204" t="s">
        <v>20</v>
      </c>
      <c r="B204" t="s">
        <v>28</v>
      </c>
      <c r="C204" t="s">
        <v>49</v>
      </c>
      <c r="D204" t="s">
        <v>56</v>
      </c>
      <c r="E204">
        <v>933464</v>
      </c>
      <c r="F204">
        <v>119996</v>
      </c>
      <c r="G204" t="s">
        <v>66</v>
      </c>
      <c r="I204" t="s">
        <v>70</v>
      </c>
      <c r="J204" t="s">
        <v>77</v>
      </c>
      <c r="K204" t="s">
        <v>111</v>
      </c>
      <c r="L204" t="s">
        <v>141</v>
      </c>
      <c r="M204">
        <v>7</v>
      </c>
      <c r="N204">
        <v>5</v>
      </c>
      <c r="O204" t="s">
        <v>153</v>
      </c>
      <c r="P204" t="s">
        <v>155</v>
      </c>
      <c r="Q204" t="s">
        <v>266</v>
      </c>
    </row>
    <row r="205" spans="1:17" x14ac:dyDescent="0.25">
      <c r="A205" t="s">
        <v>19</v>
      </c>
      <c r="B205" t="s">
        <v>31</v>
      </c>
      <c r="C205" t="s">
        <v>48</v>
      </c>
      <c r="D205" t="s">
        <v>57</v>
      </c>
      <c r="E205">
        <v>149897</v>
      </c>
      <c r="F205">
        <v>9576</v>
      </c>
      <c r="G205" t="s">
        <v>64</v>
      </c>
      <c r="J205" t="s">
        <v>73</v>
      </c>
      <c r="K205" t="s">
        <v>102</v>
      </c>
      <c r="L205" t="s">
        <v>102</v>
      </c>
      <c r="M205">
        <v>5</v>
      </c>
      <c r="N205">
        <v>2</v>
      </c>
      <c r="O205" t="s">
        <v>152</v>
      </c>
      <c r="P205" t="s">
        <v>155</v>
      </c>
      <c r="Q205" t="s">
        <v>267</v>
      </c>
    </row>
    <row r="206" spans="1:17" x14ac:dyDescent="0.25">
      <c r="A206" t="s">
        <v>19</v>
      </c>
      <c r="B206" t="s">
        <v>34</v>
      </c>
      <c r="C206" t="s">
        <v>43</v>
      </c>
      <c r="D206" t="s">
        <v>62</v>
      </c>
      <c r="E206">
        <v>810436</v>
      </c>
      <c r="F206">
        <v>120013</v>
      </c>
      <c r="G206" t="s">
        <v>66</v>
      </c>
      <c r="I206" t="s">
        <v>71</v>
      </c>
      <c r="J206" t="s">
        <v>78</v>
      </c>
      <c r="K206" t="s">
        <v>104</v>
      </c>
      <c r="L206" t="s">
        <v>131</v>
      </c>
      <c r="M206">
        <v>25</v>
      </c>
      <c r="N206">
        <v>25</v>
      </c>
      <c r="O206" t="s">
        <v>149</v>
      </c>
      <c r="P206" t="s">
        <v>155</v>
      </c>
      <c r="Q206" t="s">
        <v>268</v>
      </c>
    </row>
    <row r="207" spans="1:17" x14ac:dyDescent="0.25">
      <c r="A207" t="s">
        <v>20</v>
      </c>
      <c r="B207" t="s">
        <v>30</v>
      </c>
      <c r="C207" t="s">
        <v>48</v>
      </c>
      <c r="D207" t="s">
        <v>60</v>
      </c>
      <c r="E207">
        <v>77117</v>
      </c>
      <c r="F207">
        <v>11427</v>
      </c>
      <c r="G207" t="s">
        <v>67</v>
      </c>
      <c r="J207" t="s">
        <v>76</v>
      </c>
      <c r="K207" t="s">
        <v>92</v>
      </c>
      <c r="L207" t="s">
        <v>119</v>
      </c>
      <c r="M207">
        <v>7</v>
      </c>
      <c r="N207">
        <v>7</v>
      </c>
      <c r="O207" t="s">
        <v>149</v>
      </c>
      <c r="P207" t="s">
        <v>155</v>
      </c>
      <c r="Q207" t="s">
        <v>171</v>
      </c>
    </row>
    <row r="208" spans="1:17" x14ac:dyDescent="0.25">
      <c r="A208" t="s">
        <v>18</v>
      </c>
      <c r="B208" t="s">
        <v>31</v>
      </c>
      <c r="C208" t="s">
        <v>43</v>
      </c>
      <c r="D208" t="s">
        <v>62</v>
      </c>
      <c r="E208">
        <v>85892</v>
      </c>
      <c r="F208">
        <v>4036</v>
      </c>
      <c r="G208" t="s">
        <v>64</v>
      </c>
      <c r="J208" t="s">
        <v>81</v>
      </c>
      <c r="K208" t="s">
        <v>101</v>
      </c>
      <c r="L208" t="s">
        <v>127</v>
      </c>
      <c r="M208">
        <v>1</v>
      </c>
      <c r="N208">
        <v>1</v>
      </c>
      <c r="O208" t="s">
        <v>151</v>
      </c>
      <c r="P208" t="s">
        <v>156</v>
      </c>
      <c r="Q208" t="s">
        <v>269</v>
      </c>
    </row>
    <row r="209" spans="1:17" x14ac:dyDescent="0.25">
      <c r="A209" t="s">
        <v>20</v>
      </c>
      <c r="B209" t="s">
        <v>27</v>
      </c>
      <c r="C209" t="s">
        <v>53</v>
      </c>
      <c r="D209" t="s">
        <v>57</v>
      </c>
      <c r="E209">
        <v>5000</v>
      </c>
      <c r="F209">
        <v>91</v>
      </c>
      <c r="G209" t="s">
        <v>63</v>
      </c>
      <c r="J209" t="s">
        <v>74</v>
      </c>
      <c r="K209" t="s">
        <v>84</v>
      </c>
      <c r="L209" t="s">
        <v>74</v>
      </c>
      <c r="M209">
        <v>7</v>
      </c>
      <c r="N209">
        <v>6</v>
      </c>
      <c r="O209" t="s">
        <v>148</v>
      </c>
      <c r="P209" t="s">
        <v>157</v>
      </c>
      <c r="Q209" t="s">
        <v>270</v>
      </c>
    </row>
    <row r="210" spans="1:17" x14ac:dyDescent="0.25">
      <c r="A210" t="s">
        <v>19</v>
      </c>
      <c r="B210" t="s">
        <v>33</v>
      </c>
      <c r="C210" t="s">
        <v>45</v>
      </c>
      <c r="D210" t="s">
        <v>57</v>
      </c>
      <c r="E210">
        <v>1719559</v>
      </c>
      <c r="F210">
        <v>50731</v>
      </c>
      <c r="G210" t="s">
        <v>66</v>
      </c>
      <c r="I210" t="s">
        <v>56</v>
      </c>
      <c r="J210" t="s">
        <v>77</v>
      </c>
      <c r="K210" t="s">
        <v>89</v>
      </c>
      <c r="L210" t="s">
        <v>124</v>
      </c>
      <c r="M210">
        <v>8</v>
      </c>
      <c r="N210">
        <v>8</v>
      </c>
      <c r="O210" t="s">
        <v>148</v>
      </c>
      <c r="P210" t="s">
        <v>157</v>
      </c>
      <c r="Q210" t="s">
        <v>271</v>
      </c>
    </row>
    <row r="211" spans="1:17" x14ac:dyDescent="0.25">
      <c r="A211" t="s">
        <v>20</v>
      </c>
      <c r="B211" t="s">
        <v>35</v>
      </c>
      <c r="C211" t="s">
        <v>42</v>
      </c>
      <c r="D211" t="s">
        <v>55</v>
      </c>
      <c r="E211">
        <v>63904</v>
      </c>
      <c r="F211">
        <v>6214</v>
      </c>
      <c r="G211" t="s">
        <v>64</v>
      </c>
      <c r="I211" t="s">
        <v>56</v>
      </c>
      <c r="J211" t="s">
        <v>73</v>
      </c>
      <c r="K211" t="s">
        <v>83</v>
      </c>
      <c r="L211" t="s">
        <v>113</v>
      </c>
      <c r="M211">
        <v>2</v>
      </c>
      <c r="N211">
        <v>2</v>
      </c>
      <c r="O211" t="s">
        <v>151</v>
      </c>
      <c r="P211" t="s">
        <v>155</v>
      </c>
      <c r="Q211" t="s">
        <v>272</v>
      </c>
    </row>
    <row r="212" spans="1:17" x14ac:dyDescent="0.25">
      <c r="A212" t="s">
        <v>19</v>
      </c>
      <c r="B212" t="s">
        <v>24</v>
      </c>
      <c r="C212" t="s">
        <v>42</v>
      </c>
      <c r="D212" t="s">
        <v>58</v>
      </c>
      <c r="E212">
        <v>78214</v>
      </c>
      <c r="F212">
        <v>6870</v>
      </c>
      <c r="G212" t="s">
        <v>65</v>
      </c>
      <c r="I212" t="s">
        <v>70</v>
      </c>
      <c r="J212" t="s">
        <v>77</v>
      </c>
      <c r="K212" t="s">
        <v>111</v>
      </c>
      <c r="L212" t="s">
        <v>141</v>
      </c>
      <c r="M212">
        <v>2</v>
      </c>
      <c r="N212">
        <v>2</v>
      </c>
      <c r="O212" t="s">
        <v>150</v>
      </c>
      <c r="P212" t="s">
        <v>157</v>
      </c>
      <c r="Q212" t="s">
        <v>273</v>
      </c>
    </row>
    <row r="213" spans="1:17" x14ac:dyDescent="0.25">
      <c r="A213" t="s">
        <v>20</v>
      </c>
      <c r="B213" t="s">
        <v>35</v>
      </c>
      <c r="C213" t="s">
        <v>48</v>
      </c>
      <c r="D213" t="s">
        <v>60</v>
      </c>
      <c r="E213">
        <v>49757</v>
      </c>
      <c r="F213">
        <v>8815</v>
      </c>
      <c r="G213" t="s">
        <v>65</v>
      </c>
      <c r="I213" t="s">
        <v>56</v>
      </c>
      <c r="J213" t="s">
        <v>81</v>
      </c>
      <c r="K213" t="s">
        <v>101</v>
      </c>
      <c r="L213" t="s">
        <v>127</v>
      </c>
      <c r="M213">
        <v>6</v>
      </c>
      <c r="N213">
        <v>3</v>
      </c>
      <c r="O213" t="s">
        <v>148</v>
      </c>
      <c r="P213" t="s">
        <v>157</v>
      </c>
      <c r="Q213" t="s">
        <v>188</v>
      </c>
    </row>
    <row r="214" spans="1:17" x14ac:dyDescent="0.25">
      <c r="A214" t="s">
        <v>19</v>
      </c>
      <c r="B214" t="s">
        <v>28</v>
      </c>
      <c r="C214" t="s">
        <v>50</v>
      </c>
      <c r="D214" t="s">
        <v>61</v>
      </c>
      <c r="E214">
        <v>49875</v>
      </c>
      <c r="F214">
        <v>323</v>
      </c>
      <c r="G214" t="s">
        <v>65</v>
      </c>
      <c r="I214" t="s">
        <v>70</v>
      </c>
      <c r="J214" t="s">
        <v>74</v>
      </c>
      <c r="K214" t="s">
        <v>84</v>
      </c>
      <c r="L214" t="s">
        <v>74</v>
      </c>
      <c r="M214">
        <v>10</v>
      </c>
      <c r="N214">
        <v>10</v>
      </c>
      <c r="O214" t="s">
        <v>152</v>
      </c>
      <c r="P214" t="s">
        <v>155</v>
      </c>
      <c r="Q214" t="s">
        <v>217</v>
      </c>
    </row>
    <row r="215" spans="1:17" x14ac:dyDescent="0.25">
      <c r="A215" t="s">
        <v>17</v>
      </c>
      <c r="B215" t="s">
        <v>23</v>
      </c>
      <c r="C215" t="s">
        <v>49</v>
      </c>
      <c r="D215" t="s">
        <v>61</v>
      </c>
      <c r="E215">
        <v>62018</v>
      </c>
      <c r="F215">
        <v>3851</v>
      </c>
      <c r="G215" t="s">
        <v>65</v>
      </c>
      <c r="I215" t="s">
        <v>69</v>
      </c>
      <c r="J215" t="s">
        <v>78</v>
      </c>
      <c r="K215" t="s">
        <v>88</v>
      </c>
      <c r="L215" t="s">
        <v>117</v>
      </c>
      <c r="M215">
        <v>10</v>
      </c>
      <c r="N215">
        <v>10</v>
      </c>
      <c r="O215" t="s">
        <v>149</v>
      </c>
      <c r="P215" t="s">
        <v>155</v>
      </c>
      <c r="Q215" t="s">
        <v>175</v>
      </c>
    </row>
    <row r="216" spans="1:17" x14ac:dyDescent="0.25">
      <c r="A216" t="s">
        <v>21</v>
      </c>
      <c r="B216" t="s">
        <v>26</v>
      </c>
      <c r="C216" t="s">
        <v>49</v>
      </c>
      <c r="D216" t="s">
        <v>58</v>
      </c>
      <c r="E216">
        <v>59685</v>
      </c>
      <c r="F216">
        <v>2436</v>
      </c>
      <c r="G216" t="s">
        <v>65</v>
      </c>
      <c r="I216" t="s">
        <v>56</v>
      </c>
      <c r="J216" t="s">
        <v>78</v>
      </c>
      <c r="K216" t="s">
        <v>105</v>
      </c>
      <c r="L216" t="s">
        <v>142</v>
      </c>
      <c r="M216">
        <v>25</v>
      </c>
      <c r="N216">
        <v>25</v>
      </c>
      <c r="O216" t="s">
        <v>153</v>
      </c>
      <c r="P216" t="s">
        <v>155</v>
      </c>
      <c r="Q216" t="s">
        <v>173</v>
      </c>
    </row>
    <row r="217" spans="1:17" x14ac:dyDescent="0.25">
      <c r="A217" t="s">
        <v>21</v>
      </c>
      <c r="B217" t="s">
        <v>25</v>
      </c>
      <c r="C217" t="s">
        <v>46</v>
      </c>
      <c r="D217" t="s">
        <v>57</v>
      </c>
      <c r="E217">
        <v>54187</v>
      </c>
      <c r="F217">
        <v>10137</v>
      </c>
      <c r="G217" t="s">
        <v>65</v>
      </c>
      <c r="I217" t="s">
        <v>71</v>
      </c>
      <c r="J217" t="s">
        <v>72</v>
      </c>
      <c r="K217" t="s">
        <v>82</v>
      </c>
      <c r="L217" t="s">
        <v>112</v>
      </c>
      <c r="M217">
        <v>15</v>
      </c>
      <c r="N217">
        <v>15</v>
      </c>
      <c r="O217" t="s">
        <v>152</v>
      </c>
      <c r="P217" t="s">
        <v>157</v>
      </c>
      <c r="Q217" t="s">
        <v>274</v>
      </c>
    </row>
    <row r="218" spans="1:17" x14ac:dyDescent="0.25">
      <c r="A218" t="s">
        <v>19</v>
      </c>
      <c r="B218" t="s">
        <v>35</v>
      </c>
      <c r="C218" t="s">
        <v>41</v>
      </c>
      <c r="D218" t="s">
        <v>54</v>
      </c>
      <c r="E218">
        <v>1390142</v>
      </c>
      <c r="F218">
        <v>18418</v>
      </c>
      <c r="G218" t="s">
        <v>66</v>
      </c>
      <c r="I218" t="s">
        <v>56</v>
      </c>
      <c r="J218" t="s">
        <v>80</v>
      </c>
      <c r="K218" t="s">
        <v>93</v>
      </c>
      <c r="L218" t="s">
        <v>93</v>
      </c>
      <c r="M218">
        <v>7</v>
      </c>
      <c r="N218">
        <v>7</v>
      </c>
      <c r="O218" t="s">
        <v>152</v>
      </c>
      <c r="P218" t="s">
        <v>157</v>
      </c>
      <c r="Q218" t="s">
        <v>275</v>
      </c>
    </row>
    <row r="219" spans="1:17" x14ac:dyDescent="0.25">
      <c r="A219" t="s">
        <v>20</v>
      </c>
      <c r="B219" t="s">
        <v>30</v>
      </c>
      <c r="C219" t="s">
        <v>48</v>
      </c>
      <c r="D219" t="s">
        <v>57</v>
      </c>
      <c r="E219">
        <v>1232312</v>
      </c>
      <c r="F219">
        <v>60789</v>
      </c>
      <c r="G219" t="s">
        <v>66</v>
      </c>
      <c r="I219" t="s">
        <v>71</v>
      </c>
      <c r="J219" t="s">
        <v>73</v>
      </c>
      <c r="K219" t="s">
        <v>102</v>
      </c>
      <c r="L219" t="s">
        <v>102</v>
      </c>
      <c r="M219">
        <v>1</v>
      </c>
      <c r="N219">
        <v>0</v>
      </c>
      <c r="O219" t="s">
        <v>152</v>
      </c>
      <c r="P219" t="s">
        <v>154</v>
      </c>
      <c r="Q219" t="s">
        <v>276</v>
      </c>
    </row>
    <row r="220" spans="1:17" x14ac:dyDescent="0.25">
      <c r="A220" t="s">
        <v>17</v>
      </c>
      <c r="B220" t="s">
        <v>30</v>
      </c>
      <c r="C220" t="s">
        <v>41</v>
      </c>
      <c r="D220" t="s">
        <v>59</v>
      </c>
      <c r="E220">
        <v>1182056</v>
      </c>
      <c r="F220">
        <v>10993</v>
      </c>
      <c r="G220" t="s">
        <v>66</v>
      </c>
      <c r="I220" t="s">
        <v>56</v>
      </c>
      <c r="J220" t="s">
        <v>75</v>
      </c>
      <c r="K220" t="s">
        <v>108</v>
      </c>
      <c r="L220" t="s">
        <v>135</v>
      </c>
      <c r="M220">
        <v>15</v>
      </c>
      <c r="N220">
        <v>15</v>
      </c>
      <c r="O220" t="s">
        <v>148</v>
      </c>
      <c r="P220" t="s">
        <v>157</v>
      </c>
      <c r="Q220" t="s">
        <v>277</v>
      </c>
    </row>
    <row r="221" spans="1:17" x14ac:dyDescent="0.25">
      <c r="A221" t="s">
        <v>19</v>
      </c>
      <c r="B221" t="s">
        <v>28</v>
      </c>
      <c r="C221" t="s">
        <v>46</v>
      </c>
      <c r="E221">
        <v>836704</v>
      </c>
      <c r="F221">
        <v>4384</v>
      </c>
      <c r="G221" t="s">
        <v>66</v>
      </c>
      <c r="I221" t="s">
        <v>70</v>
      </c>
      <c r="J221" t="s">
        <v>77</v>
      </c>
      <c r="K221" t="s">
        <v>110</v>
      </c>
      <c r="L221" t="s">
        <v>139</v>
      </c>
      <c r="M221">
        <v>18</v>
      </c>
      <c r="N221">
        <v>16</v>
      </c>
      <c r="O221" t="s">
        <v>149</v>
      </c>
      <c r="P221" t="s">
        <v>157</v>
      </c>
      <c r="Q221" t="s">
        <v>239</v>
      </c>
    </row>
    <row r="222" spans="1:17" x14ac:dyDescent="0.25">
      <c r="A222" t="s">
        <v>17</v>
      </c>
      <c r="B222" t="s">
        <v>22</v>
      </c>
      <c r="C222" t="s">
        <v>44</v>
      </c>
      <c r="D222" t="s">
        <v>55</v>
      </c>
      <c r="E222">
        <v>76249</v>
      </c>
      <c r="F222">
        <v>20651</v>
      </c>
      <c r="G222" t="s">
        <v>64</v>
      </c>
      <c r="I222" t="s">
        <v>69</v>
      </c>
      <c r="J222" t="s">
        <v>79</v>
      </c>
      <c r="K222" t="s">
        <v>91</v>
      </c>
      <c r="L222" t="s">
        <v>118</v>
      </c>
      <c r="M222">
        <v>9</v>
      </c>
      <c r="N222">
        <v>8</v>
      </c>
      <c r="O222" t="s">
        <v>153</v>
      </c>
      <c r="P222" t="s">
        <v>154</v>
      </c>
      <c r="Q222" t="s">
        <v>278</v>
      </c>
    </row>
    <row r="223" spans="1:17" x14ac:dyDescent="0.25">
      <c r="A223" t="s">
        <v>19</v>
      </c>
      <c r="B223" t="s">
        <v>31</v>
      </c>
      <c r="C223" t="s">
        <v>47</v>
      </c>
      <c r="D223" t="s">
        <v>54</v>
      </c>
      <c r="E223">
        <v>582032</v>
      </c>
      <c r="F223">
        <v>0</v>
      </c>
      <c r="G223" t="s">
        <v>66</v>
      </c>
      <c r="I223" t="s">
        <v>71</v>
      </c>
      <c r="J223" t="s">
        <v>78</v>
      </c>
      <c r="K223" t="s">
        <v>105</v>
      </c>
      <c r="L223" t="s">
        <v>133</v>
      </c>
      <c r="M223">
        <v>12</v>
      </c>
      <c r="N223">
        <v>12</v>
      </c>
      <c r="O223" t="s">
        <v>152</v>
      </c>
      <c r="P223" t="s">
        <v>157</v>
      </c>
      <c r="Q223" t="s">
        <v>175</v>
      </c>
    </row>
    <row r="224" spans="1:17" x14ac:dyDescent="0.25">
      <c r="A224" t="s">
        <v>20</v>
      </c>
      <c r="B224" t="s">
        <v>26</v>
      </c>
      <c r="C224" t="s">
        <v>41</v>
      </c>
      <c r="D224" t="s">
        <v>60</v>
      </c>
      <c r="E224">
        <v>66993</v>
      </c>
      <c r="F224">
        <v>0</v>
      </c>
      <c r="G224" t="s">
        <v>64</v>
      </c>
      <c r="I224" t="s">
        <v>71</v>
      </c>
      <c r="J224" t="s">
        <v>80</v>
      </c>
      <c r="K224" t="s">
        <v>93</v>
      </c>
      <c r="L224" t="s">
        <v>93</v>
      </c>
      <c r="M224">
        <v>5</v>
      </c>
      <c r="N224">
        <v>2</v>
      </c>
      <c r="O224" t="s">
        <v>148</v>
      </c>
      <c r="P224" t="s">
        <v>157</v>
      </c>
      <c r="Q224" t="s">
        <v>279</v>
      </c>
    </row>
    <row r="225" spans="1:17" x14ac:dyDescent="0.25">
      <c r="A225" t="s">
        <v>17</v>
      </c>
      <c r="B225" t="s">
        <v>34</v>
      </c>
      <c r="C225" t="s">
        <v>38</v>
      </c>
      <c r="D225" t="s">
        <v>58</v>
      </c>
      <c r="E225">
        <v>50400</v>
      </c>
      <c r="F225">
        <v>4570</v>
      </c>
      <c r="G225" t="s">
        <v>63</v>
      </c>
      <c r="I225" t="s">
        <v>69</v>
      </c>
      <c r="J225" t="s">
        <v>79</v>
      </c>
      <c r="K225" t="s">
        <v>91</v>
      </c>
      <c r="L225" t="s">
        <v>118</v>
      </c>
      <c r="M225">
        <v>15</v>
      </c>
      <c r="N225">
        <v>14</v>
      </c>
      <c r="O225" t="s">
        <v>153</v>
      </c>
      <c r="P225" t="s">
        <v>155</v>
      </c>
      <c r="Q225" t="s">
        <v>280</v>
      </c>
    </row>
    <row r="226" spans="1:17" x14ac:dyDescent="0.25">
      <c r="A226" t="s">
        <v>20</v>
      </c>
      <c r="B226" t="s">
        <v>25</v>
      </c>
      <c r="C226" t="s">
        <v>38</v>
      </c>
      <c r="D226" t="s">
        <v>60</v>
      </c>
      <c r="E226">
        <v>79276</v>
      </c>
      <c r="F226">
        <v>2347</v>
      </c>
      <c r="G226" t="s">
        <v>65</v>
      </c>
      <c r="I226" t="s">
        <v>69</v>
      </c>
      <c r="J226" t="s">
        <v>80</v>
      </c>
      <c r="K226" t="s">
        <v>106</v>
      </c>
      <c r="L226" t="s">
        <v>106</v>
      </c>
      <c r="M226">
        <v>0</v>
      </c>
      <c r="N226">
        <v>0</v>
      </c>
      <c r="O226" t="s">
        <v>151</v>
      </c>
      <c r="P226" t="s">
        <v>154</v>
      </c>
      <c r="Q226" t="s">
        <v>202</v>
      </c>
    </row>
    <row r="227" spans="1:17" x14ac:dyDescent="0.25">
      <c r="A227" t="s">
        <v>21</v>
      </c>
      <c r="B227" t="s">
        <v>25</v>
      </c>
      <c r="C227" t="s">
        <v>42</v>
      </c>
      <c r="D227" t="s">
        <v>62</v>
      </c>
      <c r="E227">
        <v>118329</v>
      </c>
      <c r="F227">
        <v>4504</v>
      </c>
      <c r="G227" t="s">
        <v>65</v>
      </c>
      <c r="J227" t="s">
        <v>76</v>
      </c>
      <c r="K227" t="s">
        <v>86</v>
      </c>
      <c r="L227" t="s">
        <v>115</v>
      </c>
      <c r="M227">
        <v>9</v>
      </c>
      <c r="N227">
        <v>7</v>
      </c>
      <c r="O227" t="s">
        <v>149</v>
      </c>
      <c r="P227" t="s">
        <v>156</v>
      </c>
      <c r="Q227" t="s">
        <v>162</v>
      </c>
    </row>
    <row r="228" spans="1:17" x14ac:dyDescent="0.25">
      <c r="A228" t="s">
        <v>19</v>
      </c>
      <c r="B228" t="s">
        <v>30</v>
      </c>
      <c r="C228" t="s">
        <v>45</v>
      </c>
      <c r="D228" t="s">
        <v>61</v>
      </c>
      <c r="E228">
        <v>965112</v>
      </c>
      <c r="F228">
        <v>256976</v>
      </c>
      <c r="G228" t="s">
        <v>66</v>
      </c>
      <c r="I228" t="s">
        <v>56</v>
      </c>
      <c r="J228" t="s">
        <v>79</v>
      </c>
      <c r="K228" t="s">
        <v>91</v>
      </c>
      <c r="L228" t="s">
        <v>118</v>
      </c>
      <c r="M228">
        <v>25</v>
      </c>
      <c r="N228">
        <v>25</v>
      </c>
      <c r="O228" t="s">
        <v>153</v>
      </c>
      <c r="P228" t="s">
        <v>154</v>
      </c>
      <c r="Q228" t="s">
        <v>258</v>
      </c>
    </row>
    <row r="229" spans="1:17" x14ac:dyDescent="0.25">
      <c r="A229" t="s">
        <v>19</v>
      </c>
      <c r="B229" t="s">
        <v>30</v>
      </c>
      <c r="C229" t="s">
        <v>39</v>
      </c>
      <c r="D229" t="s">
        <v>59</v>
      </c>
      <c r="E229">
        <v>906820</v>
      </c>
      <c r="F229">
        <v>42869</v>
      </c>
      <c r="G229" t="s">
        <v>66</v>
      </c>
      <c r="I229" t="s">
        <v>71</v>
      </c>
      <c r="J229" t="s">
        <v>75</v>
      </c>
      <c r="K229" t="s">
        <v>96</v>
      </c>
      <c r="L229" t="s">
        <v>121</v>
      </c>
      <c r="M229">
        <v>8</v>
      </c>
      <c r="N229">
        <v>5</v>
      </c>
      <c r="O229" t="s">
        <v>148</v>
      </c>
      <c r="P229" t="s">
        <v>156</v>
      </c>
      <c r="Q229" t="s">
        <v>245</v>
      </c>
    </row>
    <row r="230" spans="1:17" x14ac:dyDescent="0.25">
      <c r="A230" t="s">
        <v>19</v>
      </c>
      <c r="B230" t="s">
        <v>27</v>
      </c>
      <c r="C230" t="s">
        <v>48</v>
      </c>
      <c r="D230" t="s">
        <v>61</v>
      </c>
      <c r="E230">
        <v>72060</v>
      </c>
      <c r="F230">
        <v>11215</v>
      </c>
      <c r="G230" t="s">
        <v>65</v>
      </c>
      <c r="I230" t="s">
        <v>69</v>
      </c>
      <c r="J230" t="s">
        <v>79</v>
      </c>
      <c r="K230" t="s">
        <v>107</v>
      </c>
      <c r="L230" t="s">
        <v>134</v>
      </c>
      <c r="M230">
        <v>7</v>
      </c>
      <c r="N230">
        <v>6</v>
      </c>
      <c r="O230" t="s">
        <v>148</v>
      </c>
      <c r="P230" t="s">
        <v>156</v>
      </c>
      <c r="Q230" t="s">
        <v>281</v>
      </c>
    </row>
    <row r="231" spans="1:17" x14ac:dyDescent="0.25">
      <c r="A231" t="s">
        <v>19</v>
      </c>
      <c r="B231" t="s">
        <v>26</v>
      </c>
      <c r="C231" t="s">
        <v>41</v>
      </c>
      <c r="D231" t="s">
        <v>55</v>
      </c>
      <c r="E231">
        <v>27332</v>
      </c>
      <c r="F231">
        <v>305</v>
      </c>
      <c r="G231" t="s">
        <v>63</v>
      </c>
      <c r="I231" t="s">
        <v>69</v>
      </c>
      <c r="J231" t="s">
        <v>78</v>
      </c>
      <c r="K231" t="s">
        <v>105</v>
      </c>
      <c r="L231" t="s">
        <v>142</v>
      </c>
      <c r="M231">
        <v>12</v>
      </c>
      <c r="N231">
        <v>9</v>
      </c>
      <c r="O231" t="s">
        <v>152</v>
      </c>
      <c r="P231" t="s">
        <v>156</v>
      </c>
      <c r="Q231" t="s">
        <v>227</v>
      </c>
    </row>
    <row r="232" spans="1:17" x14ac:dyDescent="0.25">
      <c r="A232" t="s">
        <v>20</v>
      </c>
      <c r="B232" t="s">
        <v>31</v>
      </c>
      <c r="C232" t="s">
        <v>49</v>
      </c>
      <c r="D232" t="s">
        <v>57</v>
      </c>
      <c r="E232">
        <v>105687</v>
      </c>
      <c r="F232">
        <v>3667</v>
      </c>
      <c r="G232" t="s">
        <v>68</v>
      </c>
      <c r="I232" t="s">
        <v>71</v>
      </c>
      <c r="J232" t="s">
        <v>76</v>
      </c>
      <c r="K232" t="s">
        <v>92</v>
      </c>
      <c r="L232" t="s">
        <v>119</v>
      </c>
      <c r="M232">
        <v>0</v>
      </c>
      <c r="N232">
        <v>0</v>
      </c>
      <c r="O232" t="s">
        <v>153</v>
      </c>
      <c r="P232" t="s">
        <v>154</v>
      </c>
      <c r="Q232" t="s">
        <v>282</v>
      </c>
    </row>
    <row r="233" spans="1:17" x14ac:dyDescent="0.25">
      <c r="A233" t="s">
        <v>19</v>
      </c>
      <c r="B233" t="s">
        <v>32</v>
      </c>
      <c r="C233" t="s">
        <v>49</v>
      </c>
      <c r="D233" t="s">
        <v>54</v>
      </c>
      <c r="E233">
        <v>1322857</v>
      </c>
      <c r="F233">
        <v>182123</v>
      </c>
      <c r="G233" t="s">
        <v>66</v>
      </c>
      <c r="I233" t="s">
        <v>56</v>
      </c>
      <c r="J233" t="s">
        <v>72</v>
      </c>
      <c r="K233" t="s">
        <v>82</v>
      </c>
      <c r="L233" t="s">
        <v>112</v>
      </c>
      <c r="M233">
        <v>8</v>
      </c>
      <c r="N233">
        <v>5</v>
      </c>
      <c r="O233" t="s">
        <v>153</v>
      </c>
      <c r="P233" t="s">
        <v>154</v>
      </c>
      <c r="Q233" t="s">
        <v>283</v>
      </c>
    </row>
    <row r="234" spans="1:17" x14ac:dyDescent="0.25">
      <c r="A234" t="s">
        <v>17</v>
      </c>
      <c r="B234" t="s">
        <v>31</v>
      </c>
      <c r="C234" t="s">
        <v>46</v>
      </c>
      <c r="D234" t="s">
        <v>62</v>
      </c>
      <c r="E234">
        <v>155144</v>
      </c>
      <c r="F234">
        <v>6607</v>
      </c>
      <c r="G234" t="s">
        <v>67</v>
      </c>
      <c r="I234" t="s">
        <v>56</v>
      </c>
      <c r="J234" t="s">
        <v>72</v>
      </c>
      <c r="K234" t="s">
        <v>95</v>
      </c>
      <c r="L234" t="s">
        <v>120</v>
      </c>
      <c r="M234">
        <v>8</v>
      </c>
      <c r="N234">
        <v>5</v>
      </c>
      <c r="O234" t="s">
        <v>151</v>
      </c>
      <c r="P234" t="s">
        <v>155</v>
      </c>
      <c r="Q234" t="s">
        <v>169</v>
      </c>
    </row>
    <row r="235" spans="1:17" x14ac:dyDescent="0.25">
      <c r="A235" t="s">
        <v>19</v>
      </c>
      <c r="B235" t="s">
        <v>34</v>
      </c>
      <c r="C235" t="s">
        <v>52</v>
      </c>
      <c r="D235" t="s">
        <v>58</v>
      </c>
      <c r="E235">
        <v>60121</v>
      </c>
      <c r="F235">
        <v>6606</v>
      </c>
      <c r="G235" t="s">
        <v>65</v>
      </c>
      <c r="I235" t="s">
        <v>69</v>
      </c>
      <c r="J235" t="s">
        <v>76</v>
      </c>
      <c r="K235" t="s">
        <v>86</v>
      </c>
      <c r="L235" t="s">
        <v>115</v>
      </c>
      <c r="M235">
        <v>3</v>
      </c>
      <c r="N235">
        <v>3</v>
      </c>
      <c r="O235" t="s">
        <v>152</v>
      </c>
      <c r="P235" t="s">
        <v>155</v>
      </c>
      <c r="Q235" t="s">
        <v>189</v>
      </c>
    </row>
    <row r="236" spans="1:17" x14ac:dyDescent="0.25">
      <c r="A236" t="s">
        <v>19</v>
      </c>
      <c r="B236" t="s">
        <v>24</v>
      </c>
      <c r="C236" t="s">
        <v>41</v>
      </c>
      <c r="D236" t="s">
        <v>59</v>
      </c>
      <c r="E236">
        <v>866580</v>
      </c>
      <c r="F236">
        <v>213304</v>
      </c>
      <c r="G236" t="s">
        <v>66</v>
      </c>
      <c r="I236" t="s">
        <v>69</v>
      </c>
      <c r="J236" t="s">
        <v>72</v>
      </c>
      <c r="K236" t="s">
        <v>82</v>
      </c>
      <c r="L236" t="s">
        <v>112</v>
      </c>
      <c r="M236">
        <v>20</v>
      </c>
      <c r="N236">
        <v>20</v>
      </c>
      <c r="O236" t="s">
        <v>152</v>
      </c>
      <c r="P236" t="s">
        <v>154</v>
      </c>
      <c r="Q236" t="s">
        <v>180</v>
      </c>
    </row>
    <row r="237" spans="1:17" x14ac:dyDescent="0.25">
      <c r="A237" t="s">
        <v>19</v>
      </c>
      <c r="B237" t="s">
        <v>29</v>
      </c>
      <c r="C237" t="s">
        <v>53</v>
      </c>
      <c r="D237" t="s">
        <v>58</v>
      </c>
      <c r="E237">
        <v>172429</v>
      </c>
      <c r="F237">
        <v>0</v>
      </c>
      <c r="G237" t="s">
        <v>67</v>
      </c>
      <c r="I237" t="s">
        <v>56</v>
      </c>
      <c r="J237" t="s">
        <v>79</v>
      </c>
      <c r="K237" t="s">
        <v>107</v>
      </c>
      <c r="L237" t="s">
        <v>134</v>
      </c>
      <c r="M237">
        <v>10</v>
      </c>
      <c r="N237">
        <v>7</v>
      </c>
      <c r="O237" t="s">
        <v>148</v>
      </c>
      <c r="P237" t="s">
        <v>157</v>
      </c>
      <c r="Q237" t="s">
        <v>166</v>
      </c>
    </row>
    <row r="238" spans="1:17" x14ac:dyDescent="0.25">
      <c r="A238" t="s">
        <v>19</v>
      </c>
      <c r="B238" t="s">
        <v>23</v>
      </c>
      <c r="C238" t="s">
        <v>39</v>
      </c>
      <c r="D238" t="s">
        <v>62</v>
      </c>
      <c r="E238">
        <v>66498</v>
      </c>
      <c r="F238">
        <v>4076</v>
      </c>
      <c r="G238" t="s">
        <v>65</v>
      </c>
      <c r="I238" t="s">
        <v>70</v>
      </c>
      <c r="J238" t="s">
        <v>78</v>
      </c>
      <c r="K238" t="s">
        <v>105</v>
      </c>
      <c r="L238" t="s">
        <v>133</v>
      </c>
      <c r="M238">
        <v>10</v>
      </c>
      <c r="N238">
        <v>8</v>
      </c>
      <c r="O238" t="s">
        <v>148</v>
      </c>
      <c r="P238" t="s">
        <v>156</v>
      </c>
      <c r="Q238" t="s">
        <v>284</v>
      </c>
    </row>
    <row r="239" spans="1:17" x14ac:dyDescent="0.25">
      <c r="A239" t="s">
        <v>19</v>
      </c>
      <c r="B239" t="s">
        <v>22</v>
      </c>
      <c r="C239" t="s">
        <v>48</v>
      </c>
      <c r="D239" t="s">
        <v>57</v>
      </c>
      <c r="E239">
        <v>140862</v>
      </c>
      <c r="F239">
        <v>0</v>
      </c>
      <c r="G239" t="s">
        <v>67</v>
      </c>
      <c r="J239" t="s">
        <v>77</v>
      </c>
      <c r="K239" t="s">
        <v>110</v>
      </c>
      <c r="L239" t="s">
        <v>145</v>
      </c>
      <c r="M239">
        <v>10</v>
      </c>
      <c r="N239">
        <v>10</v>
      </c>
      <c r="O239" t="s">
        <v>152</v>
      </c>
      <c r="P239" t="s">
        <v>155</v>
      </c>
      <c r="Q239" t="s">
        <v>207</v>
      </c>
    </row>
    <row r="240" spans="1:17" x14ac:dyDescent="0.25">
      <c r="A240" t="s">
        <v>19</v>
      </c>
      <c r="B240" t="s">
        <v>23</v>
      </c>
      <c r="C240" t="s">
        <v>47</v>
      </c>
      <c r="D240" t="s">
        <v>62</v>
      </c>
      <c r="E240">
        <v>27566</v>
      </c>
      <c r="F240">
        <v>3594</v>
      </c>
      <c r="G240" t="s">
        <v>68</v>
      </c>
      <c r="J240" t="s">
        <v>80</v>
      </c>
      <c r="K240" t="s">
        <v>93</v>
      </c>
      <c r="L240" t="s">
        <v>93</v>
      </c>
      <c r="M240">
        <v>2</v>
      </c>
      <c r="N240">
        <v>1</v>
      </c>
      <c r="O240" t="s">
        <v>150</v>
      </c>
      <c r="P240" t="s">
        <v>154</v>
      </c>
      <c r="Q240" t="s">
        <v>271</v>
      </c>
    </row>
    <row r="241" spans="1:17" x14ac:dyDescent="0.25">
      <c r="A241" t="s">
        <v>21</v>
      </c>
      <c r="B241" t="s">
        <v>27</v>
      </c>
      <c r="C241" t="s">
        <v>45</v>
      </c>
      <c r="D241" t="s">
        <v>54</v>
      </c>
      <c r="E241">
        <v>105651</v>
      </c>
      <c r="F241">
        <v>7806</v>
      </c>
      <c r="G241" t="s">
        <v>63</v>
      </c>
      <c r="I241" t="s">
        <v>70</v>
      </c>
      <c r="J241" t="s">
        <v>80</v>
      </c>
      <c r="K241" t="s">
        <v>106</v>
      </c>
      <c r="L241" t="s">
        <v>106</v>
      </c>
      <c r="M241">
        <v>9</v>
      </c>
      <c r="N241">
        <v>9</v>
      </c>
      <c r="O241" t="s">
        <v>150</v>
      </c>
      <c r="P241" t="s">
        <v>157</v>
      </c>
      <c r="Q241" t="s">
        <v>187</v>
      </c>
    </row>
    <row r="242" spans="1:17" x14ac:dyDescent="0.25">
      <c r="A242" t="s">
        <v>19</v>
      </c>
      <c r="B242" t="s">
        <v>34</v>
      </c>
      <c r="C242" t="s">
        <v>39</v>
      </c>
      <c r="D242" t="s">
        <v>57</v>
      </c>
      <c r="E242">
        <v>66425</v>
      </c>
      <c r="F242">
        <v>8391</v>
      </c>
      <c r="G242" t="s">
        <v>67</v>
      </c>
      <c r="I242" t="s">
        <v>56</v>
      </c>
      <c r="J242" t="s">
        <v>81</v>
      </c>
      <c r="K242" t="s">
        <v>94</v>
      </c>
      <c r="L242" t="s">
        <v>129</v>
      </c>
      <c r="M242">
        <v>15</v>
      </c>
      <c r="N242">
        <v>13</v>
      </c>
      <c r="O242" t="s">
        <v>153</v>
      </c>
      <c r="P242" t="s">
        <v>154</v>
      </c>
      <c r="Q242" t="s">
        <v>285</v>
      </c>
    </row>
    <row r="243" spans="1:17" x14ac:dyDescent="0.25">
      <c r="A243" t="s">
        <v>19</v>
      </c>
      <c r="B243" t="s">
        <v>26</v>
      </c>
      <c r="C243" t="s">
        <v>53</v>
      </c>
      <c r="E243">
        <v>53093</v>
      </c>
      <c r="F243">
        <v>8988</v>
      </c>
      <c r="G243" t="s">
        <v>66</v>
      </c>
      <c r="I243" t="s">
        <v>71</v>
      </c>
      <c r="J243" t="s">
        <v>78</v>
      </c>
      <c r="K243" t="s">
        <v>105</v>
      </c>
      <c r="L243" t="s">
        <v>142</v>
      </c>
      <c r="M243">
        <v>15</v>
      </c>
      <c r="N243">
        <v>15</v>
      </c>
      <c r="O243" t="s">
        <v>150</v>
      </c>
      <c r="P243" t="s">
        <v>155</v>
      </c>
      <c r="Q243" t="s">
        <v>238</v>
      </c>
    </row>
    <row r="244" spans="1:17" x14ac:dyDescent="0.25">
      <c r="A244" t="s">
        <v>21</v>
      </c>
      <c r="B244" t="s">
        <v>25</v>
      </c>
      <c r="C244" t="s">
        <v>53</v>
      </c>
      <c r="D244" t="s">
        <v>59</v>
      </c>
      <c r="E244">
        <v>590855</v>
      </c>
      <c r="F244">
        <v>76903</v>
      </c>
      <c r="G244" t="s">
        <v>66</v>
      </c>
      <c r="I244" t="s">
        <v>56</v>
      </c>
      <c r="J244" t="s">
        <v>81</v>
      </c>
      <c r="K244" t="s">
        <v>103</v>
      </c>
      <c r="L244" t="s">
        <v>130</v>
      </c>
      <c r="M244">
        <v>9</v>
      </c>
      <c r="N244">
        <v>9</v>
      </c>
      <c r="O244" t="s">
        <v>149</v>
      </c>
      <c r="P244" t="s">
        <v>154</v>
      </c>
      <c r="Q244" t="s">
        <v>169</v>
      </c>
    </row>
    <row r="245" spans="1:17" x14ac:dyDescent="0.25">
      <c r="A245" t="s">
        <v>17</v>
      </c>
      <c r="D245" t="s">
        <v>60</v>
      </c>
      <c r="F245">
        <v>1356</v>
      </c>
      <c r="G245" t="s">
        <v>67</v>
      </c>
      <c r="J245" t="s">
        <v>81</v>
      </c>
      <c r="K245" t="s">
        <v>94</v>
      </c>
      <c r="N245">
        <v>18</v>
      </c>
      <c r="O245" t="s">
        <v>150</v>
      </c>
      <c r="Q245" t="s">
        <v>286</v>
      </c>
    </row>
    <row r="246" spans="1:17" x14ac:dyDescent="0.25">
      <c r="A246" t="s">
        <v>20</v>
      </c>
      <c r="B246" t="s">
        <v>31</v>
      </c>
      <c r="C246" t="s">
        <v>47</v>
      </c>
      <c r="D246" t="s">
        <v>55</v>
      </c>
      <c r="E246">
        <v>17804</v>
      </c>
      <c r="F246">
        <v>2027</v>
      </c>
      <c r="G246" t="s">
        <v>67</v>
      </c>
      <c r="I246" t="s">
        <v>70</v>
      </c>
      <c r="J246" t="s">
        <v>78</v>
      </c>
      <c r="K246" t="s">
        <v>90</v>
      </c>
      <c r="L246" t="s">
        <v>138</v>
      </c>
      <c r="M246">
        <v>4</v>
      </c>
      <c r="N246">
        <v>2</v>
      </c>
      <c r="O246" t="s">
        <v>149</v>
      </c>
      <c r="P246" t="s">
        <v>154</v>
      </c>
      <c r="Q246" t="s">
        <v>190</v>
      </c>
    </row>
    <row r="247" spans="1:17" x14ac:dyDescent="0.25">
      <c r="A247" t="s">
        <v>21</v>
      </c>
      <c r="B247" t="s">
        <v>23</v>
      </c>
      <c r="C247" t="s">
        <v>39</v>
      </c>
      <c r="D247" t="s">
        <v>55</v>
      </c>
      <c r="E247">
        <v>86422</v>
      </c>
      <c r="F247">
        <v>7213</v>
      </c>
      <c r="G247" t="s">
        <v>65</v>
      </c>
      <c r="I247" t="s">
        <v>70</v>
      </c>
      <c r="J247" t="s">
        <v>79</v>
      </c>
      <c r="K247" t="s">
        <v>91</v>
      </c>
      <c r="L247" t="s">
        <v>118</v>
      </c>
      <c r="M247">
        <v>12</v>
      </c>
      <c r="N247">
        <v>11</v>
      </c>
      <c r="O247" t="s">
        <v>152</v>
      </c>
      <c r="P247" t="s">
        <v>157</v>
      </c>
      <c r="Q247" t="s">
        <v>169</v>
      </c>
    </row>
    <row r="248" spans="1:17" x14ac:dyDescent="0.25">
      <c r="A248" t="s">
        <v>21</v>
      </c>
      <c r="B248" t="s">
        <v>25</v>
      </c>
      <c r="C248" t="s">
        <v>44</v>
      </c>
      <c r="D248" t="s">
        <v>58</v>
      </c>
      <c r="E248">
        <v>1038062</v>
      </c>
      <c r="F248">
        <v>161005</v>
      </c>
      <c r="G248" t="s">
        <v>66</v>
      </c>
      <c r="J248" t="s">
        <v>81</v>
      </c>
      <c r="K248" t="s">
        <v>98</v>
      </c>
      <c r="L248" t="s">
        <v>123</v>
      </c>
      <c r="M248">
        <v>10</v>
      </c>
      <c r="N248">
        <v>9</v>
      </c>
      <c r="O248" t="s">
        <v>152</v>
      </c>
      <c r="P248" t="s">
        <v>157</v>
      </c>
      <c r="Q248" t="s">
        <v>287</v>
      </c>
    </row>
    <row r="249" spans="1:17" x14ac:dyDescent="0.25">
      <c r="A249" t="s">
        <v>19</v>
      </c>
      <c r="B249" t="s">
        <v>25</v>
      </c>
      <c r="C249" t="s">
        <v>45</v>
      </c>
      <c r="D249" t="s">
        <v>56</v>
      </c>
      <c r="E249">
        <v>12108</v>
      </c>
      <c r="F249">
        <v>0</v>
      </c>
      <c r="G249" t="s">
        <v>68</v>
      </c>
      <c r="I249" t="s">
        <v>69</v>
      </c>
      <c r="J249" t="s">
        <v>72</v>
      </c>
      <c r="K249" t="s">
        <v>82</v>
      </c>
      <c r="L249" t="s">
        <v>112</v>
      </c>
      <c r="M249">
        <v>15</v>
      </c>
      <c r="N249">
        <v>14</v>
      </c>
      <c r="O249" t="s">
        <v>151</v>
      </c>
      <c r="P249" t="s">
        <v>157</v>
      </c>
      <c r="Q249" t="s">
        <v>165</v>
      </c>
    </row>
    <row r="250" spans="1:17" x14ac:dyDescent="0.25">
      <c r="A250" t="s">
        <v>17</v>
      </c>
      <c r="B250" t="s">
        <v>24</v>
      </c>
      <c r="C250" t="s">
        <v>42</v>
      </c>
      <c r="D250" t="s">
        <v>56</v>
      </c>
      <c r="E250">
        <v>110290</v>
      </c>
      <c r="F250">
        <v>15649</v>
      </c>
      <c r="G250" t="s">
        <v>67</v>
      </c>
      <c r="J250" t="s">
        <v>79</v>
      </c>
      <c r="K250" t="s">
        <v>91</v>
      </c>
      <c r="L250" t="s">
        <v>118</v>
      </c>
      <c r="M250">
        <v>9</v>
      </c>
      <c r="N250">
        <v>9</v>
      </c>
      <c r="O250" t="s">
        <v>153</v>
      </c>
      <c r="P250" t="s">
        <v>156</v>
      </c>
      <c r="Q250" t="s">
        <v>288</v>
      </c>
    </row>
    <row r="251" spans="1:17" x14ac:dyDescent="0.25">
      <c r="A251" t="s">
        <v>17</v>
      </c>
      <c r="B251" t="s">
        <v>27</v>
      </c>
      <c r="C251" t="s">
        <v>39</v>
      </c>
      <c r="D251" t="s">
        <v>55</v>
      </c>
      <c r="E251">
        <v>115907</v>
      </c>
      <c r="F251">
        <v>9823</v>
      </c>
      <c r="G251" t="s">
        <v>67</v>
      </c>
      <c r="J251" t="s">
        <v>81</v>
      </c>
      <c r="K251" t="s">
        <v>94</v>
      </c>
      <c r="L251" t="s">
        <v>129</v>
      </c>
      <c r="M251">
        <v>8</v>
      </c>
      <c r="N251">
        <v>8</v>
      </c>
      <c r="O251" t="s">
        <v>148</v>
      </c>
      <c r="P251" t="s">
        <v>157</v>
      </c>
      <c r="Q251" t="s">
        <v>289</v>
      </c>
    </row>
    <row r="252" spans="1:17" x14ac:dyDescent="0.25">
      <c r="A252" t="s">
        <v>21</v>
      </c>
      <c r="B252" t="s">
        <v>23</v>
      </c>
      <c r="C252" t="s">
        <v>42</v>
      </c>
      <c r="D252" t="s">
        <v>60</v>
      </c>
      <c r="E252">
        <v>125585</v>
      </c>
      <c r="F252">
        <v>10742</v>
      </c>
      <c r="G252" t="s">
        <v>67</v>
      </c>
      <c r="I252" t="s">
        <v>71</v>
      </c>
      <c r="J252" t="s">
        <v>78</v>
      </c>
      <c r="K252" t="s">
        <v>104</v>
      </c>
      <c r="L252" t="s">
        <v>131</v>
      </c>
      <c r="M252">
        <v>12</v>
      </c>
      <c r="N252">
        <v>9</v>
      </c>
      <c r="O252" t="s">
        <v>150</v>
      </c>
      <c r="P252" t="s">
        <v>155</v>
      </c>
      <c r="Q252" t="s">
        <v>290</v>
      </c>
    </row>
    <row r="253" spans="1:17" x14ac:dyDescent="0.25">
      <c r="A253" t="s">
        <v>17</v>
      </c>
      <c r="B253" t="s">
        <v>22</v>
      </c>
      <c r="C253" t="s">
        <v>50</v>
      </c>
      <c r="D253" t="s">
        <v>62</v>
      </c>
      <c r="E253">
        <v>65735</v>
      </c>
      <c r="F253">
        <v>774</v>
      </c>
      <c r="G253" t="s">
        <v>68</v>
      </c>
      <c r="I253" t="s">
        <v>70</v>
      </c>
      <c r="J253" t="s">
        <v>72</v>
      </c>
      <c r="K253" t="s">
        <v>82</v>
      </c>
      <c r="L253" t="s">
        <v>112</v>
      </c>
      <c r="M253">
        <v>15</v>
      </c>
      <c r="N253">
        <v>13</v>
      </c>
      <c r="O253" t="s">
        <v>153</v>
      </c>
      <c r="P253" t="s">
        <v>155</v>
      </c>
      <c r="Q253" t="s">
        <v>283</v>
      </c>
    </row>
    <row r="254" spans="1:17" x14ac:dyDescent="0.25">
      <c r="A254" t="s">
        <v>21</v>
      </c>
      <c r="B254" t="s">
        <v>25</v>
      </c>
      <c r="C254" t="s">
        <v>50</v>
      </c>
      <c r="D254" t="s">
        <v>59</v>
      </c>
      <c r="E254">
        <v>34204</v>
      </c>
      <c r="F254">
        <v>5904</v>
      </c>
      <c r="G254" t="s">
        <v>68</v>
      </c>
      <c r="I254" t="s">
        <v>70</v>
      </c>
      <c r="J254" t="s">
        <v>74</v>
      </c>
      <c r="K254" t="s">
        <v>84</v>
      </c>
      <c r="L254" t="s">
        <v>74</v>
      </c>
      <c r="M254">
        <v>15</v>
      </c>
      <c r="N254">
        <v>12</v>
      </c>
      <c r="O254" t="s">
        <v>149</v>
      </c>
      <c r="P254" t="s">
        <v>154</v>
      </c>
      <c r="Q254" t="s">
        <v>180</v>
      </c>
    </row>
    <row r="255" spans="1:17" x14ac:dyDescent="0.25">
      <c r="A255" t="s">
        <v>19</v>
      </c>
      <c r="B255" t="s">
        <v>22</v>
      </c>
      <c r="C255" t="s">
        <v>52</v>
      </c>
      <c r="D255" t="s">
        <v>55</v>
      </c>
      <c r="E255">
        <v>82149</v>
      </c>
      <c r="F255">
        <v>2140</v>
      </c>
      <c r="G255" t="s">
        <v>63</v>
      </c>
      <c r="I255" t="s">
        <v>70</v>
      </c>
      <c r="J255" t="s">
        <v>78</v>
      </c>
      <c r="K255" t="s">
        <v>105</v>
      </c>
      <c r="L255" t="s">
        <v>133</v>
      </c>
      <c r="M255">
        <v>9</v>
      </c>
      <c r="N255">
        <v>8</v>
      </c>
      <c r="O255" t="s">
        <v>148</v>
      </c>
      <c r="P255" t="s">
        <v>157</v>
      </c>
      <c r="Q255" t="s">
        <v>167</v>
      </c>
    </row>
    <row r="256" spans="1:17" x14ac:dyDescent="0.25">
      <c r="A256" t="s">
        <v>19</v>
      </c>
      <c r="B256" t="s">
        <v>35</v>
      </c>
      <c r="C256" t="s">
        <v>41</v>
      </c>
      <c r="D256" t="s">
        <v>57</v>
      </c>
      <c r="E256">
        <v>81134</v>
      </c>
      <c r="F256">
        <v>10070</v>
      </c>
      <c r="G256" t="s">
        <v>63</v>
      </c>
      <c r="I256" t="s">
        <v>70</v>
      </c>
      <c r="J256" t="s">
        <v>78</v>
      </c>
      <c r="K256" t="s">
        <v>88</v>
      </c>
      <c r="L256" t="s">
        <v>136</v>
      </c>
      <c r="M256">
        <v>12</v>
      </c>
      <c r="N256">
        <v>11</v>
      </c>
      <c r="O256" t="s">
        <v>149</v>
      </c>
      <c r="P256" t="s">
        <v>157</v>
      </c>
      <c r="Q256" t="s">
        <v>189</v>
      </c>
    </row>
    <row r="257" spans="1:17" x14ac:dyDescent="0.25">
      <c r="A257" t="s">
        <v>19</v>
      </c>
      <c r="B257" t="s">
        <v>27</v>
      </c>
      <c r="C257" t="s">
        <v>44</v>
      </c>
      <c r="D257" t="s">
        <v>62</v>
      </c>
      <c r="E257">
        <v>56917</v>
      </c>
      <c r="F257">
        <v>1683</v>
      </c>
      <c r="G257" t="s">
        <v>68</v>
      </c>
      <c r="I257" t="s">
        <v>69</v>
      </c>
      <c r="J257" t="s">
        <v>81</v>
      </c>
      <c r="K257" t="s">
        <v>94</v>
      </c>
      <c r="L257" t="s">
        <v>129</v>
      </c>
      <c r="M257">
        <v>20</v>
      </c>
      <c r="N257">
        <v>20</v>
      </c>
      <c r="O257" t="s">
        <v>149</v>
      </c>
      <c r="P257" t="s">
        <v>156</v>
      </c>
      <c r="Q257" t="s">
        <v>291</v>
      </c>
    </row>
    <row r="258" spans="1:17" x14ac:dyDescent="0.25">
      <c r="A258" t="s">
        <v>19</v>
      </c>
      <c r="B258" t="s">
        <v>27</v>
      </c>
      <c r="C258" t="s">
        <v>41</v>
      </c>
      <c r="D258" t="s">
        <v>57</v>
      </c>
      <c r="E258">
        <v>25393</v>
      </c>
      <c r="F258">
        <v>1738</v>
      </c>
      <c r="G258" t="s">
        <v>68</v>
      </c>
      <c r="I258" t="s">
        <v>71</v>
      </c>
      <c r="J258" t="s">
        <v>78</v>
      </c>
      <c r="K258" t="s">
        <v>109</v>
      </c>
      <c r="L258" t="s">
        <v>137</v>
      </c>
      <c r="M258">
        <v>20</v>
      </c>
      <c r="N258">
        <v>19</v>
      </c>
      <c r="O258" t="s">
        <v>150</v>
      </c>
      <c r="P258" t="s">
        <v>155</v>
      </c>
      <c r="Q258" t="s">
        <v>292</v>
      </c>
    </row>
    <row r="259" spans="1:17" x14ac:dyDescent="0.25">
      <c r="A259" t="s">
        <v>19</v>
      </c>
      <c r="B259" t="s">
        <v>31</v>
      </c>
      <c r="C259" t="s">
        <v>44</v>
      </c>
      <c r="D259" t="s">
        <v>57</v>
      </c>
      <c r="E259">
        <v>55440</v>
      </c>
      <c r="F259">
        <v>3789</v>
      </c>
      <c r="G259" t="s">
        <v>67</v>
      </c>
      <c r="I259" t="s">
        <v>56</v>
      </c>
      <c r="J259" t="s">
        <v>73</v>
      </c>
      <c r="K259" t="s">
        <v>83</v>
      </c>
      <c r="L259" t="s">
        <v>113</v>
      </c>
      <c r="M259">
        <v>20</v>
      </c>
      <c r="N259">
        <v>17</v>
      </c>
      <c r="O259" t="s">
        <v>149</v>
      </c>
      <c r="P259" t="s">
        <v>155</v>
      </c>
      <c r="Q259" t="s">
        <v>288</v>
      </c>
    </row>
    <row r="260" spans="1:17" x14ac:dyDescent="0.25">
      <c r="A260" t="s">
        <v>21</v>
      </c>
      <c r="B260" t="s">
        <v>28</v>
      </c>
      <c r="C260" t="s">
        <v>50</v>
      </c>
      <c r="D260" t="s">
        <v>55</v>
      </c>
      <c r="E260">
        <v>48268</v>
      </c>
      <c r="F260">
        <v>6495</v>
      </c>
      <c r="G260" t="s">
        <v>65</v>
      </c>
      <c r="I260" t="s">
        <v>70</v>
      </c>
      <c r="J260" t="s">
        <v>72</v>
      </c>
      <c r="K260" t="s">
        <v>82</v>
      </c>
      <c r="L260" t="s">
        <v>112</v>
      </c>
      <c r="M260">
        <v>25</v>
      </c>
      <c r="N260">
        <v>24</v>
      </c>
      <c r="O260" t="s">
        <v>150</v>
      </c>
      <c r="P260" t="s">
        <v>154</v>
      </c>
      <c r="Q260" t="s">
        <v>293</v>
      </c>
    </row>
    <row r="261" spans="1:17" x14ac:dyDescent="0.25">
      <c r="A261" t="s">
        <v>20</v>
      </c>
      <c r="B261" t="s">
        <v>23</v>
      </c>
      <c r="C261" t="s">
        <v>47</v>
      </c>
      <c r="D261" t="s">
        <v>57</v>
      </c>
      <c r="E261">
        <v>34893</v>
      </c>
      <c r="F261">
        <v>1436</v>
      </c>
      <c r="G261" t="s">
        <v>67</v>
      </c>
      <c r="I261" t="s">
        <v>71</v>
      </c>
      <c r="J261" t="s">
        <v>80</v>
      </c>
      <c r="K261" t="s">
        <v>93</v>
      </c>
      <c r="L261" t="s">
        <v>93</v>
      </c>
      <c r="M261">
        <v>0</v>
      </c>
      <c r="N261">
        <v>0</v>
      </c>
      <c r="O261" t="s">
        <v>152</v>
      </c>
      <c r="P261" t="s">
        <v>154</v>
      </c>
      <c r="Q261" t="s">
        <v>188</v>
      </c>
    </row>
    <row r="262" spans="1:17" x14ac:dyDescent="0.25">
      <c r="A262" t="s">
        <v>20</v>
      </c>
      <c r="B262" t="s">
        <v>22</v>
      </c>
      <c r="C262" t="s">
        <v>43</v>
      </c>
      <c r="D262" t="s">
        <v>55</v>
      </c>
      <c r="E262">
        <v>113261</v>
      </c>
      <c r="F262">
        <v>0</v>
      </c>
      <c r="G262" t="s">
        <v>65</v>
      </c>
      <c r="I262" t="s">
        <v>70</v>
      </c>
      <c r="J262" t="s">
        <v>72</v>
      </c>
      <c r="K262" t="s">
        <v>82</v>
      </c>
      <c r="L262" t="s">
        <v>112</v>
      </c>
      <c r="M262">
        <v>5</v>
      </c>
      <c r="N262">
        <v>3</v>
      </c>
      <c r="O262" t="s">
        <v>150</v>
      </c>
      <c r="P262" t="s">
        <v>155</v>
      </c>
      <c r="Q262" t="s">
        <v>189</v>
      </c>
    </row>
    <row r="263" spans="1:17" x14ac:dyDescent="0.25">
      <c r="A263" t="s">
        <v>18</v>
      </c>
      <c r="B263" t="s">
        <v>24</v>
      </c>
      <c r="C263" t="s">
        <v>51</v>
      </c>
      <c r="D263" t="s">
        <v>61</v>
      </c>
      <c r="E263">
        <v>123213</v>
      </c>
      <c r="F263">
        <v>0</v>
      </c>
      <c r="G263" t="s">
        <v>67</v>
      </c>
      <c r="J263" t="s">
        <v>79</v>
      </c>
      <c r="K263" t="s">
        <v>107</v>
      </c>
      <c r="L263" t="s">
        <v>134</v>
      </c>
      <c r="M263">
        <v>0</v>
      </c>
      <c r="N263">
        <v>0</v>
      </c>
      <c r="O263" t="s">
        <v>149</v>
      </c>
      <c r="P263" t="s">
        <v>157</v>
      </c>
      <c r="Q263" t="s">
        <v>171</v>
      </c>
    </row>
    <row r="264" spans="1:17" x14ac:dyDescent="0.25">
      <c r="A264" t="s">
        <v>18</v>
      </c>
      <c r="B264" t="s">
        <v>27</v>
      </c>
      <c r="C264" t="s">
        <v>47</v>
      </c>
      <c r="E264">
        <v>85875</v>
      </c>
      <c r="F264">
        <v>8325</v>
      </c>
      <c r="G264" t="s">
        <v>65</v>
      </c>
      <c r="J264" t="s">
        <v>77</v>
      </c>
      <c r="K264" t="s">
        <v>111</v>
      </c>
      <c r="L264" t="s">
        <v>146</v>
      </c>
      <c r="M264">
        <v>0</v>
      </c>
      <c r="N264">
        <v>0</v>
      </c>
      <c r="O264" t="s">
        <v>148</v>
      </c>
      <c r="P264" t="s">
        <v>157</v>
      </c>
      <c r="Q264" t="s">
        <v>180</v>
      </c>
    </row>
    <row r="265" spans="1:17" x14ac:dyDescent="0.25">
      <c r="A265" t="s">
        <v>19</v>
      </c>
      <c r="B265" t="s">
        <v>33</v>
      </c>
      <c r="C265" t="s">
        <v>51</v>
      </c>
      <c r="D265" t="s">
        <v>54</v>
      </c>
      <c r="E265">
        <v>680397</v>
      </c>
      <c r="F265">
        <v>385</v>
      </c>
      <c r="G265" t="s">
        <v>66</v>
      </c>
      <c r="I265" t="s">
        <v>69</v>
      </c>
      <c r="J265" t="s">
        <v>74</v>
      </c>
      <c r="K265" t="s">
        <v>84</v>
      </c>
      <c r="L265" t="s">
        <v>74</v>
      </c>
      <c r="M265">
        <v>4</v>
      </c>
      <c r="N265">
        <v>4</v>
      </c>
      <c r="O265" t="s">
        <v>150</v>
      </c>
      <c r="P265" t="s">
        <v>157</v>
      </c>
      <c r="Q265" t="s">
        <v>174</v>
      </c>
    </row>
    <row r="266" spans="1:17" x14ac:dyDescent="0.25">
      <c r="A266" t="s">
        <v>19</v>
      </c>
      <c r="B266" t="s">
        <v>24</v>
      </c>
      <c r="C266" t="s">
        <v>49</v>
      </c>
      <c r="D266" t="s">
        <v>59</v>
      </c>
      <c r="E266">
        <v>55745</v>
      </c>
      <c r="F266">
        <v>431</v>
      </c>
      <c r="G266" t="s">
        <v>65</v>
      </c>
      <c r="I266" t="s">
        <v>71</v>
      </c>
      <c r="J266" t="s">
        <v>75</v>
      </c>
      <c r="K266" t="s">
        <v>96</v>
      </c>
      <c r="L266" t="s">
        <v>121</v>
      </c>
      <c r="M266">
        <v>25</v>
      </c>
      <c r="N266">
        <v>25</v>
      </c>
      <c r="O266" t="s">
        <v>152</v>
      </c>
      <c r="P266" t="s">
        <v>154</v>
      </c>
      <c r="Q266" t="s">
        <v>189</v>
      </c>
    </row>
    <row r="267" spans="1:17" x14ac:dyDescent="0.25">
      <c r="A267" t="s">
        <v>17</v>
      </c>
      <c r="B267" t="s">
        <v>31</v>
      </c>
      <c r="C267" t="s">
        <v>42</v>
      </c>
      <c r="D267" t="s">
        <v>57</v>
      </c>
      <c r="E267">
        <v>846930</v>
      </c>
      <c r="F267">
        <v>82775</v>
      </c>
      <c r="G267" t="s">
        <v>66</v>
      </c>
      <c r="I267" t="s">
        <v>70</v>
      </c>
      <c r="J267" t="s">
        <v>79</v>
      </c>
      <c r="K267" t="s">
        <v>107</v>
      </c>
      <c r="L267" t="s">
        <v>134</v>
      </c>
      <c r="M267">
        <v>8</v>
      </c>
      <c r="N267">
        <v>8</v>
      </c>
      <c r="O267" t="s">
        <v>148</v>
      </c>
      <c r="P267" t="s">
        <v>154</v>
      </c>
      <c r="Q267" t="s">
        <v>208</v>
      </c>
    </row>
    <row r="268" spans="1:17" x14ac:dyDescent="0.25">
      <c r="A268" t="s">
        <v>19</v>
      </c>
      <c r="B268" t="s">
        <v>24</v>
      </c>
      <c r="C268" t="s">
        <v>44</v>
      </c>
      <c r="D268" t="s">
        <v>54</v>
      </c>
      <c r="E268">
        <v>129336</v>
      </c>
      <c r="F268">
        <v>4841</v>
      </c>
      <c r="G268" t="s">
        <v>64</v>
      </c>
      <c r="J268" t="s">
        <v>79</v>
      </c>
      <c r="K268" t="s">
        <v>91</v>
      </c>
      <c r="L268" t="s">
        <v>118</v>
      </c>
      <c r="M268">
        <v>4</v>
      </c>
      <c r="N268">
        <v>1</v>
      </c>
      <c r="O268" t="s">
        <v>153</v>
      </c>
      <c r="P268" t="s">
        <v>157</v>
      </c>
      <c r="Q268" t="s">
        <v>169</v>
      </c>
    </row>
    <row r="269" spans="1:17" x14ac:dyDescent="0.25">
      <c r="A269" t="s">
        <v>20</v>
      </c>
      <c r="B269" t="s">
        <v>22</v>
      </c>
      <c r="C269" t="s">
        <v>36</v>
      </c>
      <c r="D269" t="s">
        <v>54</v>
      </c>
      <c r="E269">
        <v>64583</v>
      </c>
      <c r="F269">
        <v>6607</v>
      </c>
      <c r="G269" t="s">
        <v>65</v>
      </c>
      <c r="I269" t="s">
        <v>71</v>
      </c>
      <c r="J269" t="s">
        <v>78</v>
      </c>
      <c r="K269" t="s">
        <v>104</v>
      </c>
      <c r="L269" t="s">
        <v>131</v>
      </c>
      <c r="M269">
        <v>1</v>
      </c>
      <c r="N269">
        <v>0</v>
      </c>
      <c r="O269" t="s">
        <v>148</v>
      </c>
      <c r="P269" t="s">
        <v>155</v>
      </c>
      <c r="Q269" t="s">
        <v>271</v>
      </c>
    </row>
    <row r="270" spans="1:17" x14ac:dyDescent="0.25">
      <c r="A270" t="s">
        <v>20</v>
      </c>
      <c r="B270" t="s">
        <v>34</v>
      </c>
      <c r="C270" t="s">
        <v>40</v>
      </c>
      <c r="D270" t="s">
        <v>61</v>
      </c>
      <c r="E270">
        <v>115633</v>
      </c>
      <c r="F270">
        <v>11760</v>
      </c>
      <c r="G270" t="s">
        <v>67</v>
      </c>
      <c r="I270" t="s">
        <v>69</v>
      </c>
      <c r="J270" t="s">
        <v>80</v>
      </c>
      <c r="K270" t="s">
        <v>106</v>
      </c>
      <c r="L270" t="s">
        <v>106</v>
      </c>
      <c r="M270">
        <v>0</v>
      </c>
      <c r="N270">
        <v>0</v>
      </c>
      <c r="O270" t="s">
        <v>148</v>
      </c>
      <c r="P270" t="s">
        <v>156</v>
      </c>
      <c r="Q270" t="s">
        <v>243</v>
      </c>
    </row>
    <row r="271" spans="1:17" x14ac:dyDescent="0.25">
      <c r="A271" t="s">
        <v>19</v>
      </c>
      <c r="B271" t="s">
        <v>25</v>
      </c>
      <c r="C271" t="s">
        <v>51</v>
      </c>
      <c r="D271" t="s">
        <v>57</v>
      </c>
      <c r="E271">
        <v>44449</v>
      </c>
      <c r="F271">
        <v>0</v>
      </c>
      <c r="G271" t="s">
        <v>64</v>
      </c>
      <c r="I271" t="s">
        <v>69</v>
      </c>
      <c r="J271" t="s">
        <v>77</v>
      </c>
      <c r="K271" t="s">
        <v>87</v>
      </c>
      <c r="L271" t="s">
        <v>143</v>
      </c>
      <c r="M271">
        <v>25</v>
      </c>
      <c r="N271">
        <v>25</v>
      </c>
      <c r="O271" t="s">
        <v>149</v>
      </c>
      <c r="P271" t="s">
        <v>155</v>
      </c>
      <c r="Q271" t="s">
        <v>178</v>
      </c>
    </row>
    <row r="272" spans="1:17" x14ac:dyDescent="0.25">
      <c r="A272" t="s">
        <v>17</v>
      </c>
      <c r="B272" t="s">
        <v>31</v>
      </c>
      <c r="C272" t="s">
        <v>40</v>
      </c>
      <c r="D272" t="s">
        <v>58</v>
      </c>
      <c r="E272">
        <v>135391</v>
      </c>
      <c r="F272">
        <v>1585</v>
      </c>
      <c r="G272" t="s">
        <v>66</v>
      </c>
      <c r="I272" t="s">
        <v>56</v>
      </c>
      <c r="J272" t="s">
        <v>78</v>
      </c>
      <c r="K272" t="s">
        <v>88</v>
      </c>
      <c r="L272" t="s">
        <v>128</v>
      </c>
      <c r="M272">
        <v>15</v>
      </c>
      <c r="N272">
        <v>13</v>
      </c>
      <c r="O272" t="s">
        <v>151</v>
      </c>
      <c r="P272" t="s">
        <v>156</v>
      </c>
      <c r="Q272" t="s">
        <v>294</v>
      </c>
    </row>
    <row r="273" spans="1:17" x14ac:dyDescent="0.25">
      <c r="A273" t="s">
        <v>19</v>
      </c>
      <c r="B273" t="s">
        <v>33</v>
      </c>
      <c r="C273" t="s">
        <v>43</v>
      </c>
      <c r="D273" t="s">
        <v>59</v>
      </c>
      <c r="E273">
        <v>142771</v>
      </c>
      <c r="F273">
        <v>27803</v>
      </c>
      <c r="G273" t="s">
        <v>65</v>
      </c>
      <c r="J273" t="s">
        <v>79</v>
      </c>
      <c r="K273" t="s">
        <v>107</v>
      </c>
      <c r="L273" t="s">
        <v>134</v>
      </c>
      <c r="M273">
        <v>5</v>
      </c>
      <c r="N273">
        <v>5</v>
      </c>
      <c r="O273" t="s">
        <v>152</v>
      </c>
      <c r="P273" t="s">
        <v>156</v>
      </c>
      <c r="Q273" t="s">
        <v>182</v>
      </c>
    </row>
    <row r="274" spans="1:17" x14ac:dyDescent="0.25">
      <c r="A274" t="s">
        <v>18</v>
      </c>
      <c r="B274" t="s">
        <v>22</v>
      </c>
      <c r="C274" t="s">
        <v>42</v>
      </c>
      <c r="D274" t="s">
        <v>59</v>
      </c>
      <c r="E274">
        <v>101167</v>
      </c>
      <c r="F274">
        <v>13905</v>
      </c>
      <c r="G274" t="s">
        <v>64</v>
      </c>
      <c r="I274" t="s">
        <v>70</v>
      </c>
      <c r="J274" t="s">
        <v>75</v>
      </c>
      <c r="K274" t="s">
        <v>85</v>
      </c>
      <c r="L274" t="s">
        <v>114</v>
      </c>
      <c r="M274">
        <v>0</v>
      </c>
      <c r="N274">
        <v>0</v>
      </c>
      <c r="O274" t="s">
        <v>152</v>
      </c>
      <c r="P274" t="s">
        <v>156</v>
      </c>
      <c r="Q274" t="s">
        <v>166</v>
      </c>
    </row>
    <row r="275" spans="1:17" x14ac:dyDescent="0.25">
      <c r="A275" t="s">
        <v>17</v>
      </c>
      <c r="B275" t="s">
        <v>22</v>
      </c>
      <c r="C275" t="s">
        <v>36</v>
      </c>
      <c r="D275" t="s">
        <v>55</v>
      </c>
      <c r="E275">
        <v>55766</v>
      </c>
      <c r="F275">
        <v>0</v>
      </c>
      <c r="G275" t="s">
        <v>68</v>
      </c>
      <c r="I275" t="s">
        <v>71</v>
      </c>
      <c r="J275" t="s">
        <v>78</v>
      </c>
      <c r="K275" t="s">
        <v>104</v>
      </c>
      <c r="L275" t="s">
        <v>131</v>
      </c>
      <c r="M275">
        <v>8</v>
      </c>
      <c r="N275">
        <v>5</v>
      </c>
      <c r="O275" t="s">
        <v>152</v>
      </c>
      <c r="P275" t="s">
        <v>154</v>
      </c>
      <c r="Q275" t="s">
        <v>253</v>
      </c>
    </row>
    <row r="276" spans="1:17" x14ac:dyDescent="0.25">
      <c r="A276" t="s">
        <v>19</v>
      </c>
      <c r="B276" t="s">
        <v>33</v>
      </c>
      <c r="C276" t="s">
        <v>45</v>
      </c>
      <c r="D276" t="s">
        <v>61</v>
      </c>
      <c r="E276">
        <v>80634</v>
      </c>
      <c r="F276">
        <v>3234</v>
      </c>
      <c r="G276" t="s">
        <v>67</v>
      </c>
      <c r="I276" t="s">
        <v>70</v>
      </c>
      <c r="J276" t="s">
        <v>74</v>
      </c>
      <c r="K276" t="s">
        <v>84</v>
      </c>
      <c r="L276" t="s">
        <v>74</v>
      </c>
      <c r="M276">
        <v>2</v>
      </c>
      <c r="N276">
        <v>2</v>
      </c>
      <c r="O276" t="s">
        <v>150</v>
      </c>
      <c r="P276" t="s">
        <v>156</v>
      </c>
      <c r="Q276" t="s">
        <v>295</v>
      </c>
    </row>
    <row r="277" spans="1:17" x14ac:dyDescent="0.25">
      <c r="A277" t="s">
        <v>19</v>
      </c>
      <c r="B277" t="s">
        <v>31</v>
      </c>
      <c r="C277" t="s">
        <v>36</v>
      </c>
      <c r="D277" t="s">
        <v>60</v>
      </c>
      <c r="E277">
        <v>1347452</v>
      </c>
      <c r="F277">
        <v>43106</v>
      </c>
      <c r="G277" t="s">
        <v>66</v>
      </c>
      <c r="I277" t="s">
        <v>70</v>
      </c>
      <c r="J277" t="s">
        <v>78</v>
      </c>
      <c r="K277" t="s">
        <v>104</v>
      </c>
      <c r="L277" t="s">
        <v>131</v>
      </c>
      <c r="M277">
        <v>20</v>
      </c>
      <c r="N277">
        <v>19</v>
      </c>
      <c r="O277" t="s">
        <v>150</v>
      </c>
      <c r="P277" t="s">
        <v>157</v>
      </c>
      <c r="Q277" t="s">
        <v>181</v>
      </c>
    </row>
    <row r="278" spans="1:17" x14ac:dyDescent="0.25">
      <c r="A278" t="s">
        <v>20</v>
      </c>
      <c r="B278" t="s">
        <v>23</v>
      </c>
      <c r="C278" t="s">
        <v>52</v>
      </c>
      <c r="D278" t="s">
        <v>54</v>
      </c>
      <c r="E278">
        <v>79760</v>
      </c>
      <c r="F278">
        <v>0</v>
      </c>
      <c r="G278" t="s">
        <v>65</v>
      </c>
      <c r="I278" t="s">
        <v>70</v>
      </c>
      <c r="J278" t="s">
        <v>77</v>
      </c>
      <c r="K278" t="s">
        <v>89</v>
      </c>
      <c r="L278" t="s">
        <v>124</v>
      </c>
      <c r="M278">
        <v>7</v>
      </c>
      <c r="N278">
        <v>5</v>
      </c>
      <c r="O278" t="s">
        <v>151</v>
      </c>
      <c r="P278" t="s">
        <v>156</v>
      </c>
      <c r="Q278" t="s">
        <v>238</v>
      </c>
    </row>
    <row r="279" spans="1:17" x14ac:dyDescent="0.25">
      <c r="A279" t="s">
        <v>20</v>
      </c>
      <c r="B279" t="s">
        <v>32</v>
      </c>
      <c r="C279" t="s">
        <v>46</v>
      </c>
      <c r="D279" t="s">
        <v>59</v>
      </c>
      <c r="E279">
        <v>100442</v>
      </c>
      <c r="F279">
        <v>19504</v>
      </c>
      <c r="G279" t="s">
        <v>67</v>
      </c>
      <c r="I279" t="s">
        <v>71</v>
      </c>
      <c r="J279" t="s">
        <v>75</v>
      </c>
      <c r="K279" t="s">
        <v>108</v>
      </c>
      <c r="L279" t="s">
        <v>135</v>
      </c>
      <c r="M279">
        <v>2</v>
      </c>
      <c r="N279">
        <v>2</v>
      </c>
      <c r="O279" t="s">
        <v>151</v>
      </c>
      <c r="P279" t="s">
        <v>156</v>
      </c>
      <c r="Q279" t="s">
        <v>271</v>
      </c>
    </row>
    <row r="280" spans="1:17" x14ac:dyDescent="0.25">
      <c r="A280" t="s">
        <v>19</v>
      </c>
      <c r="B280" t="s">
        <v>29</v>
      </c>
      <c r="C280" t="s">
        <v>53</v>
      </c>
      <c r="D280" t="s">
        <v>61</v>
      </c>
      <c r="E280">
        <v>83972</v>
      </c>
      <c r="F280">
        <v>0</v>
      </c>
      <c r="G280" t="s">
        <v>68</v>
      </c>
      <c r="I280" t="s">
        <v>71</v>
      </c>
      <c r="J280" t="s">
        <v>72</v>
      </c>
      <c r="K280" t="s">
        <v>95</v>
      </c>
      <c r="L280" t="s">
        <v>120</v>
      </c>
      <c r="M280">
        <v>2</v>
      </c>
      <c r="N280">
        <v>2</v>
      </c>
      <c r="O280" t="s">
        <v>153</v>
      </c>
      <c r="P280" t="s">
        <v>156</v>
      </c>
      <c r="Q280" t="s">
        <v>181</v>
      </c>
    </row>
    <row r="281" spans="1:17" x14ac:dyDescent="0.25">
      <c r="A281" t="s">
        <v>20</v>
      </c>
      <c r="B281" t="s">
        <v>33</v>
      </c>
      <c r="C281" t="s">
        <v>39</v>
      </c>
      <c r="D281" t="s">
        <v>57</v>
      </c>
      <c r="E281">
        <v>80041</v>
      </c>
      <c r="F281">
        <v>7143</v>
      </c>
      <c r="G281" t="s">
        <v>67</v>
      </c>
      <c r="I281" t="s">
        <v>71</v>
      </c>
      <c r="J281" t="s">
        <v>78</v>
      </c>
      <c r="K281" t="s">
        <v>109</v>
      </c>
      <c r="L281" t="s">
        <v>137</v>
      </c>
      <c r="M281">
        <v>7</v>
      </c>
      <c r="N281">
        <v>7</v>
      </c>
      <c r="O281" t="s">
        <v>148</v>
      </c>
      <c r="P281" t="s">
        <v>154</v>
      </c>
      <c r="Q281" t="s">
        <v>296</v>
      </c>
    </row>
    <row r="282" spans="1:17" x14ac:dyDescent="0.25">
      <c r="A282" t="s">
        <v>19</v>
      </c>
      <c r="B282" t="s">
        <v>28</v>
      </c>
      <c r="C282" t="s">
        <v>52</v>
      </c>
      <c r="E282">
        <v>135401</v>
      </c>
      <c r="F282">
        <v>383</v>
      </c>
      <c r="G282" t="s">
        <v>65</v>
      </c>
      <c r="I282" t="s">
        <v>56</v>
      </c>
      <c r="J282" t="s">
        <v>79</v>
      </c>
      <c r="K282" t="s">
        <v>107</v>
      </c>
      <c r="L282" t="s">
        <v>134</v>
      </c>
      <c r="M282">
        <v>7</v>
      </c>
      <c r="N282">
        <v>7</v>
      </c>
      <c r="O282" t="s">
        <v>150</v>
      </c>
      <c r="P282" t="s">
        <v>154</v>
      </c>
      <c r="Q282" t="s">
        <v>171</v>
      </c>
    </row>
    <row r="283" spans="1:17" x14ac:dyDescent="0.25">
      <c r="A283" t="s">
        <v>17</v>
      </c>
      <c r="B283" t="s">
        <v>31</v>
      </c>
      <c r="C283" t="s">
        <v>48</v>
      </c>
      <c r="D283" t="s">
        <v>62</v>
      </c>
      <c r="E283">
        <v>104863</v>
      </c>
      <c r="F283">
        <v>259</v>
      </c>
      <c r="G283" t="s">
        <v>64</v>
      </c>
      <c r="I283" t="s">
        <v>71</v>
      </c>
      <c r="J283" t="s">
        <v>73</v>
      </c>
      <c r="K283" t="s">
        <v>102</v>
      </c>
      <c r="L283" t="s">
        <v>102</v>
      </c>
      <c r="M283">
        <v>12</v>
      </c>
      <c r="N283">
        <v>10</v>
      </c>
      <c r="O283" t="s">
        <v>148</v>
      </c>
      <c r="P283" t="s">
        <v>156</v>
      </c>
      <c r="Q283" t="s">
        <v>180</v>
      </c>
    </row>
    <row r="284" spans="1:17" x14ac:dyDescent="0.25">
      <c r="A284" t="s">
        <v>21</v>
      </c>
      <c r="B284" t="s">
        <v>31</v>
      </c>
      <c r="C284" t="s">
        <v>51</v>
      </c>
      <c r="D284" t="s">
        <v>57</v>
      </c>
      <c r="E284">
        <v>113972</v>
      </c>
      <c r="F284">
        <v>13698</v>
      </c>
      <c r="G284" t="s">
        <v>68</v>
      </c>
      <c r="I284" t="s">
        <v>70</v>
      </c>
      <c r="J284" t="s">
        <v>74</v>
      </c>
      <c r="K284" t="s">
        <v>84</v>
      </c>
      <c r="L284" t="s">
        <v>74</v>
      </c>
      <c r="M284">
        <v>20</v>
      </c>
      <c r="N284">
        <v>20</v>
      </c>
      <c r="O284" t="s">
        <v>148</v>
      </c>
      <c r="P284" t="s">
        <v>154</v>
      </c>
      <c r="Q284" t="s">
        <v>189</v>
      </c>
    </row>
    <row r="285" spans="1:17" x14ac:dyDescent="0.25">
      <c r="A285" t="s">
        <v>20</v>
      </c>
      <c r="B285" t="s">
        <v>29</v>
      </c>
      <c r="C285" t="s">
        <v>50</v>
      </c>
      <c r="D285" t="s">
        <v>62</v>
      </c>
      <c r="E285">
        <v>500</v>
      </c>
      <c r="F285">
        <v>228</v>
      </c>
      <c r="G285" t="s">
        <v>68</v>
      </c>
      <c r="I285" t="s">
        <v>71</v>
      </c>
      <c r="J285" t="s">
        <v>73</v>
      </c>
      <c r="K285" t="s">
        <v>83</v>
      </c>
      <c r="L285" t="s">
        <v>113</v>
      </c>
      <c r="M285">
        <v>4</v>
      </c>
      <c r="N285">
        <v>4</v>
      </c>
      <c r="O285" t="s">
        <v>152</v>
      </c>
      <c r="P285" t="s">
        <v>155</v>
      </c>
      <c r="Q285" t="s">
        <v>297</v>
      </c>
    </row>
    <row r="286" spans="1:17" x14ac:dyDescent="0.25">
      <c r="A286" t="s">
        <v>17</v>
      </c>
      <c r="B286" t="s">
        <v>27</v>
      </c>
      <c r="C286" t="s">
        <v>52</v>
      </c>
      <c r="D286" t="s">
        <v>55</v>
      </c>
      <c r="E286">
        <v>43227</v>
      </c>
      <c r="F286">
        <v>1772</v>
      </c>
      <c r="G286" t="s">
        <v>68</v>
      </c>
      <c r="I286" t="s">
        <v>69</v>
      </c>
      <c r="J286" t="s">
        <v>72</v>
      </c>
      <c r="K286" t="s">
        <v>82</v>
      </c>
      <c r="L286" t="s">
        <v>112</v>
      </c>
      <c r="M286">
        <v>8</v>
      </c>
      <c r="N286">
        <v>6</v>
      </c>
      <c r="O286" t="s">
        <v>148</v>
      </c>
      <c r="P286" t="s">
        <v>157</v>
      </c>
      <c r="Q286" t="s">
        <v>245</v>
      </c>
    </row>
    <row r="287" spans="1:17" x14ac:dyDescent="0.25">
      <c r="A287" t="s">
        <v>19</v>
      </c>
      <c r="B287" t="s">
        <v>26</v>
      </c>
      <c r="C287" t="s">
        <v>52</v>
      </c>
      <c r="D287" t="s">
        <v>62</v>
      </c>
      <c r="E287">
        <v>16283</v>
      </c>
      <c r="F287">
        <v>1248</v>
      </c>
      <c r="G287" t="s">
        <v>65</v>
      </c>
      <c r="I287" t="s">
        <v>69</v>
      </c>
      <c r="J287" t="s">
        <v>75</v>
      </c>
      <c r="K287" t="s">
        <v>108</v>
      </c>
      <c r="L287" t="s">
        <v>135</v>
      </c>
      <c r="M287">
        <v>3</v>
      </c>
      <c r="N287">
        <v>0</v>
      </c>
      <c r="O287" t="s">
        <v>152</v>
      </c>
      <c r="P287" t="s">
        <v>156</v>
      </c>
      <c r="Q287" t="s">
        <v>174</v>
      </c>
    </row>
    <row r="288" spans="1:17" x14ac:dyDescent="0.25">
      <c r="A288" t="s">
        <v>19</v>
      </c>
      <c r="B288" t="s">
        <v>25</v>
      </c>
      <c r="C288" t="s">
        <v>45</v>
      </c>
      <c r="D288" t="s">
        <v>57</v>
      </c>
      <c r="E288">
        <v>32568</v>
      </c>
      <c r="F288">
        <v>3137</v>
      </c>
      <c r="G288" t="s">
        <v>68</v>
      </c>
      <c r="I288" t="s">
        <v>70</v>
      </c>
      <c r="J288" t="s">
        <v>76</v>
      </c>
      <c r="K288" t="s">
        <v>92</v>
      </c>
      <c r="L288" t="s">
        <v>119</v>
      </c>
      <c r="M288">
        <v>9</v>
      </c>
      <c r="N288">
        <v>9</v>
      </c>
      <c r="O288" t="s">
        <v>152</v>
      </c>
      <c r="P288" t="s">
        <v>156</v>
      </c>
      <c r="Q288" t="s">
        <v>297</v>
      </c>
    </row>
    <row r="289" spans="1:17" x14ac:dyDescent="0.25">
      <c r="A289" t="s">
        <v>20</v>
      </c>
      <c r="B289" t="s">
        <v>33</v>
      </c>
      <c r="C289" t="s">
        <v>47</v>
      </c>
      <c r="D289" t="s">
        <v>55</v>
      </c>
      <c r="E289">
        <v>1267718</v>
      </c>
      <c r="F289">
        <v>59347</v>
      </c>
      <c r="G289" t="s">
        <v>66</v>
      </c>
      <c r="J289" t="s">
        <v>73</v>
      </c>
      <c r="K289" t="s">
        <v>83</v>
      </c>
      <c r="L289" t="s">
        <v>113</v>
      </c>
      <c r="M289">
        <v>4</v>
      </c>
      <c r="N289">
        <v>1</v>
      </c>
      <c r="O289" t="s">
        <v>152</v>
      </c>
      <c r="P289" t="s">
        <v>157</v>
      </c>
      <c r="Q289" t="s">
        <v>188</v>
      </c>
    </row>
    <row r="290" spans="1:17" x14ac:dyDescent="0.25">
      <c r="A290" t="s">
        <v>21</v>
      </c>
      <c r="B290" t="s">
        <v>26</v>
      </c>
      <c r="C290" t="s">
        <v>36</v>
      </c>
      <c r="E290">
        <v>539265</v>
      </c>
      <c r="F290">
        <v>21133</v>
      </c>
      <c r="G290" t="s">
        <v>66</v>
      </c>
      <c r="I290" t="s">
        <v>70</v>
      </c>
      <c r="J290" t="s">
        <v>75</v>
      </c>
      <c r="K290" t="s">
        <v>108</v>
      </c>
      <c r="L290" t="s">
        <v>135</v>
      </c>
      <c r="M290">
        <v>18</v>
      </c>
      <c r="N290">
        <v>18</v>
      </c>
      <c r="O290" t="s">
        <v>152</v>
      </c>
      <c r="P290" t="s">
        <v>155</v>
      </c>
      <c r="Q290" t="s">
        <v>181</v>
      </c>
    </row>
    <row r="291" spans="1:17" x14ac:dyDescent="0.25">
      <c r="A291" t="s">
        <v>20</v>
      </c>
      <c r="B291" t="s">
        <v>33</v>
      </c>
      <c r="C291" t="s">
        <v>47</v>
      </c>
      <c r="D291" t="s">
        <v>60</v>
      </c>
      <c r="E291">
        <v>104284</v>
      </c>
      <c r="F291">
        <v>4676</v>
      </c>
      <c r="G291" t="s">
        <v>63</v>
      </c>
      <c r="I291" t="s">
        <v>56</v>
      </c>
      <c r="J291" t="s">
        <v>74</v>
      </c>
      <c r="K291" t="s">
        <v>84</v>
      </c>
      <c r="L291" t="s">
        <v>74</v>
      </c>
      <c r="M291">
        <v>6</v>
      </c>
      <c r="N291">
        <v>6</v>
      </c>
      <c r="O291" t="s">
        <v>148</v>
      </c>
      <c r="P291" t="s">
        <v>157</v>
      </c>
      <c r="Q291" t="s">
        <v>298</v>
      </c>
    </row>
    <row r="292" spans="1:17" x14ac:dyDescent="0.25">
      <c r="A292" t="s">
        <v>17</v>
      </c>
      <c r="B292" t="s">
        <v>24</v>
      </c>
      <c r="C292" t="s">
        <v>41</v>
      </c>
      <c r="E292">
        <v>128016</v>
      </c>
      <c r="F292">
        <v>19616</v>
      </c>
      <c r="G292" t="s">
        <v>67</v>
      </c>
      <c r="I292" t="s">
        <v>69</v>
      </c>
      <c r="J292" t="s">
        <v>77</v>
      </c>
      <c r="K292" t="s">
        <v>97</v>
      </c>
      <c r="L292" t="s">
        <v>122</v>
      </c>
      <c r="M292">
        <v>9</v>
      </c>
      <c r="N292">
        <v>9</v>
      </c>
      <c r="O292" t="s">
        <v>152</v>
      </c>
      <c r="P292" t="s">
        <v>155</v>
      </c>
      <c r="Q292" t="s">
        <v>299</v>
      </c>
    </row>
    <row r="293" spans="1:17" x14ac:dyDescent="0.25">
      <c r="A293" t="s">
        <v>20</v>
      </c>
      <c r="B293" t="s">
        <v>33</v>
      </c>
      <c r="C293" t="s">
        <v>37</v>
      </c>
      <c r="D293" t="s">
        <v>62</v>
      </c>
      <c r="E293">
        <v>32173</v>
      </c>
      <c r="F293">
        <v>260</v>
      </c>
      <c r="G293" t="s">
        <v>63</v>
      </c>
      <c r="I293" t="s">
        <v>69</v>
      </c>
      <c r="J293" t="s">
        <v>76</v>
      </c>
      <c r="K293" t="s">
        <v>92</v>
      </c>
      <c r="L293" t="s">
        <v>119</v>
      </c>
      <c r="M293">
        <v>4</v>
      </c>
      <c r="N293">
        <v>4</v>
      </c>
      <c r="O293" t="s">
        <v>152</v>
      </c>
      <c r="P293" t="s">
        <v>156</v>
      </c>
      <c r="Q293" t="s">
        <v>191</v>
      </c>
    </row>
    <row r="294" spans="1:17" x14ac:dyDescent="0.25">
      <c r="A294" t="s">
        <v>19</v>
      </c>
      <c r="B294" t="s">
        <v>35</v>
      </c>
      <c r="C294" t="s">
        <v>37</v>
      </c>
      <c r="D294" t="s">
        <v>60</v>
      </c>
      <c r="E294">
        <v>86032</v>
      </c>
      <c r="F294">
        <v>20813</v>
      </c>
      <c r="G294" t="s">
        <v>67</v>
      </c>
      <c r="I294" t="s">
        <v>56</v>
      </c>
      <c r="J294" t="s">
        <v>78</v>
      </c>
      <c r="K294" t="s">
        <v>88</v>
      </c>
      <c r="L294" t="s">
        <v>128</v>
      </c>
      <c r="M294">
        <v>7</v>
      </c>
      <c r="N294">
        <v>6</v>
      </c>
      <c r="O294" t="s">
        <v>148</v>
      </c>
      <c r="P294" t="s">
        <v>155</v>
      </c>
      <c r="Q294" t="s">
        <v>300</v>
      </c>
    </row>
    <row r="295" spans="1:17" x14ac:dyDescent="0.25">
      <c r="A295" t="s">
        <v>21</v>
      </c>
      <c r="B295" t="s">
        <v>27</v>
      </c>
      <c r="C295" t="s">
        <v>48</v>
      </c>
      <c r="D295" t="s">
        <v>58</v>
      </c>
      <c r="E295">
        <v>110161</v>
      </c>
      <c r="F295">
        <v>16426</v>
      </c>
      <c r="G295" t="s">
        <v>67</v>
      </c>
      <c r="I295" t="s">
        <v>71</v>
      </c>
      <c r="J295" t="s">
        <v>72</v>
      </c>
      <c r="K295" t="s">
        <v>95</v>
      </c>
      <c r="L295" t="s">
        <v>120</v>
      </c>
      <c r="M295">
        <v>25</v>
      </c>
      <c r="N295">
        <v>23</v>
      </c>
      <c r="O295" t="s">
        <v>152</v>
      </c>
      <c r="P295" t="s">
        <v>156</v>
      </c>
      <c r="Q295" t="s">
        <v>189</v>
      </c>
    </row>
    <row r="296" spans="1:17" x14ac:dyDescent="0.25">
      <c r="A296" t="s">
        <v>19</v>
      </c>
      <c r="B296" t="s">
        <v>24</v>
      </c>
      <c r="C296" t="s">
        <v>47</v>
      </c>
      <c r="D296" t="s">
        <v>62</v>
      </c>
      <c r="E296">
        <v>96276</v>
      </c>
      <c r="F296">
        <v>0</v>
      </c>
      <c r="G296" t="s">
        <v>65</v>
      </c>
      <c r="J296" t="s">
        <v>80</v>
      </c>
      <c r="K296" t="s">
        <v>93</v>
      </c>
      <c r="L296" t="s">
        <v>93</v>
      </c>
      <c r="M296">
        <v>25</v>
      </c>
      <c r="N296">
        <v>25</v>
      </c>
      <c r="O296" t="s">
        <v>152</v>
      </c>
      <c r="P296" t="s">
        <v>154</v>
      </c>
      <c r="Q296" t="s">
        <v>224</v>
      </c>
    </row>
    <row r="297" spans="1:17" x14ac:dyDescent="0.25">
      <c r="A297" t="s">
        <v>19</v>
      </c>
      <c r="B297" t="s">
        <v>29</v>
      </c>
      <c r="C297" t="s">
        <v>39</v>
      </c>
      <c r="D297" t="s">
        <v>60</v>
      </c>
      <c r="E297">
        <v>53484</v>
      </c>
      <c r="F297">
        <v>1389</v>
      </c>
      <c r="G297" t="s">
        <v>65</v>
      </c>
      <c r="I297" t="s">
        <v>70</v>
      </c>
      <c r="J297" t="s">
        <v>78</v>
      </c>
      <c r="K297" t="s">
        <v>88</v>
      </c>
      <c r="L297" t="s">
        <v>128</v>
      </c>
      <c r="M297">
        <v>20</v>
      </c>
      <c r="N297">
        <v>20</v>
      </c>
      <c r="O297" t="s">
        <v>149</v>
      </c>
      <c r="P297" t="s">
        <v>154</v>
      </c>
      <c r="Q297" t="s">
        <v>189</v>
      </c>
    </row>
    <row r="298" spans="1:17" x14ac:dyDescent="0.25">
      <c r="A298" t="s">
        <v>19</v>
      </c>
      <c r="B298" t="s">
        <v>24</v>
      </c>
      <c r="C298" t="s">
        <v>40</v>
      </c>
      <c r="D298" t="s">
        <v>56</v>
      </c>
      <c r="E298">
        <v>992403</v>
      </c>
      <c r="F298">
        <v>101222</v>
      </c>
      <c r="G298" t="s">
        <v>66</v>
      </c>
      <c r="I298" t="s">
        <v>71</v>
      </c>
      <c r="J298" t="s">
        <v>77</v>
      </c>
      <c r="K298" t="s">
        <v>97</v>
      </c>
      <c r="L298" t="s">
        <v>122</v>
      </c>
      <c r="M298">
        <v>4</v>
      </c>
      <c r="N298">
        <v>2</v>
      </c>
      <c r="O298" t="s">
        <v>150</v>
      </c>
      <c r="P298" t="s">
        <v>157</v>
      </c>
      <c r="Q298" t="s">
        <v>227</v>
      </c>
    </row>
    <row r="299" spans="1:17" x14ac:dyDescent="0.25">
      <c r="A299" t="s">
        <v>19</v>
      </c>
      <c r="B299" t="s">
        <v>30</v>
      </c>
      <c r="C299" t="s">
        <v>44</v>
      </c>
      <c r="D299" t="s">
        <v>57</v>
      </c>
      <c r="E299">
        <v>95713</v>
      </c>
      <c r="F299">
        <v>0</v>
      </c>
      <c r="G299" t="s">
        <v>64</v>
      </c>
      <c r="I299" t="s">
        <v>70</v>
      </c>
      <c r="J299" t="s">
        <v>74</v>
      </c>
      <c r="K299" t="s">
        <v>84</v>
      </c>
      <c r="L299" t="s">
        <v>74</v>
      </c>
      <c r="M299">
        <v>6</v>
      </c>
      <c r="N299">
        <v>5</v>
      </c>
      <c r="O299" t="s">
        <v>150</v>
      </c>
      <c r="P299" t="s">
        <v>156</v>
      </c>
      <c r="Q299" t="s">
        <v>224</v>
      </c>
    </row>
    <row r="300" spans="1:17" x14ac:dyDescent="0.25">
      <c r="A300" t="s">
        <v>21</v>
      </c>
      <c r="B300" t="s">
        <v>31</v>
      </c>
      <c r="C300" t="s">
        <v>42</v>
      </c>
      <c r="D300" t="s">
        <v>57</v>
      </c>
      <c r="E300">
        <v>76563</v>
      </c>
      <c r="F300">
        <v>0</v>
      </c>
      <c r="G300" t="s">
        <v>65</v>
      </c>
      <c r="J300" t="s">
        <v>73</v>
      </c>
      <c r="K300" t="s">
        <v>102</v>
      </c>
      <c r="L300" t="s">
        <v>102</v>
      </c>
      <c r="M300">
        <v>15</v>
      </c>
      <c r="N300">
        <v>15</v>
      </c>
      <c r="O300" t="s">
        <v>153</v>
      </c>
      <c r="P300" t="s">
        <v>154</v>
      </c>
      <c r="Q300" t="s">
        <v>173</v>
      </c>
    </row>
    <row r="301" spans="1:17" x14ac:dyDescent="0.25">
      <c r="A301" t="s">
        <v>17</v>
      </c>
      <c r="B301" t="s">
        <v>24</v>
      </c>
      <c r="C301" t="s">
        <v>39</v>
      </c>
      <c r="D301" t="s">
        <v>61</v>
      </c>
      <c r="E301">
        <v>127282</v>
      </c>
      <c r="F301">
        <v>5313</v>
      </c>
      <c r="G301" t="s">
        <v>63</v>
      </c>
      <c r="I301" t="s">
        <v>56</v>
      </c>
      <c r="J301" t="s">
        <v>78</v>
      </c>
      <c r="K301" t="s">
        <v>105</v>
      </c>
      <c r="L301" t="s">
        <v>142</v>
      </c>
      <c r="M301">
        <v>8</v>
      </c>
      <c r="N301">
        <v>6</v>
      </c>
      <c r="O301" t="s">
        <v>151</v>
      </c>
      <c r="P301" t="s">
        <v>155</v>
      </c>
      <c r="Q301" t="s">
        <v>175</v>
      </c>
    </row>
    <row r="302" spans="1:17" x14ac:dyDescent="0.25">
      <c r="A302" t="s">
        <v>21</v>
      </c>
      <c r="B302" t="s">
        <v>31</v>
      </c>
      <c r="C302" t="s">
        <v>49</v>
      </c>
      <c r="D302" t="s">
        <v>57</v>
      </c>
      <c r="E302">
        <v>395158</v>
      </c>
      <c r="F302">
        <v>57560</v>
      </c>
      <c r="G302" t="s">
        <v>66</v>
      </c>
      <c r="I302" t="s">
        <v>56</v>
      </c>
      <c r="J302" t="s">
        <v>78</v>
      </c>
      <c r="K302" t="s">
        <v>109</v>
      </c>
      <c r="L302" t="s">
        <v>137</v>
      </c>
      <c r="M302">
        <v>9</v>
      </c>
      <c r="N302">
        <v>7</v>
      </c>
      <c r="O302" t="s">
        <v>153</v>
      </c>
      <c r="P302" t="s">
        <v>154</v>
      </c>
      <c r="Q302" t="s">
        <v>289</v>
      </c>
    </row>
    <row r="303" spans="1:17" x14ac:dyDescent="0.25">
      <c r="A303" t="s">
        <v>21</v>
      </c>
      <c r="B303" t="s">
        <v>33</v>
      </c>
      <c r="C303" t="s">
        <v>36</v>
      </c>
      <c r="D303" t="s">
        <v>57</v>
      </c>
      <c r="E303">
        <v>1140973</v>
      </c>
      <c r="F303">
        <v>17142</v>
      </c>
      <c r="G303" t="s">
        <v>66</v>
      </c>
      <c r="I303" t="s">
        <v>69</v>
      </c>
      <c r="J303" t="s">
        <v>75</v>
      </c>
      <c r="K303" t="s">
        <v>108</v>
      </c>
      <c r="L303" t="s">
        <v>135</v>
      </c>
      <c r="M303">
        <v>20</v>
      </c>
      <c r="N303">
        <v>20</v>
      </c>
      <c r="O303" t="s">
        <v>149</v>
      </c>
      <c r="P303" t="s">
        <v>156</v>
      </c>
      <c r="Q303" t="s">
        <v>169</v>
      </c>
    </row>
    <row r="304" spans="1:17" x14ac:dyDescent="0.25">
      <c r="A304" t="s">
        <v>20</v>
      </c>
      <c r="B304" t="s">
        <v>22</v>
      </c>
      <c r="C304" t="s">
        <v>50</v>
      </c>
      <c r="D304" t="s">
        <v>56</v>
      </c>
      <c r="E304">
        <v>719122</v>
      </c>
      <c r="F304">
        <v>0</v>
      </c>
      <c r="G304" t="s">
        <v>66</v>
      </c>
      <c r="I304" t="s">
        <v>69</v>
      </c>
      <c r="J304" t="s">
        <v>72</v>
      </c>
      <c r="K304" t="s">
        <v>82</v>
      </c>
      <c r="L304" t="s">
        <v>112</v>
      </c>
      <c r="M304">
        <v>7</v>
      </c>
      <c r="N304">
        <v>5</v>
      </c>
      <c r="O304" t="s">
        <v>149</v>
      </c>
      <c r="P304" t="s">
        <v>157</v>
      </c>
      <c r="Q304" t="s">
        <v>162</v>
      </c>
    </row>
    <row r="305" spans="1:17" x14ac:dyDescent="0.25">
      <c r="A305" t="s">
        <v>20</v>
      </c>
      <c r="B305" t="s">
        <v>31</v>
      </c>
      <c r="C305" t="s">
        <v>36</v>
      </c>
      <c r="E305">
        <v>1254226</v>
      </c>
      <c r="F305">
        <v>105289</v>
      </c>
      <c r="G305" t="s">
        <v>66</v>
      </c>
      <c r="J305" t="s">
        <v>76</v>
      </c>
      <c r="K305" t="s">
        <v>92</v>
      </c>
      <c r="L305" t="s">
        <v>119</v>
      </c>
      <c r="M305">
        <v>1</v>
      </c>
      <c r="N305">
        <v>1</v>
      </c>
      <c r="O305" t="s">
        <v>149</v>
      </c>
      <c r="P305" t="s">
        <v>154</v>
      </c>
      <c r="Q305" t="s">
        <v>301</v>
      </c>
    </row>
    <row r="306" spans="1:17" x14ac:dyDescent="0.25">
      <c r="A306" t="s">
        <v>19</v>
      </c>
      <c r="B306" t="s">
        <v>29</v>
      </c>
      <c r="C306" t="s">
        <v>47</v>
      </c>
      <c r="D306" t="s">
        <v>54</v>
      </c>
      <c r="E306">
        <v>88612</v>
      </c>
      <c r="F306">
        <v>7308</v>
      </c>
      <c r="G306" t="s">
        <v>67</v>
      </c>
      <c r="I306" t="s">
        <v>69</v>
      </c>
      <c r="J306" t="s">
        <v>74</v>
      </c>
      <c r="K306" t="s">
        <v>84</v>
      </c>
      <c r="L306" t="s">
        <v>74</v>
      </c>
      <c r="M306">
        <v>15</v>
      </c>
      <c r="N306">
        <v>12</v>
      </c>
      <c r="O306" t="s">
        <v>148</v>
      </c>
      <c r="P306" t="s">
        <v>156</v>
      </c>
      <c r="Q306" t="s">
        <v>165</v>
      </c>
    </row>
    <row r="307" spans="1:17" x14ac:dyDescent="0.25">
      <c r="A307" t="s">
        <v>20</v>
      </c>
      <c r="B307" t="s">
        <v>28</v>
      </c>
      <c r="C307" t="s">
        <v>36</v>
      </c>
      <c r="D307" t="s">
        <v>62</v>
      </c>
      <c r="E307">
        <v>59808</v>
      </c>
      <c r="F307">
        <v>8930</v>
      </c>
      <c r="G307" t="s">
        <v>64</v>
      </c>
      <c r="J307" t="s">
        <v>80</v>
      </c>
      <c r="K307" t="s">
        <v>106</v>
      </c>
      <c r="L307" t="s">
        <v>106</v>
      </c>
      <c r="M307">
        <v>5</v>
      </c>
      <c r="N307">
        <v>3</v>
      </c>
      <c r="O307" t="s">
        <v>149</v>
      </c>
      <c r="P307" t="s">
        <v>154</v>
      </c>
      <c r="Q307" t="s">
        <v>212</v>
      </c>
    </row>
    <row r="308" spans="1:17" x14ac:dyDescent="0.25">
      <c r="A308" t="s">
        <v>19</v>
      </c>
      <c r="B308" t="s">
        <v>26</v>
      </c>
      <c r="C308" t="s">
        <v>39</v>
      </c>
      <c r="D308" t="s">
        <v>55</v>
      </c>
      <c r="E308">
        <v>53113</v>
      </c>
      <c r="F308">
        <v>0</v>
      </c>
      <c r="G308" t="s">
        <v>67</v>
      </c>
      <c r="I308" t="s">
        <v>70</v>
      </c>
      <c r="J308" t="s">
        <v>73</v>
      </c>
      <c r="K308" t="s">
        <v>102</v>
      </c>
      <c r="L308" t="s">
        <v>102</v>
      </c>
      <c r="M308">
        <v>5</v>
      </c>
      <c r="N308">
        <v>5</v>
      </c>
      <c r="O308" t="s">
        <v>152</v>
      </c>
      <c r="P308" t="s">
        <v>154</v>
      </c>
      <c r="Q308" t="s">
        <v>294</v>
      </c>
    </row>
    <row r="309" spans="1:17" x14ac:dyDescent="0.25">
      <c r="A309" t="s">
        <v>20</v>
      </c>
      <c r="B309" t="s">
        <v>22</v>
      </c>
      <c r="C309" t="s">
        <v>39</v>
      </c>
      <c r="D309" t="s">
        <v>54</v>
      </c>
      <c r="E309">
        <v>37667</v>
      </c>
      <c r="F309">
        <v>0</v>
      </c>
      <c r="G309" t="s">
        <v>63</v>
      </c>
      <c r="I309" t="s">
        <v>70</v>
      </c>
      <c r="J309" t="s">
        <v>77</v>
      </c>
      <c r="K309" t="s">
        <v>110</v>
      </c>
      <c r="L309" t="s">
        <v>139</v>
      </c>
      <c r="M309">
        <v>1</v>
      </c>
      <c r="N309">
        <v>0</v>
      </c>
      <c r="O309" t="s">
        <v>149</v>
      </c>
      <c r="P309" t="s">
        <v>156</v>
      </c>
      <c r="Q309" t="s">
        <v>188</v>
      </c>
    </row>
    <row r="310" spans="1:17" x14ac:dyDescent="0.25">
      <c r="A310" t="s">
        <v>20</v>
      </c>
      <c r="B310" t="s">
        <v>23</v>
      </c>
      <c r="C310" t="s">
        <v>52</v>
      </c>
      <c r="D310" t="s">
        <v>57</v>
      </c>
      <c r="E310">
        <v>43072</v>
      </c>
      <c r="F310">
        <v>2747</v>
      </c>
      <c r="G310" t="s">
        <v>68</v>
      </c>
      <c r="I310" t="s">
        <v>56</v>
      </c>
      <c r="J310" t="s">
        <v>81</v>
      </c>
      <c r="K310" t="s">
        <v>103</v>
      </c>
      <c r="L310" t="s">
        <v>130</v>
      </c>
      <c r="M310">
        <v>5</v>
      </c>
      <c r="N310">
        <v>5</v>
      </c>
      <c r="O310" t="s">
        <v>150</v>
      </c>
      <c r="P310" t="s">
        <v>155</v>
      </c>
      <c r="Q310" t="s">
        <v>298</v>
      </c>
    </row>
    <row r="311" spans="1:17" x14ac:dyDescent="0.25">
      <c r="A311" t="s">
        <v>21</v>
      </c>
      <c r="B311" t="s">
        <v>35</v>
      </c>
      <c r="C311" t="s">
        <v>46</v>
      </c>
      <c r="D311" t="s">
        <v>61</v>
      </c>
      <c r="E311">
        <v>60183</v>
      </c>
      <c r="F311">
        <v>2550</v>
      </c>
      <c r="G311" t="s">
        <v>64</v>
      </c>
      <c r="I311" t="s">
        <v>70</v>
      </c>
      <c r="J311" t="s">
        <v>75</v>
      </c>
      <c r="K311" t="s">
        <v>108</v>
      </c>
      <c r="L311" t="s">
        <v>135</v>
      </c>
      <c r="M311">
        <v>8</v>
      </c>
      <c r="N311">
        <v>6</v>
      </c>
      <c r="O311" t="s">
        <v>151</v>
      </c>
      <c r="P311" t="s">
        <v>155</v>
      </c>
      <c r="Q311" t="s">
        <v>174</v>
      </c>
    </row>
    <row r="312" spans="1:17" x14ac:dyDescent="0.25">
      <c r="A312" t="s">
        <v>19</v>
      </c>
      <c r="B312" t="s">
        <v>27</v>
      </c>
      <c r="C312" t="s">
        <v>40</v>
      </c>
      <c r="D312" t="s">
        <v>57</v>
      </c>
      <c r="E312">
        <v>90896</v>
      </c>
      <c r="F312">
        <v>1272</v>
      </c>
      <c r="G312" t="s">
        <v>64</v>
      </c>
      <c r="I312" t="s">
        <v>56</v>
      </c>
      <c r="J312" t="s">
        <v>79</v>
      </c>
      <c r="K312" t="s">
        <v>91</v>
      </c>
      <c r="L312" t="s">
        <v>118</v>
      </c>
      <c r="M312">
        <v>8</v>
      </c>
      <c r="N312">
        <v>6</v>
      </c>
      <c r="O312" t="s">
        <v>150</v>
      </c>
      <c r="P312" t="s">
        <v>156</v>
      </c>
      <c r="Q312" t="s">
        <v>302</v>
      </c>
    </row>
    <row r="313" spans="1:17" x14ac:dyDescent="0.25">
      <c r="A313" t="s">
        <v>19</v>
      </c>
      <c r="B313" t="s">
        <v>34</v>
      </c>
      <c r="C313" t="s">
        <v>53</v>
      </c>
      <c r="D313" t="s">
        <v>59</v>
      </c>
      <c r="E313">
        <v>128606</v>
      </c>
      <c r="F313">
        <v>0</v>
      </c>
      <c r="G313" t="s">
        <v>64</v>
      </c>
      <c r="I313" t="s">
        <v>71</v>
      </c>
      <c r="J313" t="s">
        <v>79</v>
      </c>
      <c r="K313" t="s">
        <v>107</v>
      </c>
      <c r="L313" t="s">
        <v>134</v>
      </c>
      <c r="M313">
        <v>7</v>
      </c>
      <c r="N313">
        <v>4</v>
      </c>
      <c r="O313" t="s">
        <v>150</v>
      </c>
      <c r="P313" t="s">
        <v>157</v>
      </c>
      <c r="Q313" t="s">
        <v>188</v>
      </c>
    </row>
    <row r="314" spans="1:17" x14ac:dyDescent="0.25">
      <c r="A314" t="s">
        <v>20</v>
      </c>
      <c r="B314" t="s">
        <v>35</v>
      </c>
      <c r="C314" t="s">
        <v>38</v>
      </c>
      <c r="D314" t="s">
        <v>59</v>
      </c>
      <c r="E314">
        <v>49935</v>
      </c>
      <c r="F314">
        <v>0</v>
      </c>
      <c r="G314" t="s">
        <v>67</v>
      </c>
      <c r="J314" t="s">
        <v>78</v>
      </c>
      <c r="K314" t="s">
        <v>104</v>
      </c>
      <c r="L314" t="s">
        <v>131</v>
      </c>
      <c r="M314">
        <v>0</v>
      </c>
      <c r="N314">
        <v>0</v>
      </c>
      <c r="O314" t="s">
        <v>148</v>
      </c>
      <c r="P314" t="s">
        <v>155</v>
      </c>
      <c r="Q314" t="s">
        <v>178</v>
      </c>
    </row>
    <row r="315" spans="1:17" x14ac:dyDescent="0.25">
      <c r="A315" t="s">
        <v>19</v>
      </c>
      <c r="B315" t="s">
        <v>27</v>
      </c>
      <c r="C315" t="s">
        <v>49</v>
      </c>
      <c r="D315" t="s">
        <v>58</v>
      </c>
      <c r="E315">
        <v>997327</v>
      </c>
      <c r="F315">
        <v>0</v>
      </c>
      <c r="G315" t="s">
        <v>66</v>
      </c>
      <c r="I315" t="s">
        <v>71</v>
      </c>
      <c r="J315" t="s">
        <v>78</v>
      </c>
      <c r="K315" t="s">
        <v>105</v>
      </c>
      <c r="L315" t="s">
        <v>133</v>
      </c>
      <c r="M315">
        <v>10</v>
      </c>
      <c r="N315">
        <v>10</v>
      </c>
      <c r="O315" t="s">
        <v>152</v>
      </c>
      <c r="P315" t="s">
        <v>154</v>
      </c>
      <c r="Q315" t="s">
        <v>303</v>
      </c>
    </row>
    <row r="316" spans="1:17" x14ac:dyDescent="0.25">
      <c r="A316" t="s">
        <v>20</v>
      </c>
      <c r="B316" t="s">
        <v>34</v>
      </c>
      <c r="C316" t="s">
        <v>50</v>
      </c>
      <c r="D316" t="s">
        <v>55</v>
      </c>
      <c r="E316">
        <v>39161</v>
      </c>
      <c r="F316">
        <v>5805</v>
      </c>
      <c r="G316" t="s">
        <v>68</v>
      </c>
      <c r="I316" t="s">
        <v>70</v>
      </c>
      <c r="J316" t="s">
        <v>80</v>
      </c>
      <c r="K316" t="s">
        <v>93</v>
      </c>
      <c r="L316" t="s">
        <v>93</v>
      </c>
      <c r="M316">
        <v>7</v>
      </c>
      <c r="N316">
        <v>4</v>
      </c>
      <c r="O316" t="s">
        <v>150</v>
      </c>
      <c r="P316" t="s">
        <v>154</v>
      </c>
      <c r="Q316" t="s">
        <v>256</v>
      </c>
    </row>
    <row r="317" spans="1:17" x14ac:dyDescent="0.25">
      <c r="A317" t="s">
        <v>20</v>
      </c>
      <c r="B317" t="s">
        <v>26</v>
      </c>
      <c r="C317" t="s">
        <v>48</v>
      </c>
      <c r="D317" t="s">
        <v>60</v>
      </c>
      <c r="E317">
        <v>114253</v>
      </c>
      <c r="F317">
        <v>12461</v>
      </c>
      <c r="G317" t="s">
        <v>64</v>
      </c>
      <c r="I317" t="s">
        <v>71</v>
      </c>
      <c r="J317" t="s">
        <v>77</v>
      </c>
      <c r="K317" t="s">
        <v>111</v>
      </c>
      <c r="L317" t="s">
        <v>141</v>
      </c>
      <c r="M317">
        <v>7</v>
      </c>
      <c r="N317">
        <v>7</v>
      </c>
      <c r="O317" t="s">
        <v>153</v>
      </c>
      <c r="P317" t="s">
        <v>156</v>
      </c>
      <c r="Q317" t="s">
        <v>166</v>
      </c>
    </row>
    <row r="318" spans="1:17" x14ac:dyDescent="0.25">
      <c r="A318" t="s">
        <v>19</v>
      </c>
      <c r="B318" t="s">
        <v>35</v>
      </c>
      <c r="C318" t="s">
        <v>40</v>
      </c>
      <c r="D318" t="s">
        <v>61</v>
      </c>
      <c r="E318">
        <v>1226669</v>
      </c>
      <c r="F318">
        <v>2275</v>
      </c>
      <c r="G318" t="s">
        <v>66</v>
      </c>
      <c r="I318" t="s">
        <v>71</v>
      </c>
      <c r="J318" t="s">
        <v>75</v>
      </c>
      <c r="K318" t="s">
        <v>96</v>
      </c>
      <c r="L318" t="s">
        <v>121</v>
      </c>
      <c r="M318">
        <v>4</v>
      </c>
      <c r="N318">
        <v>4</v>
      </c>
      <c r="O318" t="s">
        <v>153</v>
      </c>
      <c r="P318" t="s">
        <v>157</v>
      </c>
      <c r="Q318" t="s">
        <v>166</v>
      </c>
    </row>
    <row r="319" spans="1:17" x14ac:dyDescent="0.25">
      <c r="A319" t="s">
        <v>21</v>
      </c>
      <c r="B319" t="s">
        <v>32</v>
      </c>
      <c r="C319" t="s">
        <v>44</v>
      </c>
      <c r="D319" t="s">
        <v>59</v>
      </c>
      <c r="E319">
        <v>120697</v>
      </c>
      <c r="F319">
        <v>6909</v>
      </c>
      <c r="G319" t="s">
        <v>67</v>
      </c>
      <c r="I319" t="s">
        <v>56</v>
      </c>
      <c r="J319" t="s">
        <v>78</v>
      </c>
      <c r="K319" t="s">
        <v>105</v>
      </c>
      <c r="L319" t="s">
        <v>142</v>
      </c>
      <c r="M319">
        <v>20</v>
      </c>
      <c r="N319">
        <v>18</v>
      </c>
      <c r="O319" t="s">
        <v>151</v>
      </c>
      <c r="P319" t="s">
        <v>157</v>
      </c>
      <c r="Q319" t="s">
        <v>189</v>
      </c>
    </row>
    <row r="320" spans="1:17" x14ac:dyDescent="0.25">
      <c r="A320" t="s">
        <v>19</v>
      </c>
      <c r="B320" t="s">
        <v>30</v>
      </c>
      <c r="C320" t="s">
        <v>50</v>
      </c>
      <c r="D320" t="s">
        <v>60</v>
      </c>
      <c r="E320">
        <v>43569</v>
      </c>
      <c r="F320">
        <v>555</v>
      </c>
      <c r="G320" t="s">
        <v>68</v>
      </c>
      <c r="I320" t="s">
        <v>56</v>
      </c>
      <c r="J320" t="s">
        <v>74</v>
      </c>
      <c r="K320" t="s">
        <v>84</v>
      </c>
      <c r="L320" t="s">
        <v>74</v>
      </c>
      <c r="M320">
        <v>10</v>
      </c>
      <c r="N320">
        <v>7</v>
      </c>
      <c r="O320" t="s">
        <v>148</v>
      </c>
      <c r="P320" t="s">
        <v>154</v>
      </c>
      <c r="Q320" t="s">
        <v>169</v>
      </c>
    </row>
    <row r="321" spans="1:17" x14ac:dyDescent="0.25">
      <c r="A321" t="s">
        <v>20</v>
      </c>
      <c r="B321" t="s">
        <v>26</v>
      </c>
      <c r="C321" t="s">
        <v>44</v>
      </c>
      <c r="D321" t="s">
        <v>54</v>
      </c>
      <c r="E321">
        <v>51318</v>
      </c>
      <c r="F321">
        <v>3935</v>
      </c>
      <c r="G321" t="s">
        <v>64</v>
      </c>
      <c r="I321" t="s">
        <v>70</v>
      </c>
      <c r="J321" t="s">
        <v>77</v>
      </c>
      <c r="K321" t="s">
        <v>97</v>
      </c>
      <c r="L321" t="s">
        <v>122</v>
      </c>
      <c r="M321">
        <v>0</v>
      </c>
      <c r="N321">
        <v>0</v>
      </c>
      <c r="O321" t="s">
        <v>150</v>
      </c>
      <c r="P321" t="s">
        <v>154</v>
      </c>
      <c r="Q321" t="s">
        <v>304</v>
      </c>
    </row>
    <row r="322" spans="1:17" x14ac:dyDescent="0.25">
      <c r="A322" t="s">
        <v>17</v>
      </c>
      <c r="B322" t="s">
        <v>29</v>
      </c>
      <c r="C322" t="s">
        <v>47</v>
      </c>
      <c r="D322" t="s">
        <v>59</v>
      </c>
      <c r="E322">
        <v>57303</v>
      </c>
      <c r="F322">
        <v>8886</v>
      </c>
      <c r="G322" t="s">
        <v>64</v>
      </c>
      <c r="J322" t="s">
        <v>78</v>
      </c>
      <c r="K322" t="s">
        <v>109</v>
      </c>
      <c r="L322" t="s">
        <v>137</v>
      </c>
      <c r="M322">
        <v>8</v>
      </c>
      <c r="N322">
        <v>8</v>
      </c>
      <c r="O322" t="s">
        <v>152</v>
      </c>
      <c r="P322" t="s">
        <v>154</v>
      </c>
      <c r="Q322" t="s">
        <v>305</v>
      </c>
    </row>
    <row r="323" spans="1:17" x14ac:dyDescent="0.25">
      <c r="A323" t="s">
        <v>17</v>
      </c>
      <c r="B323" t="s">
        <v>27</v>
      </c>
      <c r="C323" t="s">
        <v>49</v>
      </c>
      <c r="D323" t="s">
        <v>57</v>
      </c>
      <c r="E323">
        <v>1148982</v>
      </c>
      <c r="F323">
        <v>11461</v>
      </c>
      <c r="G323" t="s">
        <v>66</v>
      </c>
      <c r="I323" t="s">
        <v>56</v>
      </c>
      <c r="J323" t="s">
        <v>72</v>
      </c>
      <c r="K323" t="s">
        <v>95</v>
      </c>
      <c r="L323" t="s">
        <v>120</v>
      </c>
      <c r="M323">
        <v>10</v>
      </c>
      <c r="N323">
        <v>10</v>
      </c>
      <c r="O323" t="s">
        <v>152</v>
      </c>
      <c r="P323" t="s">
        <v>156</v>
      </c>
      <c r="Q323" t="s">
        <v>306</v>
      </c>
    </row>
    <row r="324" spans="1:17" x14ac:dyDescent="0.25">
      <c r="A324" t="s">
        <v>20</v>
      </c>
      <c r="B324" t="s">
        <v>26</v>
      </c>
      <c r="C324" t="s">
        <v>40</v>
      </c>
      <c r="E324">
        <v>21806</v>
      </c>
      <c r="F324">
        <v>1436</v>
      </c>
      <c r="G324" t="s">
        <v>63</v>
      </c>
      <c r="J324" t="s">
        <v>77</v>
      </c>
      <c r="K324" t="s">
        <v>111</v>
      </c>
      <c r="L324" t="s">
        <v>141</v>
      </c>
      <c r="M324">
        <v>5</v>
      </c>
      <c r="N324">
        <v>2</v>
      </c>
      <c r="O324" t="s">
        <v>149</v>
      </c>
      <c r="P324" t="s">
        <v>156</v>
      </c>
      <c r="Q324" t="s">
        <v>174</v>
      </c>
    </row>
    <row r="325" spans="1:17" x14ac:dyDescent="0.25">
      <c r="A325" t="s">
        <v>21</v>
      </c>
      <c r="B325" t="s">
        <v>26</v>
      </c>
      <c r="C325" t="s">
        <v>50</v>
      </c>
      <c r="D325" t="s">
        <v>62</v>
      </c>
      <c r="E325">
        <v>915667</v>
      </c>
      <c r="F325">
        <v>219472</v>
      </c>
      <c r="G325" t="s">
        <v>66</v>
      </c>
      <c r="I325" t="s">
        <v>69</v>
      </c>
      <c r="J325" t="s">
        <v>78</v>
      </c>
      <c r="K325" t="s">
        <v>105</v>
      </c>
      <c r="L325" t="s">
        <v>133</v>
      </c>
      <c r="M325">
        <v>12</v>
      </c>
      <c r="N325">
        <v>10</v>
      </c>
      <c r="O325" t="s">
        <v>150</v>
      </c>
      <c r="P325" t="s">
        <v>156</v>
      </c>
      <c r="Q325" t="s">
        <v>307</v>
      </c>
    </row>
    <row r="326" spans="1:17" x14ac:dyDescent="0.25">
      <c r="A326" t="s">
        <v>17</v>
      </c>
      <c r="B326" t="s">
        <v>30</v>
      </c>
      <c r="C326" t="s">
        <v>39</v>
      </c>
      <c r="D326" t="s">
        <v>60</v>
      </c>
      <c r="E326">
        <v>42800</v>
      </c>
      <c r="F326">
        <v>752</v>
      </c>
      <c r="G326" t="s">
        <v>64</v>
      </c>
      <c r="I326" t="s">
        <v>70</v>
      </c>
      <c r="J326" t="s">
        <v>76</v>
      </c>
      <c r="K326" t="s">
        <v>86</v>
      </c>
      <c r="L326" t="s">
        <v>115</v>
      </c>
      <c r="M326">
        <v>10</v>
      </c>
      <c r="N326">
        <v>9</v>
      </c>
      <c r="O326" t="s">
        <v>150</v>
      </c>
      <c r="P326" t="s">
        <v>154</v>
      </c>
      <c r="Q326" t="s">
        <v>308</v>
      </c>
    </row>
    <row r="327" spans="1:17" x14ac:dyDescent="0.25">
      <c r="A327" t="s">
        <v>20</v>
      </c>
      <c r="B327" t="s">
        <v>25</v>
      </c>
      <c r="C327" t="s">
        <v>51</v>
      </c>
      <c r="E327">
        <v>1311380</v>
      </c>
      <c r="F327">
        <v>292934</v>
      </c>
      <c r="G327" t="s">
        <v>66</v>
      </c>
      <c r="I327" t="s">
        <v>69</v>
      </c>
      <c r="J327" t="s">
        <v>81</v>
      </c>
      <c r="K327" t="s">
        <v>98</v>
      </c>
      <c r="L327" t="s">
        <v>123</v>
      </c>
      <c r="M327">
        <v>4</v>
      </c>
      <c r="N327">
        <v>2</v>
      </c>
      <c r="O327" t="s">
        <v>151</v>
      </c>
      <c r="P327" t="s">
        <v>154</v>
      </c>
      <c r="Q327" t="s">
        <v>309</v>
      </c>
    </row>
    <row r="328" spans="1:17" x14ac:dyDescent="0.25">
      <c r="A328" t="s">
        <v>20</v>
      </c>
      <c r="B328" t="s">
        <v>27</v>
      </c>
      <c r="C328" t="s">
        <v>43</v>
      </c>
      <c r="D328" t="s">
        <v>55</v>
      </c>
      <c r="E328">
        <v>55670</v>
      </c>
      <c r="F328">
        <v>5562</v>
      </c>
      <c r="G328" t="s">
        <v>63</v>
      </c>
      <c r="I328" t="s">
        <v>70</v>
      </c>
      <c r="J328" t="s">
        <v>80</v>
      </c>
      <c r="K328" t="s">
        <v>106</v>
      </c>
      <c r="L328" t="s">
        <v>106</v>
      </c>
      <c r="M328">
        <v>3</v>
      </c>
      <c r="N328">
        <v>0</v>
      </c>
      <c r="O328" t="s">
        <v>152</v>
      </c>
      <c r="P328" t="s">
        <v>157</v>
      </c>
      <c r="Q328" t="s">
        <v>190</v>
      </c>
    </row>
    <row r="329" spans="1:17" x14ac:dyDescent="0.25">
      <c r="A329" t="s">
        <v>17</v>
      </c>
      <c r="B329" t="s">
        <v>23</v>
      </c>
      <c r="C329" t="s">
        <v>52</v>
      </c>
      <c r="D329" t="s">
        <v>61</v>
      </c>
      <c r="E329">
        <v>27453</v>
      </c>
      <c r="F329">
        <v>645</v>
      </c>
      <c r="G329" t="s">
        <v>68</v>
      </c>
      <c r="I329" t="s">
        <v>69</v>
      </c>
      <c r="J329" t="s">
        <v>74</v>
      </c>
      <c r="K329" t="s">
        <v>84</v>
      </c>
      <c r="L329" t="s">
        <v>74</v>
      </c>
      <c r="M329">
        <v>20</v>
      </c>
      <c r="N329">
        <v>20</v>
      </c>
      <c r="O329" t="s">
        <v>148</v>
      </c>
      <c r="P329" t="s">
        <v>157</v>
      </c>
      <c r="Q329" t="s">
        <v>212</v>
      </c>
    </row>
    <row r="330" spans="1:17" x14ac:dyDescent="0.25">
      <c r="A330" t="s">
        <v>21</v>
      </c>
      <c r="B330" t="s">
        <v>30</v>
      </c>
      <c r="C330" t="s">
        <v>41</v>
      </c>
      <c r="D330" t="s">
        <v>56</v>
      </c>
      <c r="E330">
        <v>935398</v>
      </c>
      <c r="F330">
        <v>0</v>
      </c>
      <c r="G330" t="s">
        <v>66</v>
      </c>
      <c r="I330" t="s">
        <v>71</v>
      </c>
      <c r="J330" t="s">
        <v>80</v>
      </c>
      <c r="K330" t="s">
        <v>106</v>
      </c>
      <c r="L330" t="s">
        <v>106</v>
      </c>
      <c r="M330">
        <v>20</v>
      </c>
      <c r="N330">
        <v>20</v>
      </c>
      <c r="O330" t="s">
        <v>151</v>
      </c>
      <c r="P330" t="s">
        <v>155</v>
      </c>
      <c r="Q330" t="s">
        <v>193</v>
      </c>
    </row>
    <row r="331" spans="1:17" x14ac:dyDescent="0.25">
      <c r="A331" t="s">
        <v>17</v>
      </c>
      <c r="B331" t="s">
        <v>29</v>
      </c>
      <c r="C331" t="s">
        <v>36</v>
      </c>
      <c r="D331" t="s">
        <v>62</v>
      </c>
      <c r="E331">
        <v>78333</v>
      </c>
      <c r="F331">
        <v>0</v>
      </c>
      <c r="G331" t="s">
        <v>65</v>
      </c>
      <c r="I331" t="s">
        <v>70</v>
      </c>
      <c r="J331" t="s">
        <v>78</v>
      </c>
      <c r="K331" t="s">
        <v>90</v>
      </c>
      <c r="L331" t="s">
        <v>138</v>
      </c>
      <c r="M331">
        <v>9</v>
      </c>
      <c r="N331">
        <v>8</v>
      </c>
      <c r="O331" t="s">
        <v>152</v>
      </c>
      <c r="P331" t="s">
        <v>157</v>
      </c>
      <c r="Q331" t="s">
        <v>212</v>
      </c>
    </row>
    <row r="332" spans="1:17" x14ac:dyDescent="0.25">
      <c r="A332" t="s">
        <v>21</v>
      </c>
      <c r="B332" t="s">
        <v>26</v>
      </c>
      <c r="C332" t="s">
        <v>45</v>
      </c>
      <c r="D332" t="s">
        <v>54</v>
      </c>
      <c r="E332">
        <v>80894</v>
      </c>
      <c r="F332">
        <v>6586</v>
      </c>
      <c r="G332" t="s">
        <v>68</v>
      </c>
      <c r="I332" t="s">
        <v>71</v>
      </c>
      <c r="J332" t="s">
        <v>74</v>
      </c>
      <c r="K332" t="s">
        <v>84</v>
      </c>
      <c r="L332" t="s">
        <v>74</v>
      </c>
      <c r="M332">
        <v>25</v>
      </c>
      <c r="N332">
        <v>25</v>
      </c>
      <c r="O332" t="s">
        <v>149</v>
      </c>
      <c r="P332" t="s">
        <v>155</v>
      </c>
      <c r="Q332" t="s">
        <v>174</v>
      </c>
    </row>
    <row r="333" spans="1:17" x14ac:dyDescent="0.25">
      <c r="A333" t="s">
        <v>18</v>
      </c>
      <c r="B333" t="s">
        <v>29</v>
      </c>
      <c r="C333" t="s">
        <v>38</v>
      </c>
      <c r="D333" t="s">
        <v>57</v>
      </c>
      <c r="E333">
        <v>56903</v>
      </c>
      <c r="F333">
        <v>0</v>
      </c>
      <c r="G333" t="s">
        <v>68</v>
      </c>
      <c r="I333" t="s">
        <v>69</v>
      </c>
      <c r="J333" t="s">
        <v>79</v>
      </c>
      <c r="K333" t="s">
        <v>91</v>
      </c>
      <c r="L333" t="s">
        <v>118</v>
      </c>
      <c r="M333">
        <v>1</v>
      </c>
      <c r="N333">
        <v>0</v>
      </c>
      <c r="O333" t="s">
        <v>150</v>
      </c>
      <c r="P333" t="s">
        <v>155</v>
      </c>
      <c r="Q333" t="s">
        <v>169</v>
      </c>
    </row>
    <row r="334" spans="1:17" x14ac:dyDescent="0.25">
      <c r="A334" t="s">
        <v>19</v>
      </c>
      <c r="B334" t="s">
        <v>22</v>
      </c>
      <c r="C334" t="s">
        <v>42</v>
      </c>
      <c r="D334" t="s">
        <v>55</v>
      </c>
      <c r="E334">
        <v>87297</v>
      </c>
      <c r="F334">
        <v>8964</v>
      </c>
      <c r="G334" t="s">
        <v>68</v>
      </c>
      <c r="I334" t="s">
        <v>71</v>
      </c>
      <c r="J334" t="s">
        <v>81</v>
      </c>
      <c r="K334" t="s">
        <v>103</v>
      </c>
      <c r="L334" t="s">
        <v>140</v>
      </c>
      <c r="M334">
        <v>15</v>
      </c>
      <c r="N334">
        <v>15</v>
      </c>
      <c r="O334" t="s">
        <v>152</v>
      </c>
      <c r="P334" t="s">
        <v>156</v>
      </c>
      <c r="Q334" t="s">
        <v>188</v>
      </c>
    </row>
    <row r="335" spans="1:17" x14ac:dyDescent="0.25">
      <c r="A335" t="s">
        <v>20</v>
      </c>
      <c r="B335" t="s">
        <v>28</v>
      </c>
      <c r="C335" t="s">
        <v>50</v>
      </c>
      <c r="D335" t="s">
        <v>56</v>
      </c>
      <c r="E335">
        <v>137568</v>
      </c>
      <c r="F335">
        <v>2914</v>
      </c>
      <c r="G335" t="s">
        <v>64</v>
      </c>
      <c r="I335" t="s">
        <v>69</v>
      </c>
      <c r="J335" t="s">
        <v>79</v>
      </c>
      <c r="K335" t="s">
        <v>91</v>
      </c>
      <c r="L335" t="s">
        <v>118</v>
      </c>
      <c r="M335">
        <v>5</v>
      </c>
      <c r="N335">
        <v>5</v>
      </c>
      <c r="O335" t="s">
        <v>151</v>
      </c>
      <c r="P335" t="s">
        <v>156</v>
      </c>
      <c r="Q335" t="s">
        <v>162</v>
      </c>
    </row>
    <row r="336" spans="1:17" x14ac:dyDescent="0.25">
      <c r="A336" t="s">
        <v>17</v>
      </c>
      <c r="B336" t="s">
        <v>31</v>
      </c>
      <c r="C336" t="s">
        <v>43</v>
      </c>
      <c r="D336" t="s">
        <v>54</v>
      </c>
      <c r="E336">
        <v>213155</v>
      </c>
      <c r="F336">
        <v>52675</v>
      </c>
      <c r="G336" t="s">
        <v>67</v>
      </c>
      <c r="I336" t="s">
        <v>70</v>
      </c>
      <c r="J336" t="s">
        <v>78</v>
      </c>
      <c r="K336" t="s">
        <v>104</v>
      </c>
      <c r="L336" t="s">
        <v>131</v>
      </c>
      <c r="M336">
        <v>9</v>
      </c>
      <c r="N336">
        <v>8</v>
      </c>
      <c r="O336" t="s">
        <v>151</v>
      </c>
      <c r="P336" t="s">
        <v>154</v>
      </c>
      <c r="Q336" t="s">
        <v>212</v>
      </c>
    </row>
    <row r="337" spans="1:17" x14ac:dyDescent="0.25">
      <c r="A337" t="s">
        <v>19</v>
      </c>
      <c r="B337" t="s">
        <v>30</v>
      </c>
      <c r="C337" t="s">
        <v>37</v>
      </c>
      <c r="D337" t="s">
        <v>57</v>
      </c>
      <c r="E337">
        <v>43540</v>
      </c>
      <c r="F337">
        <v>5668</v>
      </c>
      <c r="G337" t="s">
        <v>68</v>
      </c>
      <c r="J337" t="s">
        <v>72</v>
      </c>
      <c r="K337" t="s">
        <v>82</v>
      </c>
      <c r="L337" t="s">
        <v>112</v>
      </c>
      <c r="M337">
        <v>7</v>
      </c>
      <c r="N337">
        <v>7</v>
      </c>
      <c r="O337" t="s">
        <v>153</v>
      </c>
      <c r="P337" t="s">
        <v>157</v>
      </c>
      <c r="Q337" t="s">
        <v>310</v>
      </c>
    </row>
    <row r="338" spans="1:17" x14ac:dyDescent="0.25">
      <c r="A338" t="s">
        <v>20</v>
      </c>
      <c r="B338" t="s">
        <v>22</v>
      </c>
      <c r="C338" t="s">
        <v>36</v>
      </c>
      <c r="D338" t="s">
        <v>59</v>
      </c>
      <c r="E338">
        <v>71614</v>
      </c>
      <c r="F338">
        <v>4649</v>
      </c>
      <c r="G338" t="s">
        <v>64</v>
      </c>
      <c r="I338" t="s">
        <v>71</v>
      </c>
      <c r="J338" t="s">
        <v>74</v>
      </c>
      <c r="K338" t="s">
        <v>84</v>
      </c>
      <c r="L338" t="s">
        <v>74</v>
      </c>
      <c r="M338">
        <v>5</v>
      </c>
      <c r="N338">
        <v>4</v>
      </c>
      <c r="O338" t="s">
        <v>152</v>
      </c>
      <c r="P338" t="s">
        <v>157</v>
      </c>
      <c r="Q338" t="s">
        <v>167</v>
      </c>
    </row>
    <row r="339" spans="1:17" x14ac:dyDescent="0.25">
      <c r="A339" t="s">
        <v>20</v>
      </c>
      <c r="B339" t="s">
        <v>22</v>
      </c>
      <c r="C339" t="s">
        <v>47</v>
      </c>
      <c r="E339">
        <v>1212737</v>
      </c>
      <c r="F339">
        <v>5538</v>
      </c>
      <c r="G339" t="s">
        <v>66</v>
      </c>
      <c r="J339" t="s">
        <v>80</v>
      </c>
      <c r="K339" t="s">
        <v>106</v>
      </c>
      <c r="L339" t="s">
        <v>106</v>
      </c>
      <c r="M339">
        <v>4</v>
      </c>
      <c r="N339">
        <v>4</v>
      </c>
      <c r="O339" t="s">
        <v>148</v>
      </c>
      <c r="P339" t="s">
        <v>157</v>
      </c>
      <c r="Q339" t="s">
        <v>311</v>
      </c>
    </row>
    <row r="340" spans="1:17" x14ac:dyDescent="0.25">
      <c r="A340" t="s">
        <v>19</v>
      </c>
      <c r="B340" t="s">
        <v>23</v>
      </c>
      <c r="C340" t="s">
        <v>37</v>
      </c>
      <c r="D340" t="s">
        <v>57</v>
      </c>
      <c r="E340">
        <v>108620</v>
      </c>
      <c r="F340">
        <v>1353</v>
      </c>
      <c r="G340" t="s">
        <v>65</v>
      </c>
      <c r="I340" t="s">
        <v>71</v>
      </c>
      <c r="J340" t="s">
        <v>80</v>
      </c>
      <c r="K340" t="s">
        <v>93</v>
      </c>
      <c r="L340" t="s">
        <v>93</v>
      </c>
      <c r="M340">
        <v>4</v>
      </c>
      <c r="N340">
        <v>4</v>
      </c>
      <c r="O340" t="s">
        <v>152</v>
      </c>
      <c r="P340" t="s">
        <v>154</v>
      </c>
      <c r="Q340" t="s">
        <v>312</v>
      </c>
    </row>
    <row r="341" spans="1:17" x14ac:dyDescent="0.25">
      <c r="A341" t="s">
        <v>17</v>
      </c>
      <c r="B341" t="s">
        <v>29</v>
      </c>
      <c r="C341" t="s">
        <v>50</v>
      </c>
      <c r="D341" t="s">
        <v>61</v>
      </c>
      <c r="E341">
        <v>20372</v>
      </c>
      <c r="F341">
        <v>0</v>
      </c>
      <c r="G341" t="s">
        <v>65</v>
      </c>
      <c r="I341" t="s">
        <v>70</v>
      </c>
      <c r="J341" t="s">
        <v>73</v>
      </c>
      <c r="K341" t="s">
        <v>83</v>
      </c>
      <c r="L341" t="s">
        <v>113</v>
      </c>
      <c r="M341">
        <v>9</v>
      </c>
      <c r="N341">
        <v>8</v>
      </c>
      <c r="O341" t="s">
        <v>153</v>
      </c>
      <c r="P341" t="s">
        <v>157</v>
      </c>
      <c r="Q341" t="s">
        <v>313</v>
      </c>
    </row>
    <row r="342" spans="1:17" x14ac:dyDescent="0.25">
      <c r="A342" t="s">
        <v>20</v>
      </c>
      <c r="B342" t="s">
        <v>35</v>
      </c>
      <c r="C342" t="s">
        <v>44</v>
      </c>
      <c r="D342" t="s">
        <v>54</v>
      </c>
      <c r="E342">
        <v>100658</v>
      </c>
      <c r="F342">
        <v>0</v>
      </c>
      <c r="G342" t="s">
        <v>64</v>
      </c>
      <c r="I342" t="s">
        <v>69</v>
      </c>
      <c r="J342" t="s">
        <v>77</v>
      </c>
      <c r="K342" t="s">
        <v>111</v>
      </c>
      <c r="L342" t="s">
        <v>141</v>
      </c>
      <c r="M342">
        <v>1</v>
      </c>
      <c r="N342">
        <v>1</v>
      </c>
      <c r="O342" t="s">
        <v>153</v>
      </c>
      <c r="P342" t="s">
        <v>154</v>
      </c>
      <c r="Q342" t="s">
        <v>314</v>
      </c>
    </row>
    <row r="343" spans="1:17" x14ac:dyDescent="0.25">
      <c r="A343" t="s">
        <v>19</v>
      </c>
      <c r="B343" t="s">
        <v>28</v>
      </c>
      <c r="C343" t="s">
        <v>49</v>
      </c>
      <c r="D343" t="s">
        <v>60</v>
      </c>
      <c r="E343">
        <v>87418</v>
      </c>
      <c r="F343">
        <v>10486</v>
      </c>
      <c r="G343" t="s">
        <v>68</v>
      </c>
      <c r="J343" t="s">
        <v>74</v>
      </c>
      <c r="K343" t="s">
        <v>84</v>
      </c>
      <c r="L343" t="s">
        <v>74</v>
      </c>
      <c r="M343">
        <v>3</v>
      </c>
      <c r="N343">
        <v>3</v>
      </c>
      <c r="O343" t="s">
        <v>149</v>
      </c>
      <c r="P343" t="s">
        <v>155</v>
      </c>
      <c r="Q343" t="s">
        <v>315</v>
      </c>
    </row>
    <row r="344" spans="1:17" x14ac:dyDescent="0.25">
      <c r="A344" t="s">
        <v>19</v>
      </c>
      <c r="B344" t="s">
        <v>25</v>
      </c>
      <c r="C344" t="s">
        <v>46</v>
      </c>
      <c r="D344" t="s">
        <v>57</v>
      </c>
      <c r="E344">
        <v>34924</v>
      </c>
      <c r="F344">
        <v>5205</v>
      </c>
      <c r="G344" t="s">
        <v>68</v>
      </c>
      <c r="I344" t="s">
        <v>69</v>
      </c>
      <c r="J344" t="s">
        <v>75</v>
      </c>
      <c r="K344" t="s">
        <v>108</v>
      </c>
      <c r="L344" t="s">
        <v>135</v>
      </c>
      <c r="M344">
        <v>15</v>
      </c>
      <c r="N344">
        <v>15</v>
      </c>
      <c r="O344" t="s">
        <v>148</v>
      </c>
      <c r="P344" t="s">
        <v>156</v>
      </c>
      <c r="Q344" t="s">
        <v>162</v>
      </c>
    </row>
    <row r="345" spans="1:17" x14ac:dyDescent="0.25">
      <c r="A345" t="s">
        <v>19</v>
      </c>
      <c r="B345" t="s">
        <v>22</v>
      </c>
      <c r="C345" t="s">
        <v>46</v>
      </c>
      <c r="D345" t="s">
        <v>61</v>
      </c>
      <c r="E345">
        <v>19650</v>
      </c>
      <c r="F345">
        <v>447</v>
      </c>
      <c r="G345" t="s">
        <v>67</v>
      </c>
      <c r="J345" t="s">
        <v>80</v>
      </c>
      <c r="K345" t="s">
        <v>106</v>
      </c>
      <c r="L345" t="s">
        <v>106</v>
      </c>
      <c r="M345">
        <v>7</v>
      </c>
      <c r="N345">
        <v>4</v>
      </c>
      <c r="O345" t="s">
        <v>150</v>
      </c>
      <c r="P345" t="s">
        <v>156</v>
      </c>
      <c r="Q345" t="s">
        <v>171</v>
      </c>
    </row>
    <row r="346" spans="1:17" x14ac:dyDescent="0.25">
      <c r="A346" t="s">
        <v>20</v>
      </c>
      <c r="B346" t="s">
        <v>32</v>
      </c>
      <c r="C346" t="s">
        <v>44</v>
      </c>
      <c r="D346" t="s">
        <v>58</v>
      </c>
      <c r="E346">
        <v>92541</v>
      </c>
      <c r="F346">
        <v>969</v>
      </c>
      <c r="G346" t="s">
        <v>63</v>
      </c>
      <c r="I346" t="s">
        <v>69</v>
      </c>
      <c r="J346" t="s">
        <v>80</v>
      </c>
      <c r="K346" t="s">
        <v>106</v>
      </c>
      <c r="L346" t="s">
        <v>106</v>
      </c>
      <c r="M346">
        <v>1</v>
      </c>
      <c r="N346">
        <v>1</v>
      </c>
      <c r="O346" t="s">
        <v>152</v>
      </c>
      <c r="P346" t="s">
        <v>154</v>
      </c>
      <c r="Q346" t="s">
        <v>188</v>
      </c>
    </row>
    <row r="347" spans="1:17" x14ac:dyDescent="0.25">
      <c r="A347" t="s">
        <v>19</v>
      </c>
      <c r="B347" t="s">
        <v>35</v>
      </c>
      <c r="C347" t="s">
        <v>51</v>
      </c>
      <c r="D347" t="s">
        <v>62</v>
      </c>
      <c r="E347">
        <v>66737</v>
      </c>
      <c r="F347">
        <v>3269</v>
      </c>
      <c r="G347" t="s">
        <v>63</v>
      </c>
      <c r="I347" t="s">
        <v>71</v>
      </c>
      <c r="J347" t="s">
        <v>74</v>
      </c>
      <c r="K347" t="s">
        <v>84</v>
      </c>
      <c r="L347" t="s">
        <v>74</v>
      </c>
      <c r="M347">
        <v>5</v>
      </c>
      <c r="N347">
        <v>5</v>
      </c>
      <c r="O347" t="s">
        <v>149</v>
      </c>
      <c r="P347" t="s">
        <v>154</v>
      </c>
      <c r="Q347" t="s">
        <v>316</v>
      </c>
    </row>
    <row r="348" spans="1:17" x14ac:dyDescent="0.25">
      <c r="A348" t="s">
        <v>21</v>
      </c>
      <c r="B348" t="s">
        <v>31</v>
      </c>
      <c r="C348" t="s">
        <v>43</v>
      </c>
      <c r="E348">
        <v>1215015</v>
      </c>
      <c r="F348">
        <v>218001</v>
      </c>
      <c r="G348" t="s">
        <v>66</v>
      </c>
      <c r="J348" t="s">
        <v>75</v>
      </c>
      <c r="K348" t="s">
        <v>85</v>
      </c>
      <c r="L348" t="s">
        <v>114</v>
      </c>
      <c r="M348">
        <v>20</v>
      </c>
      <c r="N348">
        <v>17</v>
      </c>
      <c r="O348" t="s">
        <v>150</v>
      </c>
      <c r="P348" t="s">
        <v>154</v>
      </c>
      <c r="Q348" t="s">
        <v>317</v>
      </c>
    </row>
    <row r="349" spans="1:17" x14ac:dyDescent="0.25">
      <c r="A349" t="s">
        <v>21</v>
      </c>
      <c r="B349" t="s">
        <v>24</v>
      </c>
      <c r="C349" t="s">
        <v>43</v>
      </c>
      <c r="D349" t="s">
        <v>54</v>
      </c>
      <c r="E349">
        <v>61340</v>
      </c>
      <c r="F349">
        <v>8040</v>
      </c>
      <c r="G349" t="s">
        <v>63</v>
      </c>
      <c r="I349" t="s">
        <v>70</v>
      </c>
      <c r="J349" t="s">
        <v>79</v>
      </c>
      <c r="K349" t="s">
        <v>91</v>
      </c>
      <c r="L349" t="s">
        <v>118</v>
      </c>
      <c r="M349">
        <v>9</v>
      </c>
      <c r="N349">
        <v>9</v>
      </c>
      <c r="O349" t="s">
        <v>151</v>
      </c>
      <c r="P349" t="s">
        <v>156</v>
      </c>
      <c r="Q349" t="s">
        <v>165</v>
      </c>
    </row>
    <row r="350" spans="1:17" x14ac:dyDescent="0.25">
      <c r="A350" t="s">
        <v>17</v>
      </c>
      <c r="B350" t="s">
        <v>31</v>
      </c>
      <c r="C350" t="s">
        <v>40</v>
      </c>
      <c r="D350" t="s">
        <v>55</v>
      </c>
      <c r="E350">
        <v>99207</v>
      </c>
      <c r="F350">
        <v>2035</v>
      </c>
      <c r="G350" t="s">
        <v>64</v>
      </c>
      <c r="I350" t="s">
        <v>69</v>
      </c>
      <c r="J350" t="s">
        <v>77</v>
      </c>
      <c r="K350" t="s">
        <v>89</v>
      </c>
      <c r="L350" t="s">
        <v>124</v>
      </c>
      <c r="M350">
        <v>25</v>
      </c>
      <c r="N350">
        <v>22</v>
      </c>
      <c r="O350" t="s">
        <v>153</v>
      </c>
      <c r="P350" t="s">
        <v>155</v>
      </c>
      <c r="Q350" t="s">
        <v>318</v>
      </c>
    </row>
    <row r="351" spans="1:17" x14ac:dyDescent="0.25">
      <c r="A351" t="s">
        <v>17</v>
      </c>
      <c r="B351" t="s">
        <v>34</v>
      </c>
      <c r="C351" t="s">
        <v>49</v>
      </c>
      <c r="D351" t="s">
        <v>54</v>
      </c>
      <c r="E351">
        <v>78728</v>
      </c>
      <c r="F351">
        <v>1658</v>
      </c>
      <c r="G351" t="s">
        <v>67</v>
      </c>
      <c r="I351" t="s">
        <v>71</v>
      </c>
      <c r="J351" t="s">
        <v>79</v>
      </c>
      <c r="K351" t="s">
        <v>107</v>
      </c>
      <c r="L351" t="s">
        <v>134</v>
      </c>
      <c r="M351">
        <v>10</v>
      </c>
      <c r="N351">
        <v>10</v>
      </c>
      <c r="O351" t="s">
        <v>153</v>
      </c>
      <c r="P351" t="s">
        <v>155</v>
      </c>
      <c r="Q351" t="s">
        <v>238</v>
      </c>
    </row>
    <row r="352" spans="1:17" x14ac:dyDescent="0.25">
      <c r="A352" t="s">
        <v>19</v>
      </c>
      <c r="B352" t="s">
        <v>24</v>
      </c>
      <c r="C352" t="s">
        <v>48</v>
      </c>
      <c r="D352" t="s">
        <v>61</v>
      </c>
      <c r="E352">
        <v>112963</v>
      </c>
      <c r="F352">
        <v>2568</v>
      </c>
      <c r="G352" t="s">
        <v>65</v>
      </c>
      <c r="I352" t="s">
        <v>56</v>
      </c>
      <c r="J352" t="s">
        <v>75</v>
      </c>
      <c r="K352" t="s">
        <v>96</v>
      </c>
      <c r="L352" t="s">
        <v>121</v>
      </c>
      <c r="M352">
        <v>15</v>
      </c>
      <c r="N352">
        <v>13</v>
      </c>
      <c r="O352" t="s">
        <v>152</v>
      </c>
      <c r="P352" t="s">
        <v>155</v>
      </c>
      <c r="Q352" t="s">
        <v>315</v>
      </c>
    </row>
    <row r="353" spans="1:17" x14ac:dyDescent="0.25">
      <c r="A353" t="s">
        <v>20</v>
      </c>
      <c r="B353" t="s">
        <v>34</v>
      </c>
      <c r="C353" t="s">
        <v>53</v>
      </c>
      <c r="D353" t="s">
        <v>55</v>
      </c>
      <c r="E353">
        <v>108858</v>
      </c>
      <c r="F353">
        <v>1760</v>
      </c>
      <c r="G353" t="s">
        <v>67</v>
      </c>
      <c r="I353" t="s">
        <v>70</v>
      </c>
      <c r="J353" t="s">
        <v>75</v>
      </c>
      <c r="K353" t="s">
        <v>96</v>
      </c>
      <c r="L353" t="s">
        <v>121</v>
      </c>
      <c r="M353">
        <v>1</v>
      </c>
      <c r="N353">
        <v>0</v>
      </c>
      <c r="O353" t="s">
        <v>148</v>
      </c>
      <c r="P353" t="s">
        <v>155</v>
      </c>
      <c r="Q353" t="s">
        <v>162</v>
      </c>
    </row>
    <row r="354" spans="1:17" x14ac:dyDescent="0.25">
      <c r="A354" t="s">
        <v>19</v>
      </c>
      <c r="B354" t="s">
        <v>32</v>
      </c>
      <c r="C354" t="s">
        <v>42</v>
      </c>
      <c r="D354" t="s">
        <v>56</v>
      </c>
      <c r="E354">
        <v>76630</v>
      </c>
      <c r="F354">
        <v>933</v>
      </c>
      <c r="G354" t="s">
        <v>65</v>
      </c>
      <c r="I354" t="s">
        <v>56</v>
      </c>
      <c r="J354" t="s">
        <v>74</v>
      </c>
      <c r="K354" t="s">
        <v>84</v>
      </c>
      <c r="L354" t="s">
        <v>74</v>
      </c>
      <c r="M354">
        <v>10</v>
      </c>
      <c r="N354">
        <v>9</v>
      </c>
      <c r="O354" t="s">
        <v>148</v>
      </c>
      <c r="P354" t="s">
        <v>154</v>
      </c>
      <c r="Q354" t="s">
        <v>255</v>
      </c>
    </row>
    <row r="355" spans="1:17" x14ac:dyDescent="0.25">
      <c r="A355" t="s">
        <v>19</v>
      </c>
      <c r="B355" t="s">
        <v>22</v>
      </c>
      <c r="C355" t="s">
        <v>36</v>
      </c>
      <c r="D355" t="s">
        <v>55</v>
      </c>
      <c r="E355">
        <v>64540</v>
      </c>
      <c r="F355">
        <v>2955</v>
      </c>
      <c r="G355" t="s">
        <v>64</v>
      </c>
      <c r="I355" t="s">
        <v>69</v>
      </c>
      <c r="J355" t="s">
        <v>76</v>
      </c>
      <c r="K355" t="s">
        <v>100</v>
      </c>
      <c r="L355" t="s">
        <v>126</v>
      </c>
      <c r="M355">
        <v>15</v>
      </c>
      <c r="N355">
        <v>13</v>
      </c>
      <c r="O355" t="s">
        <v>148</v>
      </c>
      <c r="P355" t="s">
        <v>156</v>
      </c>
      <c r="Q355" t="s">
        <v>299</v>
      </c>
    </row>
    <row r="356" spans="1:17" x14ac:dyDescent="0.25">
      <c r="A356" t="s">
        <v>19</v>
      </c>
      <c r="B356" t="s">
        <v>26</v>
      </c>
      <c r="C356" t="s">
        <v>51</v>
      </c>
      <c r="D356" t="s">
        <v>61</v>
      </c>
      <c r="E356">
        <v>998685</v>
      </c>
      <c r="F356">
        <v>30708</v>
      </c>
      <c r="G356" t="s">
        <v>66</v>
      </c>
      <c r="I356" t="s">
        <v>69</v>
      </c>
      <c r="J356" t="s">
        <v>78</v>
      </c>
      <c r="K356" t="s">
        <v>88</v>
      </c>
      <c r="L356" t="s">
        <v>136</v>
      </c>
      <c r="M356">
        <v>2</v>
      </c>
      <c r="N356">
        <v>0</v>
      </c>
      <c r="O356" t="s">
        <v>153</v>
      </c>
      <c r="P356" t="s">
        <v>157</v>
      </c>
      <c r="Q356" t="s">
        <v>169</v>
      </c>
    </row>
    <row r="357" spans="1:17" x14ac:dyDescent="0.25">
      <c r="A357" t="s">
        <v>20</v>
      </c>
      <c r="B357" t="s">
        <v>27</v>
      </c>
      <c r="C357" t="s">
        <v>39</v>
      </c>
      <c r="D357" t="s">
        <v>58</v>
      </c>
      <c r="E357">
        <v>100458</v>
      </c>
      <c r="F357">
        <v>0</v>
      </c>
      <c r="G357" t="s">
        <v>65</v>
      </c>
      <c r="I357" t="s">
        <v>56</v>
      </c>
      <c r="J357" t="s">
        <v>73</v>
      </c>
      <c r="K357" t="s">
        <v>99</v>
      </c>
      <c r="L357" t="s">
        <v>125</v>
      </c>
      <c r="M357">
        <v>1</v>
      </c>
      <c r="N357">
        <v>0</v>
      </c>
      <c r="O357" t="s">
        <v>151</v>
      </c>
      <c r="P357" t="s">
        <v>154</v>
      </c>
      <c r="Q357" t="s">
        <v>319</v>
      </c>
    </row>
    <row r="358" spans="1:17" x14ac:dyDescent="0.25">
      <c r="A358" t="s">
        <v>17</v>
      </c>
      <c r="B358" t="s">
        <v>23</v>
      </c>
      <c r="C358" t="s">
        <v>43</v>
      </c>
      <c r="D358" t="s">
        <v>58</v>
      </c>
      <c r="E358">
        <v>24554</v>
      </c>
      <c r="F358">
        <v>598</v>
      </c>
      <c r="G358" t="s">
        <v>68</v>
      </c>
      <c r="I358" t="s">
        <v>70</v>
      </c>
      <c r="J358" t="s">
        <v>77</v>
      </c>
      <c r="K358" t="s">
        <v>111</v>
      </c>
      <c r="L358" t="s">
        <v>141</v>
      </c>
      <c r="M358">
        <v>10</v>
      </c>
      <c r="N358">
        <v>10</v>
      </c>
      <c r="O358" t="s">
        <v>151</v>
      </c>
      <c r="P358" t="s">
        <v>154</v>
      </c>
      <c r="Q358" t="s">
        <v>179</v>
      </c>
    </row>
    <row r="359" spans="1:17" x14ac:dyDescent="0.25">
      <c r="A359" t="s">
        <v>17</v>
      </c>
      <c r="B359" t="s">
        <v>22</v>
      </c>
      <c r="C359" t="s">
        <v>40</v>
      </c>
      <c r="E359">
        <v>73160</v>
      </c>
      <c r="F359">
        <v>1140</v>
      </c>
      <c r="G359" t="s">
        <v>67</v>
      </c>
      <c r="I359" t="s">
        <v>69</v>
      </c>
      <c r="J359" t="s">
        <v>72</v>
      </c>
      <c r="K359" t="s">
        <v>82</v>
      </c>
      <c r="L359" t="s">
        <v>112</v>
      </c>
      <c r="M359">
        <v>18</v>
      </c>
      <c r="N359">
        <v>16</v>
      </c>
      <c r="O359" t="s">
        <v>152</v>
      </c>
      <c r="P359" t="s">
        <v>154</v>
      </c>
      <c r="Q359" t="s">
        <v>236</v>
      </c>
    </row>
    <row r="360" spans="1:17" x14ac:dyDescent="0.25">
      <c r="A360" t="s">
        <v>19</v>
      </c>
      <c r="D360" t="s">
        <v>55</v>
      </c>
      <c r="F360">
        <v>15612</v>
      </c>
      <c r="G360" t="s">
        <v>63</v>
      </c>
      <c r="I360" t="s">
        <v>56</v>
      </c>
      <c r="J360" t="s">
        <v>79</v>
      </c>
      <c r="K360" t="s">
        <v>91</v>
      </c>
      <c r="N360">
        <v>3</v>
      </c>
      <c r="O360" t="s">
        <v>153</v>
      </c>
      <c r="Q360" t="s">
        <v>181</v>
      </c>
    </row>
    <row r="361" spans="1:17" x14ac:dyDescent="0.25">
      <c r="A361" t="s">
        <v>19</v>
      </c>
      <c r="B361" t="s">
        <v>30</v>
      </c>
      <c r="C361" t="s">
        <v>41</v>
      </c>
      <c r="E361">
        <v>8865</v>
      </c>
      <c r="F361">
        <v>1278</v>
      </c>
      <c r="G361" t="s">
        <v>67</v>
      </c>
      <c r="I361" t="s">
        <v>71</v>
      </c>
      <c r="J361" t="s">
        <v>76</v>
      </c>
      <c r="K361" t="s">
        <v>92</v>
      </c>
      <c r="L361" t="s">
        <v>119</v>
      </c>
      <c r="M361">
        <v>9</v>
      </c>
      <c r="N361">
        <v>6</v>
      </c>
      <c r="O361" t="s">
        <v>153</v>
      </c>
      <c r="P361" t="s">
        <v>157</v>
      </c>
      <c r="Q361" t="s">
        <v>320</v>
      </c>
    </row>
    <row r="362" spans="1:17" x14ac:dyDescent="0.25">
      <c r="A362" t="s">
        <v>21</v>
      </c>
      <c r="B362" t="s">
        <v>29</v>
      </c>
      <c r="C362" t="s">
        <v>53</v>
      </c>
      <c r="E362">
        <v>54070</v>
      </c>
      <c r="F362">
        <v>1728</v>
      </c>
      <c r="G362" t="s">
        <v>63</v>
      </c>
      <c r="I362" t="s">
        <v>56</v>
      </c>
      <c r="J362" t="s">
        <v>73</v>
      </c>
      <c r="K362" t="s">
        <v>83</v>
      </c>
      <c r="L362" t="s">
        <v>113</v>
      </c>
      <c r="M362">
        <v>20</v>
      </c>
      <c r="N362">
        <v>20</v>
      </c>
      <c r="O362" t="s">
        <v>149</v>
      </c>
      <c r="P362" t="s">
        <v>156</v>
      </c>
      <c r="Q362" t="s">
        <v>166</v>
      </c>
    </row>
    <row r="363" spans="1:17" x14ac:dyDescent="0.25">
      <c r="A363" t="s">
        <v>21</v>
      </c>
      <c r="B363" t="s">
        <v>31</v>
      </c>
      <c r="C363" t="s">
        <v>49</v>
      </c>
      <c r="D363" t="s">
        <v>54</v>
      </c>
      <c r="E363">
        <v>115383</v>
      </c>
      <c r="F363">
        <v>2455</v>
      </c>
      <c r="G363" t="s">
        <v>65</v>
      </c>
      <c r="I363" t="s">
        <v>56</v>
      </c>
      <c r="J363" t="s">
        <v>80</v>
      </c>
      <c r="K363" t="s">
        <v>93</v>
      </c>
      <c r="L363" t="s">
        <v>93</v>
      </c>
      <c r="M363">
        <v>9</v>
      </c>
      <c r="N363">
        <v>7</v>
      </c>
      <c r="O363" t="s">
        <v>148</v>
      </c>
      <c r="P363" t="s">
        <v>156</v>
      </c>
      <c r="Q363" t="s">
        <v>321</v>
      </c>
    </row>
    <row r="364" spans="1:17" x14ac:dyDescent="0.25">
      <c r="A364" t="s">
        <v>19</v>
      </c>
      <c r="B364" t="s">
        <v>31</v>
      </c>
      <c r="C364" t="s">
        <v>48</v>
      </c>
      <c r="D364" t="s">
        <v>55</v>
      </c>
      <c r="E364">
        <v>67686</v>
      </c>
      <c r="F364">
        <v>7946</v>
      </c>
      <c r="G364" t="s">
        <v>63</v>
      </c>
      <c r="I364" t="s">
        <v>70</v>
      </c>
      <c r="J364" t="s">
        <v>81</v>
      </c>
      <c r="K364" t="s">
        <v>103</v>
      </c>
      <c r="L364" t="s">
        <v>140</v>
      </c>
      <c r="M364">
        <v>12</v>
      </c>
      <c r="N364">
        <v>12</v>
      </c>
      <c r="O364" t="s">
        <v>149</v>
      </c>
      <c r="P364" t="s">
        <v>156</v>
      </c>
      <c r="Q364" t="s">
        <v>212</v>
      </c>
    </row>
    <row r="365" spans="1:17" x14ac:dyDescent="0.25">
      <c r="A365" t="s">
        <v>20</v>
      </c>
      <c r="B365" t="s">
        <v>24</v>
      </c>
      <c r="C365" t="s">
        <v>51</v>
      </c>
      <c r="D365" t="s">
        <v>58</v>
      </c>
      <c r="E365">
        <v>177618</v>
      </c>
      <c r="F365">
        <v>7985</v>
      </c>
      <c r="G365" t="s">
        <v>67</v>
      </c>
      <c r="I365" t="s">
        <v>69</v>
      </c>
      <c r="J365" t="s">
        <v>73</v>
      </c>
      <c r="K365" t="s">
        <v>83</v>
      </c>
      <c r="L365" t="s">
        <v>113</v>
      </c>
      <c r="M365">
        <v>4</v>
      </c>
      <c r="N365">
        <v>4</v>
      </c>
      <c r="O365" t="s">
        <v>152</v>
      </c>
      <c r="P365" t="s">
        <v>156</v>
      </c>
      <c r="Q365" t="s">
        <v>322</v>
      </c>
    </row>
    <row r="366" spans="1:17" x14ac:dyDescent="0.25">
      <c r="A366" t="s">
        <v>21</v>
      </c>
      <c r="B366" t="s">
        <v>24</v>
      </c>
      <c r="C366" t="s">
        <v>41</v>
      </c>
      <c r="D366" t="s">
        <v>59</v>
      </c>
      <c r="E366">
        <v>116195</v>
      </c>
      <c r="F366">
        <v>13412</v>
      </c>
      <c r="G366" t="s">
        <v>65</v>
      </c>
      <c r="I366" t="s">
        <v>56</v>
      </c>
      <c r="J366" t="s">
        <v>75</v>
      </c>
      <c r="K366" t="s">
        <v>85</v>
      </c>
      <c r="L366" t="s">
        <v>114</v>
      </c>
      <c r="M366">
        <v>8</v>
      </c>
      <c r="N366">
        <v>8</v>
      </c>
      <c r="O366" t="s">
        <v>148</v>
      </c>
      <c r="P366" t="s">
        <v>154</v>
      </c>
      <c r="Q366" t="s">
        <v>165</v>
      </c>
    </row>
    <row r="367" spans="1:17" x14ac:dyDescent="0.25">
      <c r="A367" t="s">
        <v>20</v>
      </c>
      <c r="B367" t="s">
        <v>22</v>
      </c>
      <c r="C367" t="s">
        <v>52</v>
      </c>
      <c r="D367" t="s">
        <v>62</v>
      </c>
      <c r="E367">
        <v>30856</v>
      </c>
      <c r="F367">
        <v>265</v>
      </c>
      <c r="G367" t="s">
        <v>67</v>
      </c>
      <c r="J367" t="s">
        <v>79</v>
      </c>
      <c r="K367" t="s">
        <v>91</v>
      </c>
      <c r="L367" t="s">
        <v>118</v>
      </c>
      <c r="M367">
        <v>0</v>
      </c>
      <c r="N367">
        <v>0</v>
      </c>
      <c r="O367" t="s">
        <v>148</v>
      </c>
      <c r="P367" t="s">
        <v>156</v>
      </c>
      <c r="Q367" t="s">
        <v>188</v>
      </c>
    </row>
    <row r="368" spans="1:17" x14ac:dyDescent="0.25">
      <c r="A368" t="s">
        <v>17</v>
      </c>
      <c r="B368" t="s">
        <v>26</v>
      </c>
      <c r="C368" t="s">
        <v>37</v>
      </c>
      <c r="D368" t="s">
        <v>58</v>
      </c>
      <c r="E368">
        <v>83632</v>
      </c>
      <c r="F368">
        <v>2855</v>
      </c>
      <c r="G368" t="s">
        <v>64</v>
      </c>
      <c r="I368" t="s">
        <v>70</v>
      </c>
      <c r="J368" t="s">
        <v>77</v>
      </c>
      <c r="K368" t="s">
        <v>89</v>
      </c>
      <c r="L368" t="s">
        <v>124</v>
      </c>
      <c r="M368">
        <v>8</v>
      </c>
      <c r="N368">
        <v>8</v>
      </c>
      <c r="O368" t="s">
        <v>148</v>
      </c>
      <c r="P368" t="s">
        <v>156</v>
      </c>
      <c r="Q368" t="s">
        <v>165</v>
      </c>
    </row>
    <row r="369" spans="1:17" x14ac:dyDescent="0.25">
      <c r="A369" t="s">
        <v>19</v>
      </c>
      <c r="B369" t="s">
        <v>22</v>
      </c>
      <c r="C369" t="s">
        <v>51</v>
      </c>
      <c r="D369" t="s">
        <v>58</v>
      </c>
      <c r="E369">
        <v>117208</v>
      </c>
      <c r="F369">
        <v>851</v>
      </c>
      <c r="G369" t="s">
        <v>64</v>
      </c>
      <c r="I369" t="s">
        <v>70</v>
      </c>
      <c r="J369" t="s">
        <v>72</v>
      </c>
      <c r="K369" t="s">
        <v>95</v>
      </c>
      <c r="L369" t="s">
        <v>120</v>
      </c>
      <c r="M369">
        <v>9</v>
      </c>
      <c r="N369">
        <v>9</v>
      </c>
      <c r="O369" t="s">
        <v>151</v>
      </c>
      <c r="P369" t="s">
        <v>156</v>
      </c>
      <c r="Q369" t="s">
        <v>229</v>
      </c>
    </row>
    <row r="370" spans="1:17" x14ac:dyDescent="0.25">
      <c r="A370" t="s">
        <v>19</v>
      </c>
      <c r="B370" t="s">
        <v>27</v>
      </c>
      <c r="C370" t="s">
        <v>37</v>
      </c>
      <c r="E370">
        <v>67912</v>
      </c>
      <c r="F370">
        <v>0</v>
      </c>
      <c r="G370" t="s">
        <v>68</v>
      </c>
      <c r="I370" t="s">
        <v>71</v>
      </c>
      <c r="J370" t="s">
        <v>79</v>
      </c>
      <c r="K370" t="s">
        <v>107</v>
      </c>
      <c r="L370" t="s">
        <v>134</v>
      </c>
      <c r="M370">
        <v>2</v>
      </c>
      <c r="N370">
        <v>2</v>
      </c>
      <c r="O370" t="s">
        <v>151</v>
      </c>
      <c r="P370" t="s">
        <v>156</v>
      </c>
      <c r="Q370" t="s">
        <v>172</v>
      </c>
    </row>
    <row r="371" spans="1:17" x14ac:dyDescent="0.25">
      <c r="A371" t="s">
        <v>21</v>
      </c>
      <c r="B371" t="s">
        <v>24</v>
      </c>
      <c r="C371" t="s">
        <v>42</v>
      </c>
      <c r="D371" t="s">
        <v>59</v>
      </c>
      <c r="E371">
        <v>88843</v>
      </c>
      <c r="F371">
        <v>0</v>
      </c>
      <c r="G371" t="s">
        <v>64</v>
      </c>
      <c r="I371" t="s">
        <v>70</v>
      </c>
      <c r="J371" t="s">
        <v>72</v>
      </c>
      <c r="K371" t="s">
        <v>95</v>
      </c>
      <c r="L371" t="s">
        <v>120</v>
      </c>
      <c r="M371">
        <v>10</v>
      </c>
      <c r="N371">
        <v>9</v>
      </c>
      <c r="O371" t="s">
        <v>149</v>
      </c>
      <c r="P371" t="s">
        <v>156</v>
      </c>
      <c r="Q371" t="s">
        <v>300</v>
      </c>
    </row>
    <row r="372" spans="1:17" x14ac:dyDescent="0.25">
      <c r="A372" t="s">
        <v>19</v>
      </c>
      <c r="B372" t="s">
        <v>24</v>
      </c>
      <c r="C372" t="s">
        <v>53</v>
      </c>
      <c r="D372" t="s">
        <v>55</v>
      </c>
      <c r="E372">
        <v>39285</v>
      </c>
      <c r="F372">
        <v>1566</v>
      </c>
      <c r="G372" t="s">
        <v>68</v>
      </c>
      <c r="I372" t="s">
        <v>70</v>
      </c>
      <c r="J372" t="s">
        <v>74</v>
      </c>
      <c r="K372" t="s">
        <v>84</v>
      </c>
      <c r="L372" t="s">
        <v>74</v>
      </c>
      <c r="M372">
        <v>5</v>
      </c>
      <c r="N372">
        <v>5</v>
      </c>
      <c r="O372" t="s">
        <v>148</v>
      </c>
      <c r="P372" t="s">
        <v>157</v>
      </c>
      <c r="Q372" t="s">
        <v>212</v>
      </c>
    </row>
    <row r="373" spans="1:17" x14ac:dyDescent="0.25">
      <c r="A373" t="s">
        <v>19</v>
      </c>
      <c r="B373" t="s">
        <v>32</v>
      </c>
      <c r="C373" t="s">
        <v>45</v>
      </c>
      <c r="D373" t="s">
        <v>56</v>
      </c>
      <c r="E373">
        <v>77051</v>
      </c>
      <c r="F373">
        <v>0</v>
      </c>
      <c r="G373" t="s">
        <v>68</v>
      </c>
      <c r="J373" t="s">
        <v>76</v>
      </c>
      <c r="K373" t="s">
        <v>92</v>
      </c>
      <c r="L373" t="s">
        <v>119</v>
      </c>
      <c r="M373">
        <v>8</v>
      </c>
      <c r="N373">
        <v>8</v>
      </c>
      <c r="O373" t="s">
        <v>152</v>
      </c>
      <c r="P373" t="s">
        <v>156</v>
      </c>
      <c r="Q373" t="s">
        <v>162</v>
      </c>
    </row>
    <row r="374" spans="1:17" x14ac:dyDescent="0.25">
      <c r="A374" t="s">
        <v>20</v>
      </c>
      <c r="B374" t="s">
        <v>33</v>
      </c>
      <c r="C374" t="s">
        <v>44</v>
      </c>
      <c r="E374">
        <v>50554</v>
      </c>
      <c r="F374">
        <v>0</v>
      </c>
      <c r="G374" t="s">
        <v>65</v>
      </c>
      <c r="I374" t="s">
        <v>71</v>
      </c>
      <c r="J374" t="s">
        <v>72</v>
      </c>
      <c r="K374" t="s">
        <v>82</v>
      </c>
      <c r="L374" t="s">
        <v>112</v>
      </c>
      <c r="M374">
        <v>4</v>
      </c>
      <c r="N374">
        <v>4</v>
      </c>
      <c r="O374" t="s">
        <v>150</v>
      </c>
      <c r="P374" t="s">
        <v>154</v>
      </c>
      <c r="Q374" t="s">
        <v>188</v>
      </c>
    </row>
    <row r="375" spans="1:17" x14ac:dyDescent="0.25">
      <c r="A375" t="s">
        <v>19</v>
      </c>
      <c r="B375" t="s">
        <v>35</v>
      </c>
      <c r="C375" t="s">
        <v>49</v>
      </c>
      <c r="D375" t="s">
        <v>59</v>
      </c>
      <c r="E375">
        <v>92481</v>
      </c>
      <c r="F375">
        <v>0</v>
      </c>
      <c r="G375" t="s">
        <v>64</v>
      </c>
      <c r="J375" t="s">
        <v>74</v>
      </c>
      <c r="K375" t="s">
        <v>84</v>
      </c>
      <c r="L375" t="s">
        <v>74</v>
      </c>
      <c r="M375">
        <v>3</v>
      </c>
      <c r="N375">
        <v>3</v>
      </c>
      <c r="O375" t="s">
        <v>151</v>
      </c>
      <c r="P375" t="s">
        <v>156</v>
      </c>
      <c r="Q375" t="s">
        <v>250</v>
      </c>
    </row>
    <row r="376" spans="1:17" x14ac:dyDescent="0.25">
      <c r="A376" t="s">
        <v>20</v>
      </c>
      <c r="B376" t="s">
        <v>35</v>
      </c>
      <c r="C376" t="s">
        <v>37</v>
      </c>
      <c r="D376" t="s">
        <v>56</v>
      </c>
      <c r="E376">
        <v>64195</v>
      </c>
      <c r="F376">
        <v>11106</v>
      </c>
      <c r="G376" t="s">
        <v>67</v>
      </c>
      <c r="I376" t="s">
        <v>69</v>
      </c>
      <c r="J376" t="s">
        <v>75</v>
      </c>
      <c r="K376" t="s">
        <v>96</v>
      </c>
      <c r="L376" t="s">
        <v>121</v>
      </c>
      <c r="M376">
        <v>1</v>
      </c>
      <c r="N376">
        <v>0</v>
      </c>
      <c r="O376" t="s">
        <v>152</v>
      </c>
      <c r="P376" t="s">
        <v>155</v>
      </c>
      <c r="Q376" t="s">
        <v>209</v>
      </c>
    </row>
    <row r="377" spans="1:17" x14ac:dyDescent="0.25">
      <c r="A377" t="s">
        <v>17</v>
      </c>
      <c r="B377" t="s">
        <v>23</v>
      </c>
      <c r="C377" t="s">
        <v>46</v>
      </c>
      <c r="D377" t="s">
        <v>58</v>
      </c>
      <c r="E377">
        <v>50209</v>
      </c>
      <c r="F377">
        <v>2701</v>
      </c>
      <c r="G377" t="s">
        <v>68</v>
      </c>
      <c r="I377" t="s">
        <v>71</v>
      </c>
      <c r="J377" t="s">
        <v>75</v>
      </c>
      <c r="K377" t="s">
        <v>108</v>
      </c>
      <c r="L377" t="s">
        <v>135</v>
      </c>
      <c r="M377">
        <v>9</v>
      </c>
      <c r="N377">
        <v>8</v>
      </c>
      <c r="O377" t="s">
        <v>153</v>
      </c>
      <c r="P377" t="s">
        <v>155</v>
      </c>
      <c r="Q377" t="s">
        <v>169</v>
      </c>
    </row>
    <row r="378" spans="1:17" x14ac:dyDescent="0.25">
      <c r="A378" t="s">
        <v>19</v>
      </c>
      <c r="B378" t="s">
        <v>34</v>
      </c>
      <c r="C378" t="s">
        <v>52</v>
      </c>
      <c r="D378" t="s">
        <v>58</v>
      </c>
      <c r="E378">
        <v>92742</v>
      </c>
      <c r="F378">
        <v>3071</v>
      </c>
      <c r="G378" t="s">
        <v>67</v>
      </c>
      <c r="I378" t="s">
        <v>71</v>
      </c>
      <c r="J378" t="s">
        <v>73</v>
      </c>
      <c r="K378" t="s">
        <v>83</v>
      </c>
      <c r="L378" t="s">
        <v>113</v>
      </c>
      <c r="M378">
        <v>3</v>
      </c>
      <c r="N378">
        <v>2</v>
      </c>
      <c r="O378" t="s">
        <v>149</v>
      </c>
      <c r="P378" t="s">
        <v>157</v>
      </c>
      <c r="Q378" t="s">
        <v>256</v>
      </c>
    </row>
    <row r="379" spans="1:17" x14ac:dyDescent="0.25">
      <c r="A379" t="s">
        <v>19</v>
      </c>
      <c r="B379" t="s">
        <v>28</v>
      </c>
      <c r="C379" t="s">
        <v>38</v>
      </c>
      <c r="D379" t="s">
        <v>56</v>
      </c>
      <c r="E379">
        <v>56840</v>
      </c>
      <c r="F379">
        <v>1276</v>
      </c>
      <c r="G379" t="s">
        <v>67</v>
      </c>
      <c r="I379" t="s">
        <v>56</v>
      </c>
      <c r="J379" t="s">
        <v>75</v>
      </c>
      <c r="K379" t="s">
        <v>85</v>
      </c>
      <c r="L379" t="s">
        <v>114</v>
      </c>
      <c r="M379">
        <v>25</v>
      </c>
      <c r="N379">
        <v>24</v>
      </c>
      <c r="O379" t="s">
        <v>150</v>
      </c>
      <c r="P379" t="s">
        <v>156</v>
      </c>
      <c r="Q379" t="s">
        <v>165</v>
      </c>
    </row>
    <row r="380" spans="1:17" x14ac:dyDescent="0.25">
      <c r="A380" t="s">
        <v>20</v>
      </c>
      <c r="B380" t="s">
        <v>27</v>
      </c>
      <c r="C380" t="s">
        <v>46</v>
      </c>
      <c r="E380">
        <v>51803</v>
      </c>
      <c r="F380">
        <v>3032</v>
      </c>
      <c r="G380" t="s">
        <v>65</v>
      </c>
      <c r="I380" t="s">
        <v>70</v>
      </c>
      <c r="J380" t="s">
        <v>76</v>
      </c>
      <c r="K380" t="s">
        <v>86</v>
      </c>
      <c r="L380" t="s">
        <v>115</v>
      </c>
      <c r="M380">
        <v>7</v>
      </c>
      <c r="N380">
        <v>7</v>
      </c>
      <c r="O380" t="s">
        <v>153</v>
      </c>
      <c r="P380" t="s">
        <v>157</v>
      </c>
      <c r="Q380" t="s">
        <v>323</v>
      </c>
    </row>
    <row r="381" spans="1:17" x14ac:dyDescent="0.25">
      <c r="A381" t="s">
        <v>19</v>
      </c>
      <c r="B381" t="s">
        <v>34</v>
      </c>
      <c r="C381" t="s">
        <v>51</v>
      </c>
      <c r="D381" t="s">
        <v>56</v>
      </c>
      <c r="E381">
        <v>119743</v>
      </c>
      <c r="F381">
        <v>26932</v>
      </c>
      <c r="G381" t="s">
        <v>64</v>
      </c>
      <c r="I381" t="s">
        <v>70</v>
      </c>
      <c r="J381" t="s">
        <v>81</v>
      </c>
      <c r="K381" t="s">
        <v>103</v>
      </c>
      <c r="L381" t="s">
        <v>140</v>
      </c>
      <c r="M381">
        <v>6</v>
      </c>
      <c r="N381">
        <v>6</v>
      </c>
      <c r="O381" t="s">
        <v>153</v>
      </c>
      <c r="P381" t="s">
        <v>157</v>
      </c>
      <c r="Q381" t="s">
        <v>167</v>
      </c>
    </row>
    <row r="382" spans="1:17" x14ac:dyDescent="0.25">
      <c r="A382" t="s">
        <v>17</v>
      </c>
      <c r="B382" t="s">
        <v>31</v>
      </c>
      <c r="C382" t="s">
        <v>50</v>
      </c>
      <c r="D382" t="s">
        <v>56</v>
      </c>
      <c r="E382">
        <v>92796</v>
      </c>
      <c r="F382">
        <v>0</v>
      </c>
      <c r="G382" t="s">
        <v>64</v>
      </c>
      <c r="I382" t="s">
        <v>70</v>
      </c>
      <c r="J382" t="s">
        <v>72</v>
      </c>
      <c r="K382" t="s">
        <v>82</v>
      </c>
      <c r="L382" t="s">
        <v>112</v>
      </c>
      <c r="M382">
        <v>9</v>
      </c>
      <c r="N382">
        <v>9</v>
      </c>
      <c r="O382" t="s">
        <v>150</v>
      </c>
      <c r="P382" t="s">
        <v>155</v>
      </c>
      <c r="Q382" t="s">
        <v>162</v>
      </c>
    </row>
    <row r="383" spans="1:17" x14ac:dyDescent="0.25">
      <c r="A383" t="s">
        <v>19</v>
      </c>
      <c r="B383" t="s">
        <v>27</v>
      </c>
      <c r="C383" t="s">
        <v>40</v>
      </c>
      <c r="D383" t="s">
        <v>57</v>
      </c>
      <c r="E383">
        <v>737729</v>
      </c>
      <c r="F383">
        <v>68871</v>
      </c>
      <c r="G383" t="s">
        <v>66</v>
      </c>
      <c r="I383" t="s">
        <v>56</v>
      </c>
      <c r="J383" t="s">
        <v>76</v>
      </c>
      <c r="K383" t="s">
        <v>92</v>
      </c>
      <c r="L383" t="s">
        <v>119</v>
      </c>
      <c r="M383">
        <v>7</v>
      </c>
      <c r="N383">
        <v>5</v>
      </c>
      <c r="O383" t="s">
        <v>150</v>
      </c>
      <c r="P383" t="s">
        <v>157</v>
      </c>
      <c r="Q383" t="s">
        <v>324</v>
      </c>
    </row>
    <row r="384" spans="1:17" x14ac:dyDescent="0.25">
      <c r="A384" t="s">
        <v>20</v>
      </c>
      <c r="B384" t="s">
        <v>32</v>
      </c>
      <c r="C384" t="s">
        <v>38</v>
      </c>
      <c r="D384" t="s">
        <v>61</v>
      </c>
      <c r="E384">
        <v>69699</v>
      </c>
      <c r="F384">
        <v>2388</v>
      </c>
      <c r="G384" t="s">
        <v>64</v>
      </c>
      <c r="I384" t="s">
        <v>56</v>
      </c>
      <c r="J384" t="s">
        <v>74</v>
      </c>
      <c r="K384" t="s">
        <v>84</v>
      </c>
      <c r="L384" t="s">
        <v>74</v>
      </c>
      <c r="M384">
        <v>6</v>
      </c>
      <c r="N384">
        <v>4</v>
      </c>
      <c r="O384" t="s">
        <v>149</v>
      </c>
      <c r="P384" t="s">
        <v>155</v>
      </c>
      <c r="Q384" t="s">
        <v>171</v>
      </c>
    </row>
    <row r="385" spans="1:17" x14ac:dyDescent="0.25">
      <c r="A385" t="s">
        <v>20</v>
      </c>
      <c r="B385" t="s">
        <v>24</v>
      </c>
      <c r="C385" t="s">
        <v>41</v>
      </c>
      <c r="D385" t="s">
        <v>57</v>
      </c>
      <c r="E385">
        <v>66776</v>
      </c>
      <c r="F385">
        <v>0</v>
      </c>
      <c r="G385" t="s">
        <v>68</v>
      </c>
      <c r="J385" t="s">
        <v>74</v>
      </c>
      <c r="K385" t="s">
        <v>84</v>
      </c>
      <c r="L385" t="s">
        <v>74</v>
      </c>
      <c r="M385">
        <v>0</v>
      </c>
      <c r="N385">
        <v>0</v>
      </c>
      <c r="O385" t="s">
        <v>149</v>
      </c>
      <c r="P385" t="s">
        <v>155</v>
      </c>
      <c r="Q385" t="s">
        <v>325</v>
      </c>
    </row>
    <row r="386" spans="1:17" x14ac:dyDescent="0.25">
      <c r="A386" t="s">
        <v>21</v>
      </c>
      <c r="B386" t="s">
        <v>22</v>
      </c>
      <c r="C386" t="s">
        <v>52</v>
      </c>
      <c r="D386" t="s">
        <v>56</v>
      </c>
      <c r="E386">
        <v>131498</v>
      </c>
      <c r="F386">
        <v>4538</v>
      </c>
      <c r="G386" t="s">
        <v>64</v>
      </c>
      <c r="J386" t="s">
        <v>76</v>
      </c>
      <c r="K386" t="s">
        <v>86</v>
      </c>
      <c r="L386" t="s">
        <v>115</v>
      </c>
      <c r="M386">
        <v>25</v>
      </c>
      <c r="N386">
        <v>25</v>
      </c>
      <c r="O386" t="s">
        <v>152</v>
      </c>
      <c r="P386" t="s">
        <v>154</v>
      </c>
      <c r="Q386" t="s">
        <v>190</v>
      </c>
    </row>
    <row r="387" spans="1:17" x14ac:dyDescent="0.25">
      <c r="A387" t="s">
        <v>21</v>
      </c>
      <c r="B387" t="s">
        <v>31</v>
      </c>
      <c r="C387" t="s">
        <v>40</v>
      </c>
      <c r="D387" t="s">
        <v>61</v>
      </c>
      <c r="E387">
        <v>44502</v>
      </c>
      <c r="F387">
        <v>1188</v>
      </c>
      <c r="G387" t="s">
        <v>65</v>
      </c>
      <c r="I387" t="s">
        <v>71</v>
      </c>
      <c r="J387" t="s">
        <v>72</v>
      </c>
      <c r="K387" t="s">
        <v>82</v>
      </c>
      <c r="L387" t="s">
        <v>112</v>
      </c>
      <c r="M387">
        <v>12</v>
      </c>
      <c r="N387">
        <v>12</v>
      </c>
      <c r="O387" t="s">
        <v>149</v>
      </c>
      <c r="P387" t="s">
        <v>155</v>
      </c>
      <c r="Q387" t="s">
        <v>326</v>
      </c>
    </row>
    <row r="388" spans="1:17" x14ac:dyDescent="0.25">
      <c r="A388" t="s">
        <v>17</v>
      </c>
      <c r="B388" t="s">
        <v>26</v>
      </c>
      <c r="C388" t="s">
        <v>39</v>
      </c>
      <c r="E388">
        <v>128535</v>
      </c>
      <c r="F388">
        <v>7312</v>
      </c>
      <c r="G388" t="s">
        <v>67</v>
      </c>
      <c r="I388" t="s">
        <v>70</v>
      </c>
      <c r="J388" t="s">
        <v>72</v>
      </c>
      <c r="K388" t="s">
        <v>95</v>
      </c>
      <c r="L388" t="s">
        <v>120</v>
      </c>
      <c r="M388">
        <v>25</v>
      </c>
      <c r="N388">
        <v>25</v>
      </c>
      <c r="O388" t="s">
        <v>153</v>
      </c>
      <c r="P388" t="s">
        <v>155</v>
      </c>
      <c r="Q388" t="s">
        <v>169</v>
      </c>
    </row>
    <row r="389" spans="1:17" x14ac:dyDescent="0.25">
      <c r="A389" t="s">
        <v>19</v>
      </c>
      <c r="B389" t="s">
        <v>31</v>
      </c>
      <c r="C389" t="s">
        <v>39</v>
      </c>
      <c r="D389" t="s">
        <v>54</v>
      </c>
      <c r="E389">
        <v>61980</v>
      </c>
      <c r="F389">
        <v>4111</v>
      </c>
      <c r="G389" t="s">
        <v>65</v>
      </c>
      <c r="I389" t="s">
        <v>71</v>
      </c>
      <c r="J389" t="s">
        <v>74</v>
      </c>
      <c r="K389" t="s">
        <v>84</v>
      </c>
      <c r="L389" t="s">
        <v>74</v>
      </c>
      <c r="M389">
        <v>3</v>
      </c>
      <c r="N389">
        <v>0</v>
      </c>
      <c r="O389" t="s">
        <v>151</v>
      </c>
      <c r="P389" t="s">
        <v>154</v>
      </c>
      <c r="Q389" t="s">
        <v>159</v>
      </c>
    </row>
    <row r="390" spans="1:17" x14ac:dyDescent="0.25">
      <c r="A390" t="s">
        <v>19</v>
      </c>
      <c r="B390" t="s">
        <v>22</v>
      </c>
      <c r="C390" t="s">
        <v>45</v>
      </c>
      <c r="D390" t="s">
        <v>62</v>
      </c>
      <c r="E390">
        <v>460062</v>
      </c>
      <c r="F390">
        <v>48081</v>
      </c>
      <c r="G390" t="s">
        <v>66</v>
      </c>
      <c r="J390" t="s">
        <v>72</v>
      </c>
      <c r="K390" t="s">
        <v>82</v>
      </c>
      <c r="L390" t="s">
        <v>112</v>
      </c>
      <c r="M390">
        <v>3</v>
      </c>
      <c r="N390">
        <v>2</v>
      </c>
      <c r="O390" t="s">
        <v>148</v>
      </c>
      <c r="P390" t="s">
        <v>157</v>
      </c>
      <c r="Q390" t="s">
        <v>175</v>
      </c>
    </row>
    <row r="391" spans="1:17" x14ac:dyDescent="0.25">
      <c r="A391" t="s">
        <v>17</v>
      </c>
      <c r="B391" t="s">
        <v>22</v>
      </c>
      <c r="C391" t="s">
        <v>44</v>
      </c>
      <c r="D391" t="s">
        <v>61</v>
      </c>
      <c r="E391">
        <v>27627</v>
      </c>
      <c r="F391">
        <v>891</v>
      </c>
      <c r="G391" t="s">
        <v>68</v>
      </c>
      <c r="I391" t="s">
        <v>71</v>
      </c>
      <c r="J391" t="s">
        <v>73</v>
      </c>
      <c r="K391" t="s">
        <v>99</v>
      </c>
      <c r="L391" t="s">
        <v>125</v>
      </c>
      <c r="M391">
        <v>9</v>
      </c>
      <c r="N391">
        <v>9</v>
      </c>
      <c r="O391" t="s">
        <v>151</v>
      </c>
      <c r="P391" t="s">
        <v>155</v>
      </c>
      <c r="Q391" t="s">
        <v>296</v>
      </c>
    </row>
    <row r="392" spans="1:17" x14ac:dyDescent="0.25">
      <c r="A392" t="s">
        <v>21</v>
      </c>
      <c r="B392" t="s">
        <v>26</v>
      </c>
      <c r="C392" t="s">
        <v>41</v>
      </c>
      <c r="D392" t="s">
        <v>62</v>
      </c>
      <c r="E392">
        <v>97888</v>
      </c>
      <c r="F392">
        <v>0</v>
      </c>
      <c r="G392" t="s">
        <v>64</v>
      </c>
      <c r="I392" t="s">
        <v>56</v>
      </c>
      <c r="J392" t="s">
        <v>73</v>
      </c>
      <c r="K392" t="s">
        <v>99</v>
      </c>
      <c r="L392" t="s">
        <v>125</v>
      </c>
      <c r="M392">
        <v>10</v>
      </c>
      <c r="N392">
        <v>10</v>
      </c>
      <c r="O392" t="s">
        <v>153</v>
      </c>
      <c r="P392" t="s">
        <v>154</v>
      </c>
      <c r="Q392" t="s">
        <v>212</v>
      </c>
    </row>
    <row r="393" spans="1:17" x14ac:dyDescent="0.25">
      <c r="A393" t="s">
        <v>20</v>
      </c>
      <c r="B393" t="s">
        <v>25</v>
      </c>
      <c r="C393" t="s">
        <v>48</v>
      </c>
      <c r="D393" t="s">
        <v>58</v>
      </c>
      <c r="E393">
        <v>61933</v>
      </c>
      <c r="F393">
        <v>1884</v>
      </c>
      <c r="G393" t="s">
        <v>63</v>
      </c>
      <c r="I393" t="s">
        <v>71</v>
      </c>
      <c r="J393" t="s">
        <v>80</v>
      </c>
      <c r="K393" t="s">
        <v>93</v>
      </c>
      <c r="L393" t="s">
        <v>93</v>
      </c>
      <c r="M393">
        <v>3</v>
      </c>
      <c r="N393">
        <v>0</v>
      </c>
      <c r="O393" t="s">
        <v>149</v>
      </c>
      <c r="P393" t="s">
        <v>155</v>
      </c>
      <c r="Q393" t="s">
        <v>327</v>
      </c>
    </row>
    <row r="394" spans="1:17" x14ac:dyDescent="0.25">
      <c r="A394" t="s">
        <v>20</v>
      </c>
      <c r="B394" t="s">
        <v>34</v>
      </c>
      <c r="C394" t="s">
        <v>40</v>
      </c>
      <c r="D394" t="s">
        <v>55</v>
      </c>
      <c r="E394">
        <v>47387</v>
      </c>
      <c r="F394">
        <v>504</v>
      </c>
      <c r="G394" t="s">
        <v>63</v>
      </c>
      <c r="I394" t="s">
        <v>69</v>
      </c>
      <c r="J394" t="s">
        <v>75</v>
      </c>
      <c r="K394" t="s">
        <v>85</v>
      </c>
      <c r="L394" t="s">
        <v>114</v>
      </c>
      <c r="M394">
        <v>0</v>
      </c>
      <c r="N394">
        <v>0</v>
      </c>
      <c r="O394" t="s">
        <v>152</v>
      </c>
      <c r="P394" t="s">
        <v>154</v>
      </c>
      <c r="Q394" t="s">
        <v>178</v>
      </c>
    </row>
    <row r="395" spans="1:17" x14ac:dyDescent="0.25">
      <c r="A395" t="s">
        <v>20</v>
      </c>
      <c r="F395">
        <v>2481</v>
      </c>
      <c r="G395" t="s">
        <v>64</v>
      </c>
      <c r="I395" t="s">
        <v>56</v>
      </c>
      <c r="J395" t="s">
        <v>81</v>
      </c>
      <c r="K395" t="s">
        <v>94</v>
      </c>
      <c r="N395">
        <v>5</v>
      </c>
      <c r="O395" t="s">
        <v>149</v>
      </c>
      <c r="Q395" t="s">
        <v>229</v>
      </c>
    </row>
    <row r="396" spans="1:17" x14ac:dyDescent="0.25">
      <c r="A396" t="s">
        <v>21</v>
      </c>
      <c r="B396" t="s">
        <v>35</v>
      </c>
      <c r="C396" t="s">
        <v>52</v>
      </c>
      <c r="D396" t="s">
        <v>59</v>
      </c>
      <c r="E396">
        <v>86823</v>
      </c>
      <c r="F396">
        <v>0</v>
      </c>
      <c r="G396" t="s">
        <v>65</v>
      </c>
      <c r="I396" t="s">
        <v>56</v>
      </c>
      <c r="J396" t="s">
        <v>81</v>
      </c>
      <c r="K396" t="s">
        <v>101</v>
      </c>
      <c r="L396" t="s">
        <v>127</v>
      </c>
      <c r="M396">
        <v>10</v>
      </c>
      <c r="N396">
        <v>10</v>
      </c>
      <c r="O396" t="s">
        <v>149</v>
      </c>
      <c r="P396" t="s">
        <v>156</v>
      </c>
      <c r="Q396" t="s">
        <v>162</v>
      </c>
    </row>
    <row r="397" spans="1:17" x14ac:dyDescent="0.25">
      <c r="A397" t="s">
        <v>21</v>
      </c>
      <c r="B397" t="s">
        <v>35</v>
      </c>
      <c r="C397" t="s">
        <v>37</v>
      </c>
      <c r="D397" t="s">
        <v>54</v>
      </c>
      <c r="E397">
        <v>90234</v>
      </c>
      <c r="F397">
        <v>10883</v>
      </c>
      <c r="G397" t="s">
        <v>65</v>
      </c>
      <c r="I397" t="s">
        <v>71</v>
      </c>
      <c r="J397" t="s">
        <v>78</v>
      </c>
      <c r="K397" t="s">
        <v>105</v>
      </c>
      <c r="L397" t="s">
        <v>133</v>
      </c>
      <c r="M397">
        <v>10</v>
      </c>
      <c r="N397">
        <v>9</v>
      </c>
      <c r="O397" t="s">
        <v>148</v>
      </c>
      <c r="P397" t="s">
        <v>155</v>
      </c>
      <c r="Q397" t="s">
        <v>184</v>
      </c>
    </row>
    <row r="398" spans="1:17" x14ac:dyDescent="0.25">
      <c r="A398" t="s">
        <v>19</v>
      </c>
      <c r="B398" t="s">
        <v>22</v>
      </c>
      <c r="C398" t="s">
        <v>53</v>
      </c>
      <c r="D398" t="s">
        <v>62</v>
      </c>
      <c r="E398">
        <v>117376</v>
      </c>
      <c r="F398">
        <v>20584</v>
      </c>
      <c r="G398" t="s">
        <v>63</v>
      </c>
      <c r="J398" t="s">
        <v>81</v>
      </c>
      <c r="K398" t="s">
        <v>101</v>
      </c>
      <c r="L398" t="s">
        <v>127</v>
      </c>
      <c r="M398">
        <v>15</v>
      </c>
      <c r="N398">
        <v>15</v>
      </c>
      <c r="O398" t="s">
        <v>150</v>
      </c>
      <c r="P398" t="s">
        <v>156</v>
      </c>
      <c r="Q398" t="s">
        <v>169</v>
      </c>
    </row>
    <row r="399" spans="1:17" x14ac:dyDescent="0.25">
      <c r="A399" t="s">
        <v>19</v>
      </c>
      <c r="B399" t="s">
        <v>34</v>
      </c>
      <c r="C399" t="s">
        <v>37</v>
      </c>
      <c r="D399" t="s">
        <v>58</v>
      </c>
      <c r="E399">
        <v>85417</v>
      </c>
      <c r="F399">
        <v>14866</v>
      </c>
      <c r="G399" t="s">
        <v>64</v>
      </c>
      <c r="I399" t="s">
        <v>70</v>
      </c>
      <c r="J399" t="s">
        <v>80</v>
      </c>
      <c r="K399" t="s">
        <v>93</v>
      </c>
      <c r="L399" t="s">
        <v>93</v>
      </c>
      <c r="M399">
        <v>2</v>
      </c>
      <c r="N399">
        <v>2</v>
      </c>
      <c r="O399" t="s">
        <v>151</v>
      </c>
      <c r="P399" t="s">
        <v>156</v>
      </c>
      <c r="Q399" t="s">
        <v>328</v>
      </c>
    </row>
    <row r="400" spans="1:17" x14ac:dyDescent="0.25">
      <c r="A400" t="s">
        <v>20</v>
      </c>
      <c r="B400" t="s">
        <v>22</v>
      </c>
      <c r="C400" t="s">
        <v>39</v>
      </c>
      <c r="D400" t="s">
        <v>60</v>
      </c>
      <c r="E400">
        <v>67307</v>
      </c>
      <c r="F400">
        <v>0</v>
      </c>
      <c r="G400" t="s">
        <v>63</v>
      </c>
      <c r="I400" t="s">
        <v>56</v>
      </c>
      <c r="J400" t="s">
        <v>77</v>
      </c>
      <c r="K400" t="s">
        <v>111</v>
      </c>
      <c r="L400" t="s">
        <v>141</v>
      </c>
      <c r="M400">
        <v>7</v>
      </c>
      <c r="N400">
        <v>7</v>
      </c>
      <c r="O400" t="s">
        <v>153</v>
      </c>
      <c r="P400" t="s">
        <v>157</v>
      </c>
      <c r="Q400" t="s">
        <v>197</v>
      </c>
    </row>
    <row r="401" spans="1:17" x14ac:dyDescent="0.25">
      <c r="A401" t="s">
        <v>19</v>
      </c>
      <c r="B401" t="s">
        <v>33</v>
      </c>
      <c r="C401" t="s">
        <v>42</v>
      </c>
      <c r="D401" t="s">
        <v>57</v>
      </c>
      <c r="E401">
        <v>131939</v>
      </c>
      <c r="F401">
        <v>3110</v>
      </c>
      <c r="G401" t="s">
        <v>64</v>
      </c>
      <c r="I401" t="s">
        <v>71</v>
      </c>
      <c r="J401" t="s">
        <v>75</v>
      </c>
      <c r="K401" t="s">
        <v>96</v>
      </c>
      <c r="L401" t="s">
        <v>121</v>
      </c>
      <c r="M401">
        <v>10</v>
      </c>
      <c r="N401">
        <v>8</v>
      </c>
      <c r="O401" t="s">
        <v>149</v>
      </c>
      <c r="P401" t="s">
        <v>157</v>
      </c>
      <c r="Q401" t="s">
        <v>240</v>
      </c>
    </row>
    <row r="402" spans="1:17" x14ac:dyDescent="0.25">
      <c r="A402" t="s">
        <v>21</v>
      </c>
      <c r="B402" t="s">
        <v>29</v>
      </c>
      <c r="C402" t="s">
        <v>42</v>
      </c>
      <c r="D402" t="s">
        <v>61</v>
      </c>
      <c r="E402">
        <v>99478</v>
      </c>
      <c r="F402">
        <v>9034</v>
      </c>
      <c r="G402" t="s">
        <v>68</v>
      </c>
      <c r="I402" t="s">
        <v>71</v>
      </c>
      <c r="J402" t="s">
        <v>78</v>
      </c>
      <c r="K402" t="s">
        <v>90</v>
      </c>
      <c r="L402" t="s">
        <v>147</v>
      </c>
      <c r="M402">
        <v>12</v>
      </c>
      <c r="N402">
        <v>10</v>
      </c>
      <c r="O402" t="s">
        <v>149</v>
      </c>
      <c r="P402" t="s">
        <v>155</v>
      </c>
      <c r="Q402" t="s">
        <v>184</v>
      </c>
    </row>
    <row r="403" spans="1:17" x14ac:dyDescent="0.25">
      <c r="A403" t="s">
        <v>20</v>
      </c>
      <c r="B403" t="s">
        <v>22</v>
      </c>
      <c r="C403" t="s">
        <v>48</v>
      </c>
      <c r="D403" t="s">
        <v>61</v>
      </c>
      <c r="E403">
        <v>46804</v>
      </c>
      <c r="F403">
        <v>612</v>
      </c>
      <c r="G403" t="s">
        <v>65</v>
      </c>
      <c r="I403" t="s">
        <v>70</v>
      </c>
      <c r="J403" t="s">
        <v>73</v>
      </c>
      <c r="K403" t="s">
        <v>83</v>
      </c>
      <c r="L403" t="s">
        <v>113</v>
      </c>
      <c r="M403">
        <v>3</v>
      </c>
      <c r="N403">
        <v>3</v>
      </c>
      <c r="O403" t="s">
        <v>153</v>
      </c>
      <c r="P403" t="s">
        <v>155</v>
      </c>
      <c r="Q403" t="s">
        <v>212</v>
      </c>
    </row>
    <row r="404" spans="1:17" x14ac:dyDescent="0.25">
      <c r="A404" t="s">
        <v>20</v>
      </c>
      <c r="B404" t="s">
        <v>28</v>
      </c>
      <c r="C404" t="s">
        <v>37</v>
      </c>
      <c r="E404">
        <v>45146</v>
      </c>
      <c r="F404">
        <v>3117</v>
      </c>
      <c r="G404" t="s">
        <v>68</v>
      </c>
      <c r="I404" t="s">
        <v>71</v>
      </c>
      <c r="J404" t="s">
        <v>75</v>
      </c>
      <c r="K404" t="s">
        <v>108</v>
      </c>
      <c r="L404" t="s">
        <v>135</v>
      </c>
      <c r="M404">
        <v>1</v>
      </c>
      <c r="N404">
        <v>0</v>
      </c>
      <c r="O404" t="s">
        <v>152</v>
      </c>
      <c r="P404" t="s">
        <v>154</v>
      </c>
      <c r="Q404" t="s">
        <v>174</v>
      </c>
    </row>
    <row r="405" spans="1:17" x14ac:dyDescent="0.25">
      <c r="A405" t="s">
        <v>20</v>
      </c>
      <c r="B405" t="s">
        <v>31</v>
      </c>
      <c r="C405" t="s">
        <v>53</v>
      </c>
      <c r="D405" t="s">
        <v>58</v>
      </c>
      <c r="E405">
        <v>103454</v>
      </c>
      <c r="F405">
        <v>25623</v>
      </c>
      <c r="G405" t="s">
        <v>65</v>
      </c>
      <c r="I405" t="s">
        <v>71</v>
      </c>
      <c r="J405" t="s">
        <v>81</v>
      </c>
      <c r="K405" t="s">
        <v>98</v>
      </c>
      <c r="L405" t="s">
        <v>123</v>
      </c>
      <c r="M405">
        <v>7</v>
      </c>
      <c r="N405">
        <v>4</v>
      </c>
      <c r="O405" t="s">
        <v>151</v>
      </c>
      <c r="P405" t="s">
        <v>156</v>
      </c>
      <c r="Q405" t="s">
        <v>329</v>
      </c>
    </row>
    <row r="406" spans="1:17" x14ac:dyDescent="0.25">
      <c r="A406" t="s">
        <v>17</v>
      </c>
      <c r="B406" t="s">
        <v>25</v>
      </c>
      <c r="C406" t="s">
        <v>43</v>
      </c>
      <c r="D406" t="s">
        <v>58</v>
      </c>
      <c r="E406">
        <v>140230</v>
      </c>
      <c r="F406">
        <v>0</v>
      </c>
      <c r="G406" t="s">
        <v>67</v>
      </c>
      <c r="I406" t="s">
        <v>56</v>
      </c>
      <c r="J406" t="s">
        <v>77</v>
      </c>
      <c r="K406" t="s">
        <v>111</v>
      </c>
      <c r="L406" t="s">
        <v>141</v>
      </c>
      <c r="M406">
        <v>25</v>
      </c>
      <c r="N406">
        <v>25</v>
      </c>
      <c r="O406" t="s">
        <v>151</v>
      </c>
      <c r="P406" t="s">
        <v>156</v>
      </c>
      <c r="Q406" t="s">
        <v>162</v>
      </c>
    </row>
    <row r="407" spans="1:17" x14ac:dyDescent="0.25">
      <c r="A407" t="s">
        <v>19</v>
      </c>
      <c r="B407" t="s">
        <v>30</v>
      </c>
      <c r="C407" t="s">
        <v>36</v>
      </c>
      <c r="D407" t="s">
        <v>59</v>
      </c>
      <c r="E407">
        <v>1657577</v>
      </c>
      <c r="F407">
        <v>74305</v>
      </c>
      <c r="G407" t="s">
        <v>66</v>
      </c>
      <c r="I407" t="s">
        <v>70</v>
      </c>
      <c r="J407" t="s">
        <v>77</v>
      </c>
      <c r="K407" t="s">
        <v>89</v>
      </c>
      <c r="L407" t="s">
        <v>124</v>
      </c>
      <c r="M407">
        <v>15</v>
      </c>
      <c r="N407">
        <v>12</v>
      </c>
      <c r="O407" t="s">
        <v>151</v>
      </c>
      <c r="P407" t="s">
        <v>155</v>
      </c>
      <c r="Q407" t="s">
        <v>189</v>
      </c>
    </row>
    <row r="408" spans="1:17" x14ac:dyDescent="0.25">
      <c r="A408" t="s">
        <v>18</v>
      </c>
      <c r="B408" t="s">
        <v>31</v>
      </c>
      <c r="C408" t="s">
        <v>48</v>
      </c>
      <c r="D408" t="s">
        <v>60</v>
      </c>
      <c r="E408">
        <v>182586</v>
      </c>
      <c r="F408">
        <v>10902</v>
      </c>
      <c r="G408" t="s">
        <v>67</v>
      </c>
      <c r="I408" t="s">
        <v>69</v>
      </c>
      <c r="J408" t="s">
        <v>72</v>
      </c>
      <c r="K408" t="s">
        <v>82</v>
      </c>
      <c r="L408" t="s">
        <v>112</v>
      </c>
      <c r="M408">
        <v>0</v>
      </c>
      <c r="N408">
        <v>0</v>
      </c>
      <c r="O408" t="s">
        <v>148</v>
      </c>
      <c r="P408" t="s">
        <v>154</v>
      </c>
      <c r="Q408" t="s">
        <v>171</v>
      </c>
    </row>
    <row r="409" spans="1:17" x14ac:dyDescent="0.25">
      <c r="A409" t="s">
        <v>21</v>
      </c>
      <c r="B409" t="s">
        <v>29</v>
      </c>
      <c r="C409" t="s">
        <v>48</v>
      </c>
      <c r="D409" t="s">
        <v>60</v>
      </c>
      <c r="E409">
        <v>112785</v>
      </c>
      <c r="F409">
        <v>7383</v>
      </c>
      <c r="G409" t="s">
        <v>64</v>
      </c>
      <c r="I409" t="s">
        <v>70</v>
      </c>
      <c r="J409" t="s">
        <v>76</v>
      </c>
      <c r="K409" t="s">
        <v>100</v>
      </c>
      <c r="L409" t="s">
        <v>132</v>
      </c>
      <c r="M409">
        <v>25</v>
      </c>
      <c r="N409">
        <v>25</v>
      </c>
      <c r="O409" t="s">
        <v>152</v>
      </c>
      <c r="P409" t="s">
        <v>156</v>
      </c>
      <c r="Q409" t="s">
        <v>208</v>
      </c>
    </row>
    <row r="410" spans="1:17" x14ac:dyDescent="0.25">
      <c r="A410" t="s">
        <v>19</v>
      </c>
      <c r="B410" t="s">
        <v>25</v>
      </c>
      <c r="C410" t="s">
        <v>49</v>
      </c>
      <c r="E410">
        <v>58856</v>
      </c>
      <c r="F410">
        <v>4995</v>
      </c>
      <c r="G410" t="s">
        <v>63</v>
      </c>
      <c r="I410" t="s">
        <v>69</v>
      </c>
      <c r="J410" t="s">
        <v>77</v>
      </c>
      <c r="K410" t="s">
        <v>110</v>
      </c>
      <c r="L410" t="s">
        <v>145</v>
      </c>
      <c r="M410">
        <v>4</v>
      </c>
      <c r="N410">
        <v>4</v>
      </c>
      <c r="O410" t="s">
        <v>150</v>
      </c>
      <c r="P410" t="s">
        <v>156</v>
      </c>
      <c r="Q410" t="s">
        <v>190</v>
      </c>
    </row>
    <row r="411" spans="1:17" x14ac:dyDescent="0.25">
      <c r="A411" t="s">
        <v>17</v>
      </c>
      <c r="B411" t="s">
        <v>28</v>
      </c>
      <c r="C411" t="s">
        <v>36</v>
      </c>
      <c r="D411" t="s">
        <v>60</v>
      </c>
      <c r="E411">
        <v>48130</v>
      </c>
      <c r="F411">
        <v>10413</v>
      </c>
      <c r="G411" t="s">
        <v>65</v>
      </c>
      <c r="I411" t="s">
        <v>69</v>
      </c>
      <c r="J411" t="s">
        <v>80</v>
      </c>
      <c r="K411" t="s">
        <v>93</v>
      </c>
      <c r="L411" t="s">
        <v>93</v>
      </c>
      <c r="M411">
        <v>15</v>
      </c>
      <c r="N411">
        <v>15</v>
      </c>
      <c r="O411" t="s">
        <v>150</v>
      </c>
      <c r="P411" t="s">
        <v>157</v>
      </c>
      <c r="Q411" t="s">
        <v>189</v>
      </c>
    </row>
    <row r="412" spans="1:17" x14ac:dyDescent="0.25">
      <c r="A412" t="s">
        <v>19</v>
      </c>
      <c r="B412" t="s">
        <v>30</v>
      </c>
      <c r="C412" t="s">
        <v>49</v>
      </c>
      <c r="E412">
        <v>80669</v>
      </c>
      <c r="F412">
        <v>5103</v>
      </c>
      <c r="G412" t="s">
        <v>64</v>
      </c>
      <c r="I412" t="s">
        <v>70</v>
      </c>
      <c r="J412" t="s">
        <v>77</v>
      </c>
      <c r="K412" t="s">
        <v>111</v>
      </c>
      <c r="L412" t="s">
        <v>141</v>
      </c>
      <c r="M412">
        <v>12</v>
      </c>
      <c r="N412">
        <v>12</v>
      </c>
      <c r="O412" t="s">
        <v>149</v>
      </c>
      <c r="P412" t="s">
        <v>154</v>
      </c>
      <c r="Q412" t="s">
        <v>162</v>
      </c>
    </row>
    <row r="413" spans="1:17" x14ac:dyDescent="0.25">
      <c r="A413" t="s">
        <v>18</v>
      </c>
      <c r="B413" t="s">
        <v>28</v>
      </c>
      <c r="C413" t="s">
        <v>40</v>
      </c>
      <c r="D413" t="s">
        <v>59</v>
      </c>
      <c r="E413">
        <v>118701</v>
      </c>
      <c r="F413">
        <v>17452</v>
      </c>
      <c r="G413" t="s">
        <v>67</v>
      </c>
      <c r="J413" t="s">
        <v>73</v>
      </c>
      <c r="K413" t="s">
        <v>102</v>
      </c>
      <c r="L413" t="s">
        <v>102</v>
      </c>
      <c r="M413">
        <v>1</v>
      </c>
      <c r="N413">
        <v>0</v>
      </c>
      <c r="O413" t="s">
        <v>148</v>
      </c>
      <c r="P413" t="s">
        <v>156</v>
      </c>
      <c r="Q413" t="s">
        <v>223</v>
      </c>
    </row>
    <row r="414" spans="1:17" x14ac:dyDescent="0.25">
      <c r="A414" t="s">
        <v>19</v>
      </c>
      <c r="B414" t="s">
        <v>34</v>
      </c>
      <c r="C414" t="s">
        <v>36</v>
      </c>
      <c r="D414" t="s">
        <v>57</v>
      </c>
      <c r="E414">
        <v>139843</v>
      </c>
      <c r="F414">
        <v>11955</v>
      </c>
      <c r="G414" t="s">
        <v>67</v>
      </c>
      <c r="I414" t="s">
        <v>70</v>
      </c>
      <c r="J414" t="s">
        <v>81</v>
      </c>
      <c r="K414" t="s">
        <v>98</v>
      </c>
      <c r="L414" t="s">
        <v>123</v>
      </c>
      <c r="M414">
        <v>8</v>
      </c>
      <c r="N414">
        <v>8</v>
      </c>
      <c r="O414" t="s">
        <v>152</v>
      </c>
      <c r="P414" t="s">
        <v>155</v>
      </c>
      <c r="Q414" t="s">
        <v>181</v>
      </c>
    </row>
    <row r="415" spans="1:17" x14ac:dyDescent="0.25">
      <c r="A415" t="s">
        <v>20</v>
      </c>
      <c r="B415" t="s">
        <v>25</v>
      </c>
      <c r="C415" t="s">
        <v>36</v>
      </c>
      <c r="D415" t="s">
        <v>62</v>
      </c>
      <c r="E415">
        <v>106420</v>
      </c>
      <c r="F415">
        <v>29713</v>
      </c>
      <c r="G415" t="s">
        <v>64</v>
      </c>
      <c r="I415" t="s">
        <v>69</v>
      </c>
      <c r="J415" t="s">
        <v>81</v>
      </c>
      <c r="K415" t="s">
        <v>98</v>
      </c>
      <c r="L415" t="s">
        <v>123</v>
      </c>
      <c r="M415">
        <v>5</v>
      </c>
      <c r="N415">
        <v>3</v>
      </c>
      <c r="O415" t="s">
        <v>148</v>
      </c>
      <c r="P415" t="s">
        <v>154</v>
      </c>
      <c r="Q415" t="s">
        <v>162</v>
      </c>
    </row>
    <row r="416" spans="1:17" x14ac:dyDescent="0.25">
      <c r="A416" t="s">
        <v>20</v>
      </c>
      <c r="B416" t="s">
        <v>27</v>
      </c>
      <c r="C416" t="s">
        <v>51</v>
      </c>
      <c r="D416" t="s">
        <v>57</v>
      </c>
      <c r="E416">
        <v>90141</v>
      </c>
      <c r="F416">
        <v>7664</v>
      </c>
      <c r="G416" t="s">
        <v>64</v>
      </c>
      <c r="J416" t="s">
        <v>79</v>
      </c>
      <c r="K416" t="s">
        <v>91</v>
      </c>
      <c r="L416" t="s">
        <v>118</v>
      </c>
      <c r="M416">
        <v>3</v>
      </c>
      <c r="N416">
        <v>1</v>
      </c>
      <c r="O416" t="s">
        <v>152</v>
      </c>
      <c r="P416" t="s">
        <v>156</v>
      </c>
      <c r="Q416" t="s">
        <v>165</v>
      </c>
    </row>
    <row r="417" spans="1:17" x14ac:dyDescent="0.25">
      <c r="A417" t="s">
        <v>17</v>
      </c>
      <c r="B417" t="s">
        <v>27</v>
      </c>
      <c r="C417" t="s">
        <v>36</v>
      </c>
      <c r="D417" t="s">
        <v>62</v>
      </c>
      <c r="E417">
        <v>595513</v>
      </c>
      <c r="F417">
        <v>0</v>
      </c>
      <c r="G417" t="s">
        <v>66</v>
      </c>
      <c r="I417" t="s">
        <v>70</v>
      </c>
      <c r="J417" t="s">
        <v>78</v>
      </c>
      <c r="K417" t="s">
        <v>88</v>
      </c>
      <c r="L417" t="s">
        <v>128</v>
      </c>
      <c r="M417">
        <v>25</v>
      </c>
      <c r="N417">
        <v>25</v>
      </c>
      <c r="O417" t="s">
        <v>149</v>
      </c>
      <c r="P417" t="s">
        <v>157</v>
      </c>
      <c r="Q417" t="s">
        <v>181</v>
      </c>
    </row>
    <row r="418" spans="1:17" x14ac:dyDescent="0.25">
      <c r="A418" t="s">
        <v>20</v>
      </c>
      <c r="B418" t="s">
        <v>25</v>
      </c>
      <c r="C418" t="s">
        <v>39</v>
      </c>
      <c r="D418" t="s">
        <v>62</v>
      </c>
      <c r="E418">
        <v>77726</v>
      </c>
      <c r="F418">
        <v>0</v>
      </c>
      <c r="G418" t="s">
        <v>63</v>
      </c>
      <c r="I418" t="s">
        <v>71</v>
      </c>
      <c r="J418" t="s">
        <v>73</v>
      </c>
      <c r="K418" t="s">
        <v>99</v>
      </c>
      <c r="L418" t="s">
        <v>125</v>
      </c>
      <c r="M418">
        <v>0</v>
      </c>
      <c r="N418">
        <v>0</v>
      </c>
      <c r="O418" t="s">
        <v>153</v>
      </c>
      <c r="P418" t="s">
        <v>156</v>
      </c>
      <c r="Q418" t="s">
        <v>209</v>
      </c>
    </row>
    <row r="419" spans="1:17" x14ac:dyDescent="0.25">
      <c r="A419" t="s">
        <v>17</v>
      </c>
      <c r="B419" t="s">
        <v>22</v>
      </c>
      <c r="C419" t="s">
        <v>47</v>
      </c>
      <c r="E419">
        <v>144225</v>
      </c>
      <c r="F419">
        <v>0</v>
      </c>
      <c r="G419" t="s">
        <v>67</v>
      </c>
      <c r="I419" t="s">
        <v>69</v>
      </c>
      <c r="J419" t="s">
        <v>72</v>
      </c>
      <c r="K419" t="s">
        <v>95</v>
      </c>
      <c r="L419" t="s">
        <v>120</v>
      </c>
      <c r="M419">
        <v>15</v>
      </c>
      <c r="N419">
        <v>14</v>
      </c>
      <c r="O419" t="s">
        <v>151</v>
      </c>
      <c r="P419" t="s">
        <v>157</v>
      </c>
      <c r="Q419" t="s">
        <v>330</v>
      </c>
    </row>
    <row r="420" spans="1:17" x14ac:dyDescent="0.25">
      <c r="A420" t="s">
        <v>17</v>
      </c>
      <c r="B420" t="s">
        <v>24</v>
      </c>
      <c r="C420" t="s">
        <v>46</v>
      </c>
      <c r="D420" t="s">
        <v>57</v>
      </c>
      <c r="E420">
        <v>464312</v>
      </c>
      <c r="F420">
        <v>19113</v>
      </c>
      <c r="G420" t="s">
        <v>66</v>
      </c>
      <c r="J420" t="s">
        <v>72</v>
      </c>
      <c r="K420" t="s">
        <v>82</v>
      </c>
      <c r="L420" t="s">
        <v>112</v>
      </c>
      <c r="M420">
        <v>25</v>
      </c>
      <c r="N420">
        <v>25</v>
      </c>
      <c r="O420" t="s">
        <v>148</v>
      </c>
      <c r="P420" t="s">
        <v>157</v>
      </c>
      <c r="Q420" t="s">
        <v>331</v>
      </c>
    </row>
    <row r="421" spans="1:17" x14ac:dyDescent="0.25">
      <c r="A421" t="s">
        <v>18</v>
      </c>
      <c r="B421" t="s">
        <v>35</v>
      </c>
      <c r="C421" t="s">
        <v>49</v>
      </c>
      <c r="E421">
        <v>111752</v>
      </c>
      <c r="F421">
        <v>883</v>
      </c>
      <c r="G421" t="s">
        <v>65</v>
      </c>
      <c r="I421" t="s">
        <v>56</v>
      </c>
      <c r="J421" t="s">
        <v>73</v>
      </c>
      <c r="K421" t="s">
        <v>83</v>
      </c>
      <c r="L421" t="s">
        <v>113</v>
      </c>
      <c r="M421">
        <v>0</v>
      </c>
      <c r="N421">
        <v>0</v>
      </c>
      <c r="O421" t="s">
        <v>153</v>
      </c>
      <c r="P421" t="s">
        <v>155</v>
      </c>
      <c r="Q421" t="s">
        <v>332</v>
      </c>
    </row>
    <row r="422" spans="1:17" x14ac:dyDescent="0.25">
      <c r="A422" t="s">
        <v>20</v>
      </c>
      <c r="B422" t="s">
        <v>32</v>
      </c>
      <c r="C422" t="s">
        <v>41</v>
      </c>
      <c r="D422" t="s">
        <v>57</v>
      </c>
      <c r="E422">
        <v>68779</v>
      </c>
      <c r="F422">
        <v>3365</v>
      </c>
      <c r="G422" t="s">
        <v>67</v>
      </c>
      <c r="J422" t="s">
        <v>74</v>
      </c>
      <c r="K422" t="s">
        <v>84</v>
      </c>
      <c r="L422" t="s">
        <v>74</v>
      </c>
      <c r="M422">
        <v>7</v>
      </c>
      <c r="N422">
        <v>4</v>
      </c>
      <c r="O422" t="s">
        <v>153</v>
      </c>
      <c r="P422" t="s">
        <v>157</v>
      </c>
      <c r="Q422" t="s">
        <v>173</v>
      </c>
    </row>
    <row r="423" spans="1:17" x14ac:dyDescent="0.25">
      <c r="A423" t="s">
        <v>19</v>
      </c>
      <c r="B423" t="s">
        <v>28</v>
      </c>
      <c r="C423" t="s">
        <v>45</v>
      </c>
      <c r="D423" t="s">
        <v>60</v>
      </c>
      <c r="E423">
        <v>894245</v>
      </c>
      <c r="F423">
        <v>50810</v>
      </c>
      <c r="G423" t="s">
        <v>66</v>
      </c>
      <c r="I423" t="s">
        <v>70</v>
      </c>
      <c r="J423" t="s">
        <v>75</v>
      </c>
      <c r="K423" t="s">
        <v>108</v>
      </c>
      <c r="L423" t="s">
        <v>135</v>
      </c>
      <c r="M423">
        <v>15</v>
      </c>
      <c r="N423">
        <v>14</v>
      </c>
      <c r="O423" t="s">
        <v>148</v>
      </c>
      <c r="P423" t="s">
        <v>157</v>
      </c>
      <c r="Q423" t="s">
        <v>333</v>
      </c>
    </row>
    <row r="424" spans="1:17" x14ac:dyDescent="0.25">
      <c r="A424" t="s">
        <v>17</v>
      </c>
      <c r="B424" t="s">
        <v>26</v>
      </c>
      <c r="C424" t="s">
        <v>42</v>
      </c>
      <c r="E424">
        <v>76713</v>
      </c>
      <c r="F424">
        <v>9101</v>
      </c>
      <c r="G424" t="s">
        <v>63</v>
      </c>
      <c r="I424" t="s">
        <v>56</v>
      </c>
      <c r="J424" t="s">
        <v>76</v>
      </c>
      <c r="K424" t="s">
        <v>100</v>
      </c>
      <c r="L424" t="s">
        <v>126</v>
      </c>
      <c r="M424">
        <v>10</v>
      </c>
      <c r="N424">
        <v>8</v>
      </c>
      <c r="O424" t="s">
        <v>149</v>
      </c>
      <c r="P424" t="s">
        <v>155</v>
      </c>
      <c r="Q424" t="s">
        <v>166</v>
      </c>
    </row>
    <row r="425" spans="1:17" x14ac:dyDescent="0.25">
      <c r="A425" t="s">
        <v>17</v>
      </c>
      <c r="B425" t="s">
        <v>33</v>
      </c>
      <c r="C425" t="s">
        <v>47</v>
      </c>
      <c r="D425" t="s">
        <v>60</v>
      </c>
      <c r="E425">
        <v>48668</v>
      </c>
      <c r="F425">
        <v>0</v>
      </c>
      <c r="G425" t="s">
        <v>68</v>
      </c>
      <c r="I425" t="s">
        <v>69</v>
      </c>
      <c r="J425" t="s">
        <v>79</v>
      </c>
      <c r="K425" t="s">
        <v>107</v>
      </c>
      <c r="L425" t="s">
        <v>134</v>
      </c>
      <c r="M425">
        <v>10</v>
      </c>
      <c r="N425">
        <v>9</v>
      </c>
      <c r="O425" t="s">
        <v>149</v>
      </c>
      <c r="P425" t="s">
        <v>155</v>
      </c>
      <c r="Q425" t="s">
        <v>261</v>
      </c>
    </row>
    <row r="426" spans="1:17" x14ac:dyDescent="0.25">
      <c r="A426" t="s">
        <v>20</v>
      </c>
      <c r="B426" t="s">
        <v>25</v>
      </c>
      <c r="C426" t="s">
        <v>52</v>
      </c>
      <c r="D426" t="s">
        <v>57</v>
      </c>
      <c r="E426">
        <v>105362</v>
      </c>
      <c r="F426">
        <v>1453</v>
      </c>
      <c r="G426" t="s">
        <v>67</v>
      </c>
      <c r="I426" t="s">
        <v>70</v>
      </c>
      <c r="J426" t="s">
        <v>78</v>
      </c>
      <c r="K426" t="s">
        <v>88</v>
      </c>
      <c r="L426" t="s">
        <v>117</v>
      </c>
      <c r="M426">
        <v>4</v>
      </c>
      <c r="N426">
        <v>3</v>
      </c>
      <c r="O426" t="s">
        <v>150</v>
      </c>
      <c r="P426" t="s">
        <v>157</v>
      </c>
      <c r="Q426" t="s">
        <v>159</v>
      </c>
    </row>
    <row r="427" spans="1:17" x14ac:dyDescent="0.25">
      <c r="A427" t="s">
        <v>20</v>
      </c>
      <c r="B427" t="s">
        <v>23</v>
      </c>
      <c r="C427" t="s">
        <v>44</v>
      </c>
      <c r="D427" t="s">
        <v>55</v>
      </c>
      <c r="E427">
        <v>50316</v>
      </c>
      <c r="F427">
        <v>6023</v>
      </c>
      <c r="G427" t="s">
        <v>68</v>
      </c>
      <c r="I427" t="s">
        <v>56</v>
      </c>
      <c r="J427" t="s">
        <v>77</v>
      </c>
      <c r="K427" t="s">
        <v>111</v>
      </c>
      <c r="L427" t="s">
        <v>141</v>
      </c>
      <c r="M427">
        <v>1</v>
      </c>
      <c r="N427">
        <v>0</v>
      </c>
      <c r="O427" t="s">
        <v>153</v>
      </c>
      <c r="P427" t="s">
        <v>156</v>
      </c>
      <c r="Q427" t="s">
        <v>180</v>
      </c>
    </row>
    <row r="428" spans="1:17" x14ac:dyDescent="0.25">
      <c r="A428" t="s">
        <v>20</v>
      </c>
      <c r="B428" t="s">
        <v>32</v>
      </c>
      <c r="C428" t="s">
        <v>53</v>
      </c>
      <c r="D428" t="s">
        <v>60</v>
      </c>
      <c r="E428">
        <v>113247</v>
      </c>
      <c r="F428">
        <v>9212</v>
      </c>
      <c r="G428" t="s">
        <v>63</v>
      </c>
      <c r="I428" t="s">
        <v>69</v>
      </c>
      <c r="J428" t="s">
        <v>74</v>
      </c>
      <c r="K428" t="s">
        <v>84</v>
      </c>
      <c r="L428" t="s">
        <v>74</v>
      </c>
      <c r="M428">
        <v>2</v>
      </c>
      <c r="N428">
        <v>0</v>
      </c>
      <c r="O428" t="s">
        <v>150</v>
      </c>
      <c r="P428" t="s">
        <v>154</v>
      </c>
      <c r="Q428" t="s">
        <v>334</v>
      </c>
    </row>
    <row r="429" spans="1:17" x14ac:dyDescent="0.25">
      <c r="A429" t="s">
        <v>21</v>
      </c>
      <c r="B429" t="s">
        <v>23</v>
      </c>
      <c r="C429" t="s">
        <v>53</v>
      </c>
      <c r="D429" t="s">
        <v>55</v>
      </c>
      <c r="E429">
        <v>72924</v>
      </c>
      <c r="F429">
        <v>4668</v>
      </c>
      <c r="G429" t="s">
        <v>67</v>
      </c>
      <c r="J429" t="s">
        <v>78</v>
      </c>
      <c r="K429" t="s">
        <v>104</v>
      </c>
      <c r="L429" t="s">
        <v>131</v>
      </c>
      <c r="M429">
        <v>12</v>
      </c>
      <c r="N429">
        <v>12</v>
      </c>
      <c r="O429" t="s">
        <v>150</v>
      </c>
      <c r="P429" t="s">
        <v>155</v>
      </c>
      <c r="Q429" t="s">
        <v>284</v>
      </c>
    </row>
    <row r="430" spans="1:17" x14ac:dyDescent="0.25">
      <c r="A430" t="s">
        <v>21</v>
      </c>
      <c r="B430" t="s">
        <v>32</v>
      </c>
      <c r="C430" t="s">
        <v>38</v>
      </c>
      <c r="D430" t="s">
        <v>58</v>
      </c>
      <c r="E430">
        <v>39666</v>
      </c>
      <c r="F430">
        <v>3531</v>
      </c>
      <c r="G430" t="s">
        <v>65</v>
      </c>
      <c r="I430" t="s">
        <v>71</v>
      </c>
      <c r="J430" t="s">
        <v>81</v>
      </c>
      <c r="K430" t="s">
        <v>98</v>
      </c>
      <c r="L430" t="s">
        <v>123</v>
      </c>
      <c r="M430">
        <v>18</v>
      </c>
      <c r="N430">
        <v>15</v>
      </c>
      <c r="O430" t="s">
        <v>148</v>
      </c>
      <c r="P430" t="s">
        <v>155</v>
      </c>
      <c r="Q430" t="s">
        <v>234</v>
      </c>
    </row>
    <row r="431" spans="1:17" x14ac:dyDescent="0.25">
      <c r="A431" t="s">
        <v>19</v>
      </c>
      <c r="B431" t="s">
        <v>32</v>
      </c>
      <c r="C431" t="s">
        <v>43</v>
      </c>
      <c r="D431" t="s">
        <v>54</v>
      </c>
      <c r="E431">
        <v>163865</v>
      </c>
      <c r="F431">
        <v>465</v>
      </c>
      <c r="G431" t="s">
        <v>67</v>
      </c>
      <c r="I431" t="s">
        <v>69</v>
      </c>
      <c r="J431" t="s">
        <v>77</v>
      </c>
      <c r="K431" t="s">
        <v>97</v>
      </c>
      <c r="L431" t="s">
        <v>122</v>
      </c>
      <c r="M431">
        <v>4</v>
      </c>
      <c r="N431">
        <v>4</v>
      </c>
      <c r="O431" t="s">
        <v>150</v>
      </c>
      <c r="P431" t="s">
        <v>154</v>
      </c>
      <c r="Q431" t="s">
        <v>335</v>
      </c>
    </row>
    <row r="432" spans="1:17" x14ac:dyDescent="0.25">
      <c r="A432" t="s">
        <v>20</v>
      </c>
      <c r="B432" t="s">
        <v>22</v>
      </c>
      <c r="C432" t="s">
        <v>44</v>
      </c>
      <c r="D432" t="s">
        <v>54</v>
      </c>
      <c r="E432">
        <v>106517</v>
      </c>
      <c r="F432">
        <v>4230</v>
      </c>
      <c r="G432" t="s">
        <v>67</v>
      </c>
      <c r="I432" t="s">
        <v>56</v>
      </c>
      <c r="J432" t="s">
        <v>77</v>
      </c>
      <c r="K432" t="s">
        <v>111</v>
      </c>
      <c r="L432" t="s">
        <v>141</v>
      </c>
      <c r="M432">
        <v>3</v>
      </c>
      <c r="N432">
        <v>2</v>
      </c>
      <c r="O432" t="s">
        <v>153</v>
      </c>
      <c r="P432" t="s">
        <v>157</v>
      </c>
      <c r="Q432" t="s">
        <v>296</v>
      </c>
    </row>
    <row r="433" spans="1:17" x14ac:dyDescent="0.25">
      <c r="A433" t="s">
        <v>20</v>
      </c>
      <c r="B433" t="s">
        <v>28</v>
      </c>
      <c r="C433" t="s">
        <v>49</v>
      </c>
      <c r="D433" t="s">
        <v>61</v>
      </c>
      <c r="E433">
        <v>73447</v>
      </c>
      <c r="F433">
        <v>971</v>
      </c>
      <c r="G433" t="s">
        <v>64</v>
      </c>
      <c r="J433" t="s">
        <v>79</v>
      </c>
      <c r="K433" t="s">
        <v>91</v>
      </c>
      <c r="L433" t="s">
        <v>118</v>
      </c>
      <c r="M433">
        <v>2</v>
      </c>
      <c r="N433">
        <v>2</v>
      </c>
      <c r="O433" t="s">
        <v>150</v>
      </c>
      <c r="P433" t="s">
        <v>157</v>
      </c>
      <c r="Q433" t="s">
        <v>188</v>
      </c>
    </row>
    <row r="434" spans="1:17" x14ac:dyDescent="0.25">
      <c r="A434" t="s">
        <v>19</v>
      </c>
      <c r="B434" t="s">
        <v>23</v>
      </c>
      <c r="C434" t="s">
        <v>36</v>
      </c>
      <c r="D434" t="s">
        <v>58</v>
      </c>
      <c r="E434">
        <v>68969</v>
      </c>
      <c r="F434">
        <v>2808</v>
      </c>
      <c r="G434" t="s">
        <v>67</v>
      </c>
      <c r="I434" t="s">
        <v>70</v>
      </c>
      <c r="J434" t="s">
        <v>76</v>
      </c>
      <c r="K434" t="s">
        <v>86</v>
      </c>
      <c r="L434" t="s">
        <v>115</v>
      </c>
      <c r="M434">
        <v>4</v>
      </c>
      <c r="N434">
        <v>1</v>
      </c>
      <c r="O434" t="s">
        <v>151</v>
      </c>
      <c r="P434" t="s">
        <v>154</v>
      </c>
      <c r="Q434" t="s">
        <v>216</v>
      </c>
    </row>
    <row r="435" spans="1:17" x14ac:dyDescent="0.25">
      <c r="A435" t="s">
        <v>19</v>
      </c>
      <c r="D435" t="s">
        <v>54</v>
      </c>
      <c r="F435">
        <v>14329</v>
      </c>
      <c r="G435" t="s">
        <v>68</v>
      </c>
      <c r="I435" t="s">
        <v>56</v>
      </c>
      <c r="J435" t="s">
        <v>76</v>
      </c>
      <c r="K435" t="s">
        <v>86</v>
      </c>
      <c r="N435">
        <v>2</v>
      </c>
      <c r="O435" t="s">
        <v>150</v>
      </c>
      <c r="Q435" t="s">
        <v>336</v>
      </c>
    </row>
    <row r="436" spans="1:17" x14ac:dyDescent="0.25">
      <c r="A436" t="s">
        <v>20</v>
      </c>
      <c r="D436" t="s">
        <v>57</v>
      </c>
      <c r="F436">
        <v>2286</v>
      </c>
      <c r="G436" t="s">
        <v>64</v>
      </c>
      <c r="J436" t="s">
        <v>72</v>
      </c>
      <c r="K436" t="s">
        <v>95</v>
      </c>
      <c r="N436">
        <v>0</v>
      </c>
      <c r="O436" t="s">
        <v>150</v>
      </c>
      <c r="Q436" t="s">
        <v>243</v>
      </c>
    </row>
    <row r="437" spans="1:17" x14ac:dyDescent="0.25">
      <c r="A437" t="s">
        <v>17</v>
      </c>
      <c r="B437" t="s">
        <v>32</v>
      </c>
      <c r="C437" t="s">
        <v>40</v>
      </c>
      <c r="D437" t="s">
        <v>62</v>
      </c>
      <c r="E437">
        <v>59221</v>
      </c>
      <c r="F437">
        <v>0</v>
      </c>
      <c r="G437" t="s">
        <v>63</v>
      </c>
      <c r="I437" t="s">
        <v>69</v>
      </c>
      <c r="J437" t="s">
        <v>77</v>
      </c>
      <c r="K437" t="s">
        <v>97</v>
      </c>
      <c r="L437" t="s">
        <v>122</v>
      </c>
      <c r="M437">
        <v>10</v>
      </c>
      <c r="N437">
        <v>10</v>
      </c>
      <c r="O437" t="s">
        <v>150</v>
      </c>
      <c r="P437" t="s">
        <v>155</v>
      </c>
      <c r="Q437" t="s">
        <v>216</v>
      </c>
    </row>
    <row r="438" spans="1:17" x14ac:dyDescent="0.25">
      <c r="A438" t="s">
        <v>19</v>
      </c>
      <c r="B438" t="s">
        <v>30</v>
      </c>
      <c r="C438" t="s">
        <v>50</v>
      </c>
      <c r="D438" t="s">
        <v>59</v>
      </c>
      <c r="E438">
        <v>79897</v>
      </c>
      <c r="F438">
        <v>7930</v>
      </c>
      <c r="G438" t="s">
        <v>67</v>
      </c>
      <c r="I438" t="s">
        <v>56</v>
      </c>
      <c r="J438" t="s">
        <v>74</v>
      </c>
      <c r="K438" t="s">
        <v>84</v>
      </c>
      <c r="L438" t="s">
        <v>74</v>
      </c>
      <c r="M438">
        <v>7</v>
      </c>
      <c r="N438">
        <v>6</v>
      </c>
      <c r="O438" t="s">
        <v>149</v>
      </c>
      <c r="P438" t="s">
        <v>156</v>
      </c>
      <c r="Q438" t="s">
        <v>165</v>
      </c>
    </row>
    <row r="439" spans="1:17" x14ac:dyDescent="0.25">
      <c r="A439" t="s">
        <v>19</v>
      </c>
      <c r="F439">
        <v>14340</v>
      </c>
      <c r="G439" t="s">
        <v>63</v>
      </c>
      <c r="I439" t="s">
        <v>69</v>
      </c>
      <c r="J439" t="s">
        <v>73</v>
      </c>
      <c r="K439" t="s">
        <v>99</v>
      </c>
      <c r="N439">
        <v>12</v>
      </c>
      <c r="O439" t="s">
        <v>151</v>
      </c>
      <c r="Q439" t="s">
        <v>171</v>
      </c>
    </row>
    <row r="440" spans="1:17" x14ac:dyDescent="0.25">
      <c r="A440" t="s">
        <v>19</v>
      </c>
      <c r="B440" t="s">
        <v>33</v>
      </c>
      <c r="C440" t="s">
        <v>41</v>
      </c>
      <c r="D440" t="s">
        <v>59</v>
      </c>
      <c r="E440">
        <v>127323</v>
      </c>
      <c r="F440">
        <v>0</v>
      </c>
      <c r="G440" t="s">
        <v>65</v>
      </c>
      <c r="I440" t="s">
        <v>71</v>
      </c>
      <c r="J440" t="s">
        <v>73</v>
      </c>
      <c r="K440" t="s">
        <v>83</v>
      </c>
      <c r="L440" t="s">
        <v>113</v>
      </c>
      <c r="M440">
        <v>18</v>
      </c>
      <c r="N440">
        <v>15</v>
      </c>
      <c r="O440" t="s">
        <v>150</v>
      </c>
      <c r="P440" t="s">
        <v>155</v>
      </c>
      <c r="Q440" t="s">
        <v>174</v>
      </c>
    </row>
    <row r="441" spans="1:17" x14ac:dyDescent="0.25">
      <c r="A441" t="s">
        <v>20</v>
      </c>
      <c r="B441" t="s">
        <v>31</v>
      </c>
      <c r="C441" t="s">
        <v>52</v>
      </c>
      <c r="D441" t="s">
        <v>55</v>
      </c>
      <c r="E441">
        <v>47466</v>
      </c>
      <c r="F441">
        <v>3332</v>
      </c>
      <c r="G441" t="s">
        <v>64</v>
      </c>
      <c r="J441" t="s">
        <v>74</v>
      </c>
      <c r="K441" t="s">
        <v>84</v>
      </c>
      <c r="L441" t="s">
        <v>74</v>
      </c>
      <c r="M441">
        <v>3</v>
      </c>
      <c r="N441">
        <v>3</v>
      </c>
      <c r="O441" t="s">
        <v>153</v>
      </c>
      <c r="P441" t="s">
        <v>157</v>
      </c>
      <c r="Q441" t="s">
        <v>210</v>
      </c>
    </row>
    <row r="442" spans="1:17" x14ac:dyDescent="0.25">
      <c r="A442" t="s">
        <v>17</v>
      </c>
      <c r="B442" t="s">
        <v>29</v>
      </c>
      <c r="C442" t="s">
        <v>37</v>
      </c>
      <c r="D442" t="s">
        <v>57</v>
      </c>
      <c r="E442">
        <v>55924</v>
      </c>
      <c r="F442">
        <v>2275</v>
      </c>
      <c r="G442" t="s">
        <v>63</v>
      </c>
      <c r="J442" t="s">
        <v>76</v>
      </c>
      <c r="K442" t="s">
        <v>92</v>
      </c>
      <c r="L442" t="s">
        <v>119</v>
      </c>
      <c r="M442">
        <v>18</v>
      </c>
      <c r="N442">
        <v>17</v>
      </c>
      <c r="O442" t="s">
        <v>152</v>
      </c>
      <c r="P442" t="s">
        <v>155</v>
      </c>
      <c r="Q442" t="s">
        <v>181</v>
      </c>
    </row>
    <row r="443" spans="1:17" x14ac:dyDescent="0.25">
      <c r="A443" t="s">
        <v>20</v>
      </c>
      <c r="B443" t="s">
        <v>27</v>
      </c>
      <c r="C443" t="s">
        <v>45</v>
      </c>
      <c r="D443" t="s">
        <v>57</v>
      </c>
      <c r="E443">
        <v>37870</v>
      </c>
      <c r="F443">
        <v>2167</v>
      </c>
      <c r="G443" t="s">
        <v>68</v>
      </c>
      <c r="I443" t="s">
        <v>71</v>
      </c>
      <c r="J443" t="s">
        <v>75</v>
      </c>
      <c r="K443" t="s">
        <v>96</v>
      </c>
      <c r="L443" t="s">
        <v>121</v>
      </c>
      <c r="M443">
        <v>0</v>
      </c>
      <c r="N443">
        <v>0</v>
      </c>
      <c r="O443" t="s">
        <v>150</v>
      </c>
      <c r="P443" t="s">
        <v>155</v>
      </c>
      <c r="Q443" t="s">
        <v>303</v>
      </c>
    </row>
    <row r="444" spans="1:17" x14ac:dyDescent="0.25">
      <c r="A444" t="s">
        <v>19</v>
      </c>
      <c r="B444" t="s">
        <v>26</v>
      </c>
      <c r="C444" t="s">
        <v>47</v>
      </c>
      <c r="D444" t="s">
        <v>61</v>
      </c>
      <c r="E444">
        <v>1063417</v>
      </c>
      <c r="F444">
        <v>228862</v>
      </c>
      <c r="G444" t="s">
        <v>66</v>
      </c>
      <c r="I444" t="s">
        <v>69</v>
      </c>
      <c r="J444" t="s">
        <v>80</v>
      </c>
      <c r="K444" t="s">
        <v>93</v>
      </c>
      <c r="L444" t="s">
        <v>93</v>
      </c>
      <c r="M444">
        <v>5</v>
      </c>
      <c r="N444">
        <v>5</v>
      </c>
      <c r="O444" t="s">
        <v>151</v>
      </c>
      <c r="P444" t="s">
        <v>154</v>
      </c>
      <c r="Q444" t="s">
        <v>169</v>
      </c>
    </row>
    <row r="445" spans="1:17" x14ac:dyDescent="0.25">
      <c r="A445" t="s">
        <v>21</v>
      </c>
      <c r="B445" t="s">
        <v>26</v>
      </c>
      <c r="C445" t="s">
        <v>43</v>
      </c>
      <c r="D445" t="s">
        <v>54</v>
      </c>
      <c r="E445">
        <v>436790</v>
      </c>
      <c r="F445">
        <v>17287</v>
      </c>
      <c r="G445" t="s">
        <v>66</v>
      </c>
      <c r="I445" t="s">
        <v>56</v>
      </c>
      <c r="J445" t="s">
        <v>78</v>
      </c>
      <c r="K445" t="s">
        <v>109</v>
      </c>
      <c r="L445" t="s">
        <v>137</v>
      </c>
      <c r="M445">
        <v>9</v>
      </c>
      <c r="N445">
        <v>8</v>
      </c>
      <c r="O445" t="s">
        <v>153</v>
      </c>
      <c r="P445" t="s">
        <v>157</v>
      </c>
      <c r="Q445" t="s">
        <v>238</v>
      </c>
    </row>
    <row r="446" spans="1:17" x14ac:dyDescent="0.25">
      <c r="A446" t="s">
        <v>21</v>
      </c>
      <c r="B446" t="s">
        <v>30</v>
      </c>
      <c r="C446" t="s">
        <v>50</v>
      </c>
      <c r="D446" t="s">
        <v>60</v>
      </c>
      <c r="E446">
        <v>408650</v>
      </c>
      <c r="F446">
        <v>0</v>
      </c>
      <c r="G446" t="s">
        <v>66</v>
      </c>
      <c r="I446" t="s">
        <v>71</v>
      </c>
      <c r="J446" t="s">
        <v>80</v>
      </c>
      <c r="K446" t="s">
        <v>106</v>
      </c>
      <c r="L446" t="s">
        <v>106</v>
      </c>
      <c r="M446">
        <v>10</v>
      </c>
      <c r="N446">
        <v>9</v>
      </c>
      <c r="O446" t="s">
        <v>149</v>
      </c>
      <c r="P446" t="s">
        <v>154</v>
      </c>
      <c r="Q446" t="s">
        <v>202</v>
      </c>
    </row>
    <row r="447" spans="1:17" x14ac:dyDescent="0.25">
      <c r="A447" t="s">
        <v>21</v>
      </c>
      <c r="D447" t="s">
        <v>62</v>
      </c>
      <c r="F447">
        <v>0</v>
      </c>
      <c r="G447" t="s">
        <v>65</v>
      </c>
      <c r="I447" t="s">
        <v>69</v>
      </c>
      <c r="J447" t="s">
        <v>79</v>
      </c>
      <c r="K447" t="s">
        <v>107</v>
      </c>
      <c r="N447">
        <v>19</v>
      </c>
      <c r="O447" t="s">
        <v>149</v>
      </c>
      <c r="Q447" t="s">
        <v>209</v>
      </c>
    </row>
    <row r="448" spans="1:17" x14ac:dyDescent="0.25">
      <c r="A448" t="s">
        <v>17</v>
      </c>
      <c r="B448" t="s">
        <v>29</v>
      </c>
      <c r="C448" t="s">
        <v>45</v>
      </c>
      <c r="D448" t="s">
        <v>57</v>
      </c>
      <c r="E448">
        <v>57541</v>
      </c>
      <c r="F448">
        <v>15207</v>
      </c>
      <c r="G448" t="s">
        <v>63</v>
      </c>
      <c r="I448" t="s">
        <v>56</v>
      </c>
      <c r="J448" t="s">
        <v>80</v>
      </c>
      <c r="K448" t="s">
        <v>106</v>
      </c>
      <c r="L448" t="s">
        <v>106</v>
      </c>
      <c r="M448">
        <v>20</v>
      </c>
      <c r="N448">
        <v>20</v>
      </c>
      <c r="O448" t="s">
        <v>149</v>
      </c>
      <c r="P448" t="s">
        <v>154</v>
      </c>
      <c r="Q448" t="s">
        <v>337</v>
      </c>
    </row>
    <row r="449" spans="1:17" x14ac:dyDescent="0.25">
      <c r="A449" t="s">
        <v>19</v>
      </c>
      <c r="B449" t="s">
        <v>30</v>
      </c>
      <c r="C449" t="s">
        <v>52</v>
      </c>
      <c r="D449" t="s">
        <v>54</v>
      </c>
      <c r="E449">
        <v>71430</v>
      </c>
      <c r="F449">
        <v>5765</v>
      </c>
      <c r="G449" t="s">
        <v>64</v>
      </c>
      <c r="I449" t="s">
        <v>71</v>
      </c>
      <c r="J449" t="s">
        <v>78</v>
      </c>
      <c r="K449" t="s">
        <v>104</v>
      </c>
      <c r="L449" t="s">
        <v>131</v>
      </c>
      <c r="M449">
        <v>4</v>
      </c>
      <c r="N449">
        <v>4</v>
      </c>
      <c r="O449" t="s">
        <v>153</v>
      </c>
      <c r="P449" t="s">
        <v>157</v>
      </c>
      <c r="Q449" t="s">
        <v>338</v>
      </c>
    </row>
    <row r="450" spans="1:17" x14ac:dyDescent="0.25">
      <c r="A450" t="s">
        <v>21</v>
      </c>
      <c r="B450" t="s">
        <v>34</v>
      </c>
      <c r="C450" t="s">
        <v>36</v>
      </c>
      <c r="D450" t="s">
        <v>60</v>
      </c>
      <c r="E450">
        <v>80377</v>
      </c>
      <c r="F450">
        <v>7535</v>
      </c>
      <c r="G450" t="s">
        <v>65</v>
      </c>
      <c r="I450" t="s">
        <v>69</v>
      </c>
      <c r="J450" t="s">
        <v>77</v>
      </c>
      <c r="K450" t="s">
        <v>110</v>
      </c>
      <c r="L450" t="s">
        <v>139</v>
      </c>
      <c r="M450">
        <v>12</v>
      </c>
      <c r="N450">
        <v>12</v>
      </c>
      <c r="O450" t="s">
        <v>148</v>
      </c>
      <c r="P450" t="s">
        <v>156</v>
      </c>
      <c r="Q450" t="s">
        <v>162</v>
      </c>
    </row>
    <row r="451" spans="1:17" x14ac:dyDescent="0.25">
      <c r="A451" t="s">
        <v>19</v>
      </c>
      <c r="B451" t="s">
        <v>32</v>
      </c>
      <c r="C451" t="s">
        <v>40</v>
      </c>
      <c r="D451" t="s">
        <v>62</v>
      </c>
      <c r="E451">
        <v>69269</v>
      </c>
      <c r="F451">
        <v>13252</v>
      </c>
      <c r="G451" t="s">
        <v>67</v>
      </c>
      <c r="J451" t="s">
        <v>79</v>
      </c>
      <c r="K451" t="s">
        <v>107</v>
      </c>
      <c r="L451" t="s">
        <v>134</v>
      </c>
      <c r="M451">
        <v>10</v>
      </c>
      <c r="N451">
        <v>7</v>
      </c>
      <c r="O451" t="s">
        <v>148</v>
      </c>
      <c r="P451" t="s">
        <v>154</v>
      </c>
      <c r="Q451" t="s">
        <v>256</v>
      </c>
    </row>
    <row r="452" spans="1:17" x14ac:dyDescent="0.25">
      <c r="A452" t="s">
        <v>17</v>
      </c>
      <c r="B452" t="s">
        <v>33</v>
      </c>
      <c r="C452" t="s">
        <v>36</v>
      </c>
      <c r="D452" t="s">
        <v>60</v>
      </c>
      <c r="E452">
        <v>59430</v>
      </c>
      <c r="F452">
        <v>5756</v>
      </c>
      <c r="G452" t="s">
        <v>68</v>
      </c>
      <c r="I452" t="s">
        <v>69</v>
      </c>
      <c r="J452" t="s">
        <v>77</v>
      </c>
      <c r="K452" t="s">
        <v>110</v>
      </c>
      <c r="L452" t="s">
        <v>145</v>
      </c>
      <c r="M452">
        <v>10</v>
      </c>
      <c r="N452">
        <v>8</v>
      </c>
      <c r="O452" t="s">
        <v>148</v>
      </c>
      <c r="P452" t="s">
        <v>156</v>
      </c>
      <c r="Q452" t="s">
        <v>339</v>
      </c>
    </row>
    <row r="453" spans="1:17" x14ac:dyDescent="0.25">
      <c r="A453" t="s">
        <v>19</v>
      </c>
      <c r="B453" t="s">
        <v>22</v>
      </c>
      <c r="C453" t="s">
        <v>50</v>
      </c>
      <c r="D453" t="s">
        <v>59</v>
      </c>
      <c r="E453">
        <v>105244</v>
      </c>
      <c r="F453">
        <v>6865</v>
      </c>
      <c r="G453" t="s">
        <v>64</v>
      </c>
      <c r="I453" t="s">
        <v>71</v>
      </c>
      <c r="J453" t="s">
        <v>73</v>
      </c>
      <c r="K453" t="s">
        <v>83</v>
      </c>
      <c r="L453" t="s">
        <v>113</v>
      </c>
      <c r="M453">
        <v>20</v>
      </c>
      <c r="N453">
        <v>20</v>
      </c>
      <c r="O453" t="s">
        <v>153</v>
      </c>
      <c r="P453" t="s">
        <v>156</v>
      </c>
      <c r="Q453" t="s">
        <v>207</v>
      </c>
    </row>
    <row r="454" spans="1:17" x14ac:dyDescent="0.25">
      <c r="A454" t="s">
        <v>19</v>
      </c>
      <c r="B454" t="s">
        <v>31</v>
      </c>
      <c r="C454" t="s">
        <v>51</v>
      </c>
      <c r="D454" t="s">
        <v>56</v>
      </c>
      <c r="E454">
        <v>99894</v>
      </c>
      <c r="F454">
        <v>9694</v>
      </c>
      <c r="G454" t="s">
        <v>68</v>
      </c>
      <c r="I454" t="s">
        <v>56</v>
      </c>
      <c r="J454" t="s">
        <v>79</v>
      </c>
      <c r="K454" t="s">
        <v>91</v>
      </c>
      <c r="L454" t="s">
        <v>118</v>
      </c>
      <c r="M454">
        <v>20</v>
      </c>
      <c r="N454">
        <v>20</v>
      </c>
      <c r="O454" t="s">
        <v>148</v>
      </c>
      <c r="P454" t="s">
        <v>154</v>
      </c>
      <c r="Q454" t="s">
        <v>340</v>
      </c>
    </row>
    <row r="455" spans="1:17" x14ac:dyDescent="0.25">
      <c r="A455" t="s">
        <v>21</v>
      </c>
      <c r="B455" t="s">
        <v>26</v>
      </c>
      <c r="C455" t="s">
        <v>52</v>
      </c>
      <c r="D455" t="s">
        <v>59</v>
      </c>
      <c r="E455">
        <v>11916</v>
      </c>
      <c r="F455">
        <v>911</v>
      </c>
      <c r="G455" t="s">
        <v>67</v>
      </c>
      <c r="I455" t="s">
        <v>69</v>
      </c>
      <c r="J455" t="s">
        <v>73</v>
      </c>
      <c r="K455" t="s">
        <v>83</v>
      </c>
      <c r="L455" t="s">
        <v>113</v>
      </c>
      <c r="M455">
        <v>20</v>
      </c>
      <c r="N455">
        <v>19</v>
      </c>
      <c r="O455" t="s">
        <v>149</v>
      </c>
      <c r="P455" t="s">
        <v>157</v>
      </c>
      <c r="Q455" t="s">
        <v>221</v>
      </c>
    </row>
    <row r="456" spans="1:17" x14ac:dyDescent="0.25">
      <c r="A456" t="s">
        <v>18</v>
      </c>
      <c r="B456" t="s">
        <v>25</v>
      </c>
      <c r="C456" t="s">
        <v>45</v>
      </c>
      <c r="D456" t="s">
        <v>56</v>
      </c>
      <c r="E456">
        <v>1007738</v>
      </c>
      <c r="F456">
        <v>186823</v>
      </c>
      <c r="G456" t="s">
        <v>66</v>
      </c>
      <c r="I456" t="s">
        <v>71</v>
      </c>
      <c r="J456" t="s">
        <v>80</v>
      </c>
      <c r="K456" t="s">
        <v>93</v>
      </c>
      <c r="L456" t="s">
        <v>93</v>
      </c>
      <c r="M456">
        <v>1</v>
      </c>
      <c r="N456">
        <v>0</v>
      </c>
      <c r="O456" t="s">
        <v>153</v>
      </c>
      <c r="P456" t="s">
        <v>156</v>
      </c>
      <c r="Q456" t="s">
        <v>190</v>
      </c>
    </row>
    <row r="457" spans="1:17" x14ac:dyDescent="0.25">
      <c r="A457" t="s">
        <v>17</v>
      </c>
      <c r="B457" t="s">
        <v>24</v>
      </c>
      <c r="C457" t="s">
        <v>50</v>
      </c>
      <c r="D457" t="s">
        <v>61</v>
      </c>
      <c r="E457">
        <v>792393</v>
      </c>
      <c r="F457">
        <v>0</v>
      </c>
      <c r="G457" t="s">
        <v>66</v>
      </c>
      <c r="I457" t="s">
        <v>70</v>
      </c>
      <c r="J457" t="s">
        <v>73</v>
      </c>
      <c r="K457" t="s">
        <v>83</v>
      </c>
      <c r="L457" t="s">
        <v>113</v>
      </c>
      <c r="M457">
        <v>15</v>
      </c>
      <c r="N457">
        <v>14</v>
      </c>
      <c r="O457" t="s">
        <v>151</v>
      </c>
      <c r="P457" t="s">
        <v>157</v>
      </c>
      <c r="Q457" t="s">
        <v>171</v>
      </c>
    </row>
    <row r="458" spans="1:17" x14ac:dyDescent="0.25">
      <c r="A458" t="s">
        <v>20</v>
      </c>
      <c r="B458" t="s">
        <v>26</v>
      </c>
      <c r="C458" t="s">
        <v>51</v>
      </c>
      <c r="D458" t="s">
        <v>55</v>
      </c>
      <c r="E458">
        <v>417783</v>
      </c>
      <c r="F458">
        <v>0</v>
      </c>
      <c r="G458" t="s">
        <v>66</v>
      </c>
      <c r="I458" t="s">
        <v>70</v>
      </c>
      <c r="J458" t="s">
        <v>75</v>
      </c>
      <c r="K458" t="s">
        <v>108</v>
      </c>
      <c r="L458" t="s">
        <v>135</v>
      </c>
      <c r="M458">
        <v>0</v>
      </c>
      <c r="N458">
        <v>0</v>
      </c>
      <c r="O458" t="s">
        <v>148</v>
      </c>
      <c r="P458" t="s">
        <v>156</v>
      </c>
      <c r="Q458" t="s">
        <v>341</v>
      </c>
    </row>
    <row r="459" spans="1:17" x14ac:dyDescent="0.25">
      <c r="A459" t="s">
        <v>20</v>
      </c>
      <c r="B459" t="s">
        <v>25</v>
      </c>
      <c r="C459" t="s">
        <v>48</v>
      </c>
      <c r="E459">
        <v>72094</v>
      </c>
      <c r="F459">
        <v>7674</v>
      </c>
      <c r="G459" t="s">
        <v>63</v>
      </c>
      <c r="I459" t="s">
        <v>70</v>
      </c>
      <c r="J459" t="s">
        <v>74</v>
      </c>
      <c r="K459" t="s">
        <v>84</v>
      </c>
      <c r="L459" t="s">
        <v>74</v>
      </c>
      <c r="M459">
        <v>4</v>
      </c>
      <c r="N459">
        <v>4</v>
      </c>
      <c r="O459" t="s">
        <v>152</v>
      </c>
      <c r="P459" t="s">
        <v>157</v>
      </c>
      <c r="Q459" t="s">
        <v>271</v>
      </c>
    </row>
    <row r="460" spans="1:17" x14ac:dyDescent="0.25">
      <c r="A460" t="s">
        <v>17</v>
      </c>
      <c r="B460" t="s">
        <v>27</v>
      </c>
      <c r="C460" t="s">
        <v>45</v>
      </c>
      <c r="D460" t="s">
        <v>54</v>
      </c>
      <c r="E460">
        <v>99678</v>
      </c>
      <c r="F460">
        <v>4744</v>
      </c>
      <c r="G460" t="s">
        <v>67</v>
      </c>
      <c r="I460" t="s">
        <v>70</v>
      </c>
      <c r="J460" t="s">
        <v>78</v>
      </c>
      <c r="K460" t="s">
        <v>88</v>
      </c>
      <c r="L460" t="s">
        <v>128</v>
      </c>
      <c r="M460">
        <v>25</v>
      </c>
      <c r="N460">
        <v>25</v>
      </c>
      <c r="O460" t="s">
        <v>150</v>
      </c>
      <c r="P460" t="s">
        <v>156</v>
      </c>
      <c r="Q460" t="s">
        <v>224</v>
      </c>
    </row>
    <row r="461" spans="1:17" x14ac:dyDescent="0.25">
      <c r="A461" t="s">
        <v>20</v>
      </c>
      <c r="B461" t="s">
        <v>35</v>
      </c>
      <c r="C461" t="s">
        <v>43</v>
      </c>
      <c r="D461" t="s">
        <v>61</v>
      </c>
      <c r="E461">
        <v>37873</v>
      </c>
      <c r="F461">
        <v>9188</v>
      </c>
      <c r="G461" t="s">
        <v>63</v>
      </c>
      <c r="I461" t="s">
        <v>71</v>
      </c>
      <c r="J461" t="s">
        <v>80</v>
      </c>
      <c r="K461" t="s">
        <v>106</v>
      </c>
      <c r="L461" t="s">
        <v>106</v>
      </c>
      <c r="M461">
        <v>2</v>
      </c>
      <c r="N461">
        <v>0</v>
      </c>
      <c r="O461" t="s">
        <v>151</v>
      </c>
      <c r="P461" t="s">
        <v>155</v>
      </c>
      <c r="Q461" t="s">
        <v>342</v>
      </c>
    </row>
    <row r="462" spans="1:17" x14ac:dyDescent="0.25">
      <c r="A462" t="s">
        <v>20</v>
      </c>
      <c r="B462" t="s">
        <v>31</v>
      </c>
      <c r="C462" t="s">
        <v>38</v>
      </c>
      <c r="D462" t="s">
        <v>56</v>
      </c>
      <c r="E462">
        <v>67930</v>
      </c>
      <c r="F462">
        <v>2521</v>
      </c>
      <c r="G462" t="s">
        <v>68</v>
      </c>
      <c r="I462" t="s">
        <v>71</v>
      </c>
      <c r="J462" t="s">
        <v>76</v>
      </c>
      <c r="K462" t="s">
        <v>100</v>
      </c>
      <c r="L462" t="s">
        <v>132</v>
      </c>
      <c r="M462">
        <v>6</v>
      </c>
      <c r="N462">
        <v>6</v>
      </c>
      <c r="O462" t="s">
        <v>150</v>
      </c>
      <c r="P462" t="s">
        <v>156</v>
      </c>
      <c r="Q462" t="s">
        <v>318</v>
      </c>
    </row>
    <row r="463" spans="1:17" x14ac:dyDescent="0.25">
      <c r="A463" t="s">
        <v>19</v>
      </c>
      <c r="B463" t="s">
        <v>33</v>
      </c>
      <c r="C463" t="s">
        <v>39</v>
      </c>
      <c r="D463" t="s">
        <v>56</v>
      </c>
      <c r="E463">
        <v>91319</v>
      </c>
      <c r="F463">
        <v>2790</v>
      </c>
      <c r="G463" t="s">
        <v>65</v>
      </c>
      <c r="I463" t="s">
        <v>71</v>
      </c>
      <c r="J463" t="s">
        <v>77</v>
      </c>
      <c r="K463" t="s">
        <v>89</v>
      </c>
      <c r="L463" t="s">
        <v>124</v>
      </c>
      <c r="M463">
        <v>5</v>
      </c>
      <c r="N463">
        <v>5</v>
      </c>
      <c r="O463" t="s">
        <v>148</v>
      </c>
      <c r="P463" t="s">
        <v>154</v>
      </c>
      <c r="Q463" t="s">
        <v>343</v>
      </c>
    </row>
    <row r="464" spans="1:17" x14ac:dyDescent="0.25">
      <c r="A464" t="s">
        <v>19</v>
      </c>
      <c r="B464" t="s">
        <v>33</v>
      </c>
      <c r="C464" t="s">
        <v>43</v>
      </c>
      <c r="D464" t="s">
        <v>60</v>
      </c>
      <c r="E464">
        <v>29226</v>
      </c>
      <c r="F464">
        <v>1262</v>
      </c>
      <c r="G464" t="s">
        <v>65</v>
      </c>
      <c r="I464" t="s">
        <v>56</v>
      </c>
      <c r="J464" t="s">
        <v>76</v>
      </c>
      <c r="K464" t="s">
        <v>100</v>
      </c>
      <c r="L464" t="s">
        <v>126</v>
      </c>
      <c r="M464">
        <v>12</v>
      </c>
      <c r="N464">
        <v>12</v>
      </c>
      <c r="O464" t="s">
        <v>149</v>
      </c>
      <c r="P464" t="s">
        <v>156</v>
      </c>
      <c r="Q464" t="s">
        <v>167</v>
      </c>
    </row>
    <row r="465" spans="1:17" x14ac:dyDescent="0.25">
      <c r="A465" t="s">
        <v>20</v>
      </c>
      <c r="B465" t="s">
        <v>35</v>
      </c>
      <c r="C465" t="s">
        <v>46</v>
      </c>
      <c r="D465" t="s">
        <v>59</v>
      </c>
      <c r="E465">
        <v>154913</v>
      </c>
      <c r="F465">
        <v>2639</v>
      </c>
      <c r="G465" t="s">
        <v>66</v>
      </c>
      <c r="J465" t="s">
        <v>76</v>
      </c>
      <c r="K465" t="s">
        <v>100</v>
      </c>
      <c r="L465" t="s">
        <v>126</v>
      </c>
      <c r="M465">
        <v>5</v>
      </c>
      <c r="N465">
        <v>5</v>
      </c>
      <c r="O465" t="s">
        <v>153</v>
      </c>
      <c r="P465" t="s">
        <v>155</v>
      </c>
      <c r="Q465" t="s">
        <v>165</v>
      </c>
    </row>
    <row r="466" spans="1:17" x14ac:dyDescent="0.25">
      <c r="A466" t="s">
        <v>21</v>
      </c>
      <c r="B466" t="s">
        <v>30</v>
      </c>
      <c r="C466" t="s">
        <v>43</v>
      </c>
      <c r="D466" t="s">
        <v>61</v>
      </c>
      <c r="E466">
        <v>59568</v>
      </c>
      <c r="F466">
        <v>127</v>
      </c>
      <c r="G466" t="s">
        <v>65</v>
      </c>
      <c r="I466" t="s">
        <v>70</v>
      </c>
      <c r="J466" t="s">
        <v>75</v>
      </c>
      <c r="K466" t="s">
        <v>108</v>
      </c>
      <c r="L466" t="s">
        <v>135</v>
      </c>
      <c r="M466">
        <v>12</v>
      </c>
      <c r="N466">
        <v>11</v>
      </c>
      <c r="O466" t="s">
        <v>148</v>
      </c>
      <c r="P466" t="s">
        <v>154</v>
      </c>
      <c r="Q466" t="s">
        <v>190</v>
      </c>
    </row>
    <row r="467" spans="1:17" x14ac:dyDescent="0.25">
      <c r="A467" t="s">
        <v>21</v>
      </c>
      <c r="B467" t="s">
        <v>33</v>
      </c>
      <c r="C467" t="s">
        <v>46</v>
      </c>
      <c r="D467" t="s">
        <v>61</v>
      </c>
      <c r="E467">
        <v>784946</v>
      </c>
      <c r="F467">
        <v>0</v>
      </c>
      <c r="G467" t="s">
        <v>66</v>
      </c>
      <c r="I467" t="s">
        <v>70</v>
      </c>
      <c r="J467" t="s">
        <v>79</v>
      </c>
      <c r="K467" t="s">
        <v>91</v>
      </c>
      <c r="L467" t="s">
        <v>118</v>
      </c>
      <c r="M467">
        <v>25</v>
      </c>
      <c r="N467">
        <v>25</v>
      </c>
      <c r="O467" t="s">
        <v>148</v>
      </c>
      <c r="P467" t="s">
        <v>157</v>
      </c>
      <c r="Q467" t="s">
        <v>189</v>
      </c>
    </row>
    <row r="468" spans="1:17" x14ac:dyDescent="0.25">
      <c r="A468" t="s">
        <v>19</v>
      </c>
      <c r="B468" t="s">
        <v>30</v>
      </c>
      <c r="C468" t="s">
        <v>50</v>
      </c>
      <c r="D468" t="s">
        <v>59</v>
      </c>
      <c r="E468">
        <v>77574</v>
      </c>
      <c r="F468">
        <v>7291</v>
      </c>
      <c r="G468" t="s">
        <v>64</v>
      </c>
      <c r="J468" t="s">
        <v>80</v>
      </c>
      <c r="K468" t="s">
        <v>93</v>
      </c>
      <c r="L468" t="s">
        <v>93</v>
      </c>
      <c r="M468">
        <v>15</v>
      </c>
      <c r="N468">
        <v>13</v>
      </c>
      <c r="O468" t="s">
        <v>149</v>
      </c>
      <c r="P468" t="s">
        <v>155</v>
      </c>
      <c r="Q468" t="s">
        <v>245</v>
      </c>
    </row>
    <row r="469" spans="1:17" x14ac:dyDescent="0.25">
      <c r="A469" t="s">
        <v>21</v>
      </c>
      <c r="B469" t="s">
        <v>28</v>
      </c>
      <c r="C469" t="s">
        <v>44</v>
      </c>
      <c r="D469" t="s">
        <v>61</v>
      </c>
      <c r="E469">
        <v>117023</v>
      </c>
      <c r="F469">
        <v>12546</v>
      </c>
      <c r="G469" t="s">
        <v>65</v>
      </c>
      <c r="J469" t="s">
        <v>79</v>
      </c>
      <c r="K469" t="s">
        <v>91</v>
      </c>
      <c r="L469" t="s">
        <v>118</v>
      </c>
      <c r="M469">
        <v>20</v>
      </c>
      <c r="N469">
        <v>19</v>
      </c>
      <c r="O469" t="s">
        <v>148</v>
      </c>
      <c r="P469" t="s">
        <v>157</v>
      </c>
      <c r="Q469" t="s">
        <v>165</v>
      </c>
    </row>
    <row r="470" spans="1:17" x14ac:dyDescent="0.25">
      <c r="A470" t="s">
        <v>19</v>
      </c>
      <c r="B470" t="s">
        <v>22</v>
      </c>
      <c r="C470" t="s">
        <v>53</v>
      </c>
      <c r="D470" t="s">
        <v>55</v>
      </c>
      <c r="E470">
        <v>63370</v>
      </c>
      <c r="F470">
        <v>1794</v>
      </c>
      <c r="G470" t="s">
        <v>63</v>
      </c>
      <c r="J470" t="s">
        <v>75</v>
      </c>
      <c r="K470" t="s">
        <v>96</v>
      </c>
      <c r="L470" t="s">
        <v>121</v>
      </c>
      <c r="M470">
        <v>2</v>
      </c>
      <c r="N470">
        <v>1</v>
      </c>
      <c r="O470" t="s">
        <v>150</v>
      </c>
      <c r="P470" t="s">
        <v>157</v>
      </c>
      <c r="Q470" t="s">
        <v>344</v>
      </c>
    </row>
    <row r="471" spans="1:17" x14ac:dyDescent="0.25">
      <c r="A471" t="s">
        <v>19</v>
      </c>
      <c r="B471" t="s">
        <v>30</v>
      </c>
      <c r="C471" t="s">
        <v>39</v>
      </c>
      <c r="D471" t="s">
        <v>55</v>
      </c>
      <c r="E471">
        <v>55637</v>
      </c>
      <c r="F471">
        <v>2599</v>
      </c>
      <c r="G471" t="s">
        <v>64</v>
      </c>
      <c r="I471" t="s">
        <v>71</v>
      </c>
      <c r="J471" t="s">
        <v>80</v>
      </c>
      <c r="K471" t="s">
        <v>93</v>
      </c>
      <c r="L471" t="s">
        <v>93</v>
      </c>
      <c r="M471">
        <v>6</v>
      </c>
      <c r="N471">
        <v>6</v>
      </c>
      <c r="O471" t="s">
        <v>150</v>
      </c>
      <c r="P471" t="s">
        <v>155</v>
      </c>
      <c r="Q471" t="s">
        <v>345</v>
      </c>
    </row>
    <row r="472" spans="1:17" x14ac:dyDescent="0.25">
      <c r="A472" t="s">
        <v>20</v>
      </c>
      <c r="B472" t="s">
        <v>28</v>
      </c>
      <c r="C472" t="s">
        <v>53</v>
      </c>
      <c r="E472">
        <v>1501917</v>
      </c>
      <c r="F472">
        <v>222793</v>
      </c>
      <c r="G472" t="s">
        <v>66</v>
      </c>
      <c r="I472" t="s">
        <v>56</v>
      </c>
      <c r="J472" t="s">
        <v>73</v>
      </c>
      <c r="K472" t="s">
        <v>102</v>
      </c>
      <c r="L472" t="s">
        <v>102</v>
      </c>
      <c r="M472">
        <v>3</v>
      </c>
      <c r="N472">
        <v>3</v>
      </c>
      <c r="O472" t="s">
        <v>151</v>
      </c>
      <c r="P472" t="s">
        <v>157</v>
      </c>
      <c r="Q472" t="s">
        <v>346</v>
      </c>
    </row>
    <row r="473" spans="1:17" x14ac:dyDescent="0.25">
      <c r="A473" t="s">
        <v>19</v>
      </c>
      <c r="B473" t="s">
        <v>22</v>
      </c>
      <c r="C473" t="s">
        <v>48</v>
      </c>
      <c r="D473" t="s">
        <v>60</v>
      </c>
      <c r="E473">
        <v>85390</v>
      </c>
      <c r="F473">
        <v>10106</v>
      </c>
      <c r="G473" t="s">
        <v>64</v>
      </c>
      <c r="I473" t="s">
        <v>56</v>
      </c>
      <c r="J473" t="s">
        <v>72</v>
      </c>
      <c r="K473" t="s">
        <v>95</v>
      </c>
      <c r="L473" t="s">
        <v>120</v>
      </c>
      <c r="M473">
        <v>2</v>
      </c>
      <c r="N473">
        <v>1</v>
      </c>
      <c r="O473" t="s">
        <v>151</v>
      </c>
      <c r="P473" t="s">
        <v>156</v>
      </c>
      <c r="Q473" t="s">
        <v>305</v>
      </c>
    </row>
    <row r="474" spans="1:17" x14ac:dyDescent="0.25">
      <c r="A474" t="s">
        <v>20</v>
      </c>
      <c r="B474" t="s">
        <v>32</v>
      </c>
      <c r="C474" t="s">
        <v>52</v>
      </c>
      <c r="D474" t="s">
        <v>61</v>
      </c>
      <c r="E474">
        <v>101650</v>
      </c>
      <c r="F474">
        <v>3244</v>
      </c>
      <c r="G474" t="s">
        <v>65</v>
      </c>
      <c r="J474" t="s">
        <v>78</v>
      </c>
      <c r="K474" t="s">
        <v>105</v>
      </c>
      <c r="L474" t="s">
        <v>142</v>
      </c>
      <c r="M474">
        <v>1</v>
      </c>
      <c r="N474">
        <v>1</v>
      </c>
      <c r="O474" t="s">
        <v>153</v>
      </c>
      <c r="P474" t="s">
        <v>157</v>
      </c>
      <c r="Q474" t="s">
        <v>213</v>
      </c>
    </row>
    <row r="475" spans="1:17" x14ac:dyDescent="0.25">
      <c r="A475" t="s">
        <v>17</v>
      </c>
      <c r="B475" t="s">
        <v>31</v>
      </c>
      <c r="C475" t="s">
        <v>48</v>
      </c>
      <c r="D475" t="s">
        <v>54</v>
      </c>
      <c r="E475">
        <v>105670</v>
      </c>
      <c r="F475">
        <v>3348</v>
      </c>
      <c r="G475" t="s">
        <v>63</v>
      </c>
      <c r="I475" t="s">
        <v>70</v>
      </c>
      <c r="J475" t="s">
        <v>79</v>
      </c>
      <c r="K475" t="s">
        <v>91</v>
      </c>
      <c r="L475" t="s">
        <v>118</v>
      </c>
      <c r="M475">
        <v>10</v>
      </c>
      <c r="N475">
        <v>8</v>
      </c>
      <c r="O475" t="s">
        <v>151</v>
      </c>
      <c r="P475" t="s">
        <v>156</v>
      </c>
      <c r="Q475" t="s">
        <v>171</v>
      </c>
    </row>
    <row r="476" spans="1:17" x14ac:dyDescent="0.25">
      <c r="A476" t="s">
        <v>19</v>
      </c>
      <c r="B476" t="s">
        <v>25</v>
      </c>
      <c r="C476" t="s">
        <v>44</v>
      </c>
      <c r="D476" t="s">
        <v>54</v>
      </c>
      <c r="E476">
        <v>62535</v>
      </c>
      <c r="F476">
        <v>2714</v>
      </c>
      <c r="G476" t="s">
        <v>68</v>
      </c>
      <c r="J476" t="s">
        <v>81</v>
      </c>
      <c r="K476" t="s">
        <v>98</v>
      </c>
      <c r="L476" t="s">
        <v>123</v>
      </c>
      <c r="M476">
        <v>4</v>
      </c>
      <c r="N476">
        <v>3</v>
      </c>
      <c r="O476" t="s">
        <v>151</v>
      </c>
      <c r="P476" t="s">
        <v>157</v>
      </c>
      <c r="Q476" t="s">
        <v>178</v>
      </c>
    </row>
    <row r="477" spans="1:17" x14ac:dyDescent="0.25">
      <c r="A477" t="s">
        <v>21</v>
      </c>
      <c r="B477" t="s">
        <v>27</v>
      </c>
      <c r="C477" t="s">
        <v>53</v>
      </c>
      <c r="D477" t="s">
        <v>59</v>
      </c>
      <c r="E477">
        <v>66789</v>
      </c>
      <c r="F477">
        <v>43</v>
      </c>
      <c r="G477" t="s">
        <v>63</v>
      </c>
      <c r="J477" t="s">
        <v>75</v>
      </c>
      <c r="K477" t="s">
        <v>96</v>
      </c>
      <c r="L477" t="s">
        <v>121</v>
      </c>
      <c r="M477">
        <v>9</v>
      </c>
      <c r="N477">
        <v>9</v>
      </c>
      <c r="O477" t="s">
        <v>148</v>
      </c>
      <c r="P477" t="s">
        <v>154</v>
      </c>
      <c r="Q477" t="s">
        <v>188</v>
      </c>
    </row>
    <row r="478" spans="1:17" x14ac:dyDescent="0.25">
      <c r="A478" t="s">
        <v>21</v>
      </c>
      <c r="B478" t="s">
        <v>34</v>
      </c>
      <c r="C478" t="s">
        <v>36</v>
      </c>
      <c r="D478" t="s">
        <v>55</v>
      </c>
      <c r="E478">
        <v>773568</v>
      </c>
      <c r="F478">
        <v>19562</v>
      </c>
      <c r="G478" t="s">
        <v>66</v>
      </c>
      <c r="I478" t="s">
        <v>70</v>
      </c>
      <c r="J478" t="s">
        <v>72</v>
      </c>
      <c r="K478" t="s">
        <v>82</v>
      </c>
      <c r="L478" t="s">
        <v>112</v>
      </c>
      <c r="M478">
        <v>25</v>
      </c>
      <c r="N478">
        <v>22</v>
      </c>
      <c r="O478" t="s">
        <v>150</v>
      </c>
      <c r="P478" t="s">
        <v>157</v>
      </c>
      <c r="Q478" t="s">
        <v>166</v>
      </c>
    </row>
    <row r="479" spans="1:17" x14ac:dyDescent="0.25">
      <c r="A479" t="s">
        <v>19</v>
      </c>
      <c r="B479" t="s">
        <v>32</v>
      </c>
      <c r="C479" t="s">
        <v>46</v>
      </c>
      <c r="D479" t="s">
        <v>58</v>
      </c>
      <c r="E479">
        <v>119943</v>
      </c>
      <c r="F479">
        <v>0</v>
      </c>
      <c r="G479" t="s">
        <v>68</v>
      </c>
      <c r="I479" t="s">
        <v>71</v>
      </c>
      <c r="J479" t="s">
        <v>79</v>
      </c>
      <c r="K479" t="s">
        <v>107</v>
      </c>
      <c r="L479" t="s">
        <v>134</v>
      </c>
      <c r="M479">
        <v>3</v>
      </c>
      <c r="N479">
        <v>3</v>
      </c>
      <c r="O479" t="s">
        <v>148</v>
      </c>
      <c r="P479" t="s">
        <v>155</v>
      </c>
      <c r="Q479" t="s">
        <v>168</v>
      </c>
    </row>
    <row r="480" spans="1:17" x14ac:dyDescent="0.25">
      <c r="A480" t="s">
        <v>21</v>
      </c>
      <c r="B480" t="s">
        <v>27</v>
      </c>
      <c r="C480" t="s">
        <v>50</v>
      </c>
      <c r="D480" t="s">
        <v>60</v>
      </c>
      <c r="E480">
        <v>471727</v>
      </c>
      <c r="F480">
        <v>14618</v>
      </c>
      <c r="G480" t="s">
        <v>66</v>
      </c>
      <c r="I480" t="s">
        <v>70</v>
      </c>
      <c r="J480" t="s">
        <v>79</v>
      </c>
      <c r="K480" t="s">
        <v>107</v>
      </c>
      <c r="L480" t="s">
        <v>134</v>
      </c>
      <c r="M480">
        <v>8</v>
      </c>
      <c r="N480">
        <v>8</v>
      </c>
      <c r="O480" t="s">
        <v>148</v>
      </c>
      <c r="P480" t="s">
        <v>157</v>
      </c>
      <c r="Q480" t="s">
        <v>347</v>
      </c>
    </row>
    <row r="481" spans="1:17" x14ac:dyDescent="0.25">
      <c r="A481" t="s">
        <v>20</v>
      </c>
      <c r="B481" t="s">
        <v>30</v>
      </c>
      <c r="C481" t="s">
        <v>52</v>
      </c>
      <c r="D481" t="s">
        <v>60</v>
      </c>
      <c r="E481">
        <v>137963</v>
      </c>
      <c r="F481">
        <v>4998</v>
      </c>
      <c r="G481" t="s">
        <v>64</v>
      </c>
      <c r="I481" t="s">
        <v>71</v>
      </c>
      <c r="J481" t="s">
        <v>74</v>
      </c>
      <c r="K481" t="s">
        <v>84</v>
      </c>
      <c r="L481" t="s">
        <v>74</v>
      </c>
      <c r="M481">
        <v>3</v>
      </c>
      <c r="N481">
        <v>2</v>
      </c>
      <c r="O481" t="s">
        <v>149</v>
      </c>
      <c r="P481" t="s">
        <v>154</v>
      </c>
      <c r="Q481" t="s">
        <v>181</v>
      </c>
    </row>
    <row r="482" spans="1:17" x14ac:dyDescent="0.25">
      <c r="A482" t="s">
        <v>19</v>
      </c>
      <c r="B482" t="s">
        <v>22</v>
      </c>
      <c r="C482" t="s">
        <v>40</v>
      </c>
      <c r="D482" t="s">
        <v>61</v>
      </c>
      <c r="E482">
        <v>117848</v>
      </c>
      <c r="F482">
        <v>2364</v>
      </c>
      <c r="G482" t="s">
        <v>67</v>
      </c>
      <c r="J482" t="s">
        <v>78</v>
      </c>
      <c r="K482" t="s">
        <v>104</v>
      </c>
      <c r="L482" t="s">
        <v>131</v>
      </c>
      <c r="M482">
        <v>8</v>
      </c>
      <c r="N482">
        <v>8</v>
      </c>
      <c r="O482" t="s">
        <v>148</v>
      </c>
      <c r="P482" t="s">
        <v>157</v>
      </c>
      <c r="Q482" t="s">
        <v>212</v>
      </c>
    </row>
    <row r="483" spans="1:17" x14ac:dyDescent="0.25">
      <c r="A483" t="s">
        <v>19</v>
      </c>
      <c r="D483" t="s">
        <v>57</v>
      </c>
      <c r="F483">
        <v>12992</v>
      </c>
      <c r="G483" t="s">
        <v>67</v>
      </c>
      <c r="I483" t="s">
        <v>56</v>
      </c>
      <c r="J483" t="s">
        <v>74</v>
      </c>
      <c r="K483" t="s">
        <v>84</v>
      </c>
      <c r="N483">
        <v>4</v>
      </c>
      <c r="O483" t="s">
        <v>148</v>
      </c>
      <c r="Q483" t="s">
        <v>169</v>
      </c>
    </row>
    <row r="484" spans="1:17" x14ac:dyDescent="0.25">
      <c r="A484" t="s">
        <v>19</v>
      </c>
      <c r="B484" t="s">
        <v>28</v>
      </c>
      <c r="C484" t="s">
        <v>36</v>
      </c>
      <c r="D484" t="s">
        <v>57</v>
      </c>
      <c r="E484">
        <v>41114</v>
      </c>
      <c r="F484">
        <v>1575</v>
      </c>
      <c r="G484" t="s">
        <v>67</v>
      </c>
      <c r="I484" t="s">
        <v>71</v>
      </c>
      <c r="J484" t="s">
        <v>80</v>
      </c>
      <c r="K484" t="s">
        <v>93</v>
      </c>
      <c r="L484" t="s">
        <v>93</v>
      </c>
      <c r="M484">
        <v>9</v>
      </c>
      <c r="N484">
        <v>7</v>
      </c>
      <c r="O484" t="s">
        <v>148</v>
      </c>
      <c r="P484" t="s">
        <v>157</v>
      </c>
      <c r="Q484" t="s">
        <v>288</v>
      </c>
    </row>
    <row r="485" spans="1:17" x14ac:dyDescent="0.25">
      <c r="A485" t="s">
        <v>19</v>
      </c>
      <c r="B485" t="s">
        <v>35</v>
      </c>
      <c r="C485" t="s">
        <v>41</v>
      </c>
      <c r="D485" t="s">
        <v>58</v>
      </c>
      <c r="E485">
        <v>41979</v>
      </c>
      <c r="F485">
        <v>6779</v>
      </c>
      <c r="G485" t="s">
        <v>68</v>
      </c>
      <c r="I485" t="s">
        <v>70</v>
      </c>
      <c r="J485" t="s">
        <v>77</v>
      </c>
      <c r="K485" t="s">
        <v>97</v>
      </c>
      <c r="L485" t="s">
        <v>122</v>
      </c>
      <c r="M485">
        <v>25</v>
      </c>
      <c r="N485">
        <v>25</v>
      </c>
      <c r="O485" t="s">
        <v>151</v>
      </c>
      <c r="P485" t="s">
        <v>156</v>
      </c>
      <c r="Q485" t="s">
        <v>176</v>
      </c>
    </row>
    <row r="486" spans="1:17" x14ac:dyDescent="0.25">
      <c r="A486" t="s">
        <v>20</v>
      </c>
      <c r="B486" t="s">
        <v>23</v>
      </c>
      <c r="C486" t="s">
        <v>41</v>
      </c>
      <c r="D486" t="s">
        <v>54</v>
      </c>
      <c r="E486">
        <v>186354</v>
      </c>
      <c r="F486">
        <v>15838</v>
      </c>
      <c r="G486" t="s">
        <v>66</v>
      </c>
      <c r="I486" t="s">
        <v>56</v>
      </c>
      <c r="J486" t="s">
        <v>79</v>
      </c>
      <c r="K486" t="s">
        <v>107</v>
      </c>
      <c r="L486" t="s">
        <v>134</v>
      </c>
      <c r="M486">
        <v>6</v>
      </c>
      <c r="N486">
        <v>6</v>
      </c>
      <c r="O486" t="s">
        <v>151</v>
      </c>
      <c r="P486" t="s">
        <v>157</v>
      </c>
      <c r="Q486" t="s">
        <v>173</v>
      </c>
    </row>
    <row r="487" spans="1:17" x14ac:dyDescent="0.25">
      <c r="A487" t="s">
        <v>19</v>
      </c>
      <c r="B487" t="s">
        <v>35</v>
      </c>
      <c r="C487" t="s">
        <v>45</v>
      </c>
      <c r="D487" t="s">
        <v>56</v>
      </c>
      <c r="E487">
        <v>13592</v>
      </c>
      <c r="F487">
        <v>0</v>
      </c>
      <c r="G487" t="s">
        <v>68</v>
      </c>
      <c r="I487" t="s">
        <v>70</v>
      </c>
      <c r="J487" t="s">
        <v>79</v>
      </c>
      <c r="K487" t="s">
        <v>107</v>
      </c>
      <c r="L487" t="s">
        <v>134</v>
      </c>
      <c r="M487">
        <v>4</v>
      </c>
      <c r="N487">
        <v>3</v>
      </c>
      <c r="O487" t="s">
        <v>152</v>
      </c>
      <c r="P487" t="s">
        <v>156</v>
      </c>
      <c r="Q487" t="s">
        <v>165</v>
      </c>
    </row>
    <row r="488" spans="1:17" x14ac:dyDescent="0.25">
      <c r="A488" t="s">
        <v>21</v>
      </c>
      <c r="B488" t="s">
        <v>26</v>
      </c>
      <c r="C488" t="s">
        <v>41</v>
      </c>
      <c r="D488" t="s">
        <v>59</v>
      </c>
      <c r="E488">
        <v>158897</v>
      </c>
      <c r="F488">
        <v>3971</v>
      </c>
      <c r="G488" t="s">
        <v>64</v>
      </c>
      <c r="I488" t="s">
        <v>71</v>
      </c>
      <c r="J488" t="s">
        <v>78</v>
      </c>
      <c r="K488" t="s">
        <v>90</v>
      </c>
      <c r="L488" t="s">
        <v>138</v>
      </c>
      <c r="M488">
        <v>20</v>
      </c>
      <c r="N488">
        <v>20</v>
      </c>
      <c r="O488" t="s">
        <v>153</v>
      </c>
      <c r="P488" t="s">
        <v>154</v>
      </c>
      <c r="Q488" t="s">
        <v>348</v>
      </c>
    </row>
    <row r="489" spans="1:17" x14ac:dyDescent="0.25">
      <c r="A489" t="s">
        <v>19</v>
      </c>
      <c r="B489" t="s">
        <v>34</v>
      </c>
      <c r="C489" t="s">
        <v>43</v>
      </c>
      <c r="D489" t="s">
        <v>58</v>
      </c>
      <c r="E489">
        <v>133120</v>
      </c>
      <c r="F489">
        <v>3227</v>
      </c>
      <c r="G489" t="s">
        <v>68</v>
      </c>
      <c r="I489" t="s">
        <v>70</v>
      </c>
      <c r="J489" t="s">
        <v>75</v>
      </c>
      <c r="K489" t="s">
        <v>96</v>
      </c>
      <c r="L489" t="s">
        <v>121</v>
      </c>
      <c r="M489">
        <v>12</v>
      </c>
      <c r="N489">
        <v>12</v>
      </c>
      <c r="O489" t="s">
        <v>151</v>
      </c>
      <c r="P489" t="s">
        <v>154</v>
      </c>
      <c r="Q489" t="s">
        <v>207</v>
      </c>
    </row>
    <row r="490" spans="1:17" x14ac:dyDescent="0.25">
      <c r="A490" t="s">
        <v>21</v>
      </c>
      <c r="B490" t="s">
        <v>24</v>
      </c>
      <c r="C490" t="s">
        <v>45</v>
      </c>
      <c r="D490" t="s">
        <v>62</v>
      </c>
      <c r="E490">
        <v>930770</v>
      </c>
      <c r="F490">
        <v>18303</v>
      </c>
      <c r="G490" t="s">
        <v>66</v>
      </c>
      <c r="I490" t="s">
        <v>56</v>
      </c>
      <c r="J490" t="s">
        <v>78</v>
      </c>
      <c r="K490" t="s">
        <v>88</v>
      </c>
      <c r="L490" t="s">
        <v>128</v>
      </c>
      <c r="M490">
        <v>10</v>
      </c>
      <c r="N490">
        <v>10</v>
      </c>
      <c r="O490" t="s">
        <v>149</v>
      </c>
      <c r="P490" t="s">
        <v>154</v>
      </c>
      <c r="Q490" t="s">
        <v>212</v>
      </c>
    </row>
    <row r="491" spans="1:17" x14ac:dyDescent="0.25">
      <c r="A491" t="s">
        <v>21</v>
      </c>
      <c r="B491" t="s">
        <v>26</v>
      </c>
      <c r="C491" t="s">
        <v>40</v>
      </c>
      <c r="D491" t="s">
        <v>56</v>
      </c>
      <c r="E491">
        <v>53047</v>
      </c>
      <c r="F491">
        <v>454</v>
      </c>
      <c r="G491" t="s">
        <v>65</v>
      </c>
      <c r="I491" t="s">
        <v>69</v>
      </c>
      <c r="J491" t="s">
        <v>73</v>
      </c>
      <c r="K491" t="s">
        <v>83</v>
      </c>
      <c r="L491" t="s">
        <v>113</v>
      </c>
      <c r="M491">
        <v>9</v>
      </c>
      <c r="N491">
        <v>7</v>
      </c>
      <c r="O491" t="s">
        <v>151</v>
      </c>
      <c r="P491" t="s">
        <v>156</v>
      </c>
      <c r="Q491" t="s">
        <v>173</v>
      </c>
    </row>
    <row r="492" spans="1:17" x14ac:dyDescent="0.25">
      <c r="A492" t="s">
        <v>21</v>
      </c>
      <c r="B492" t="s">
        <v>22</v>
      </c>
      <c r="C492" t="s">
        <v>41</v>
      </c>
      <c r="D492" t="s">
        <v>54</v>
      </c>
      <c r="E492">
        <v>83548</v>
      </c>
      <c r="F492">
        <v>667</v>
      </c>
      <c r="G492" t="s">
        <v>67</v>
      </c>
      <c r="J492" t="s">
        <v>81</v>
      </c>
      <c r="K492" t="s">
        <v>98</v>
      </c>
      <c r="L492" t="s">
        <v>123</v>
      </c>
      <c r="M492">
        <v>12</v>
      </c>
      <c r="N492">
        <v>12</v>
      </c>
      <c r="O492" t="s">
        <v>153</v>
      </c>
      <c r="P492" t="s">
        <v>154</v>
      </c>
      <c r="Q492" t="s">
        <v>171</v>
      </c>
    </row>
    <row r="493" spans="1:17" x14ac:dyDescent="0.25">
      <c r="A493" t="s">
        <v>20</v>
      </c>
      <c r="B493" t="s">
        <v>23</v>
      </c>
      <c r="C493" t="s">
        <v>37</v>
      </c>
      <c r="D493" t="s">
        <v>54</v>
      </c>
      <c r="E493">
        <v>74229</v>
      </c>
      <c r="F493">
        <v>15129</v>
      </c>
      <c r="G493" t="s">
        <v>65</v>
      </c>
      <c r="I493" t="s">
        <v>69</v>
      </c>
      <c r="J493" t="s">
        <v>77</v>
      </c>
      <c r="K493" t="s">
        <v>87</v>
      </c>
      <c r="L493" t="s">
        <v>143</v>
      </c>
      <c r="M493">
        <v>0</v>
      </c>
      <c r="N493">
        <v>0</v>
      </c>
      <c r="O493" t="s">
        <v>153</v>
      </c>
      <c r="P493" t="s">
        <v>155</v>
      </c>
      <c r="Q493" t="s">
        <v>167</v>
      </c>
    </row>
    <row r="494" spans="1:17" x14ac:dyDescent="0.25">
      <c r="A494" t="s">
        <v>20</v>
      </c>
      <c r="B494" t="s">
        <v>29</v>
      </c>
      <c r="C494" t="s">
        <v>44</v>
      </c>
      <c r="D494" t="s">
        <v>55</v>
      </c>
      <c r="E494">
        <v>88470</v>
      </c>
      <c r="F494">
        <v>0</v>
      </c>
      <c r="G494" t="s">
        <v>64</v>
      </c>
      <c r="I494" t="s">
        <v>71</v>
      </c>
      <c r="J494" t="s">
        <v>80</v>
      </c>
      <c r="K494" t="s">
        <v>93</v>
      </c>
      <c r="L494" t="s">
        <v>93</v>
      </c>
      <c r="M494">
        <v>0</v>
      </c>
      <c r="N494">
        <v>0</v>
      </c>
      <c r="O494" t="s">
        <v>153</v>
      </c>
      <c r="P494" t="s">
        <v>154</v>
      </c>
      <c r="Q494" t="s">
        <v>242</v>
      </c>
    </row>
    <row r="495" spans="1:17" x14ac:dyDescent="0.25">
      <c r="A495" t="s">
        <v>21</v>
      </c>
      <c r="B495" t="s">
        <v>27</v>
      </c>
      <c r="C495" t="s">
        <v>42</v>
      </c>
      <c r="D495" t="s">
        <v>57</v>
      </c>
      <c r="E495">
        <v>16038</v>
      </c>
      <c r="F495">
        <v>484</v>
      </c>
      <c r="G495" t="s">
        <v>67</v>
      </c>
      <c r="I495" t="s">
        <v>69</v>
      </c>
      <c r="J495" t="s">
        <v>73</v>
      </c>
      <c r="K495" t="s">
        <v>99</v>
      </c>
      <c r="L495" t="s">
        <v>125</v>
      </c>
      <c r="M495">
        <v>18</v>
      </c>
      <c r="N495">
        <v>16</v>
      </c>
      <c r="O495" t="s">
        <v>151</v>
      </c>
      <c r="P495" t="s">
        <v>155</v>
      </c>
      <c r="Q495" t="s">
        <v>349</v>
      </c>
    </row>
    <row r="496" spans="1:17" x14ac:dyDescent="0.25">
      <c r="A496" t="s">
        <v>19</v>
      </c>
      <c r="B496" t="s">
        <v>33</v>
      </c>
      <c r="C496" t="s">
        <v>43</v>
      </c>
      <c r="D496" t="s">
        <v>62</v>
      </c>
      <c r="E496">
        <v>48942</v>
      </c>
      <c r="F496">
        <v>12207</v>
      </c>
      <c r="G496" t="s">
        <v>65</v>
      </c>
      <c r="J496" t="s">
        <v>76</v>
      </c>
      <c r="K496" t="s">
        <v>100</v>
      </c>
      <c r="L496" t="s">
        <v>132</v>
      </c>
      <c r="M496">
        <v>3</v>
      </c>
      <c r="N496">
        <v>2</v>
      </c>
      <c r="O496" t="s">
        <v>153</v>
      </c>
      <c r="P496" t="s">
        <v>157</v>
      </c>
      <c r="Q496" t="s">
        <v>162</v>
      </c>
    </row>
    <row r="497" spans="1:17" x14ac:dyDescent="0.25">
      <c r="A497" t="s">
        <v>21</v>
      </c>
      <c r="B497" t="s">
        <v>29</v>
      </c>
      <c r="C497" t="s">
        <v>52</v>
      </c>
      <c r="D497" t="s">
        <v>58</v>
      </c>
      <c r="E497">
        <v>100433</v>
      </c>
      <c r="F497">
        <v>4693</v>
      </c>
      <c r="G497" t="s">
        <v>64</v>
      </c>
      <c r="I497" t="s">
        <v>71</v>
      </c>
      <c r="J497" t="s">
        <v>81</v>
      </c>
      <c r="K497" t="s">
        <v>98</v>
      </c>
      <c r="L497" t="s">
        <v>123</v>
      </c>
      <c r="M497">
        <v>15</v>
      </c>
      <c r="N497">
        <v>14</v>
      </c>
      <c r="O497" t="s">
        <v>150</v>
      </c>
      <c r="P497" t="s">
        <v>156</v>
      </c>
      <c r="Q497" t="s">
        <v>175</v>
      </c>
    </row>
    <row r="498" spans="1:17" x14ac:dyDescent="0.25">
      <c r="A498" t="s">
        <v>20</v>
      </c>
      <c r="B498" t="s">
        <v>34</v>
      </c>
      <c r="C498" t="s">
        <v>46</v>
      </c>
      <c r="D498" t="s">
        <v>61</v>
      </c>
      <c r="E498">
        <v>48938</v>
      </c>
      <c r="F498">
        <v>186</v>
      </c>
      <c r="G498" t="s">
        <v>63</v>
      </c>
      <c r="I498" t="s">
        <v>69</v>
      </c>
      <c r="J498" t="s">
        <v>78</v>
      </c>
      <c r="K498" t="s">
        <v>109</v>
      </c>
      <c r="L498" t="s">
        <v>137</v>
      </c>
      <c r="M498">
        <v>3</v>
      </c>
      <c r="N498">
        <v>1</v>
      </c>
      <c r="O498" t="s">
        <v>152</v>
      </c>
      <c r="P498" t="s">
        <v>154</v>
      </c>
      <c r="Q498" t="s">
        <v>165</v>
      </c>
    </row>
    <row r="499" spans="1:17" x14ac:dyDescent="0.25">
      <c r="A499" t="s">
        <v>20</v>
      </c>
      <c r="B499" t="s">
        <v>31</v>
      </c>
      <c r="C499" t="s">
        <v>45</v>
      </c>
      <c r="D499" t="s">
        <v>56</v>
      </c>
      <c r="E499">
        <v>101964</v>
      </c>
      <c r="F499">
        <v>1750</v>
      </c>
      <c r="G499" t="s">
        <v>63</v>
      </c>
      <c r="I499" t="s">
        <v>69</v>
      </c>
      <c r="J499" t="s">
        <v>75</v>
      </c>
      <c r="K499" t="s">
        <v>96</v>
      </c>
      <c r="L499" t="s">
        <v>121</v>
      </c>
      <c r="M499">
        <v>0</v>
      </c>
      <c r="N499">
        <v>0</v>
      </c>
      <c r="O499" t="s">
        <v>151</v>
      </c>
      <c r="P499" t="s">
        <v>156</v>
      </c>
      <c r="Q499" t="s">
        <v>170</v>
      </c>
    </row>
    <row r="500" spans="1:17" x14ac:dyDescent="0.25">
      <c r="A500" t="s">
        <v>19</v>
      </c>
      <c r="B500" t="s">
        <v>22</v>
      </c>
      <c r="C500" t="s">
        <v>52</v>
      </c>
      <c r="D500" t="s">
        <v>61</v>
      </c>
      <c r="E500">
        <v>1005306</v>
      </c>
      <c r="F500">
        <v>29098</v>
      </c>
      <c r="G500" t="s">
        <v>66</v>
      </c>
      <c r="I500" t="s">
        <v>69</v>
      </c>
      <c r="J500" t="s">
        <v>79</v>
      </c>
      <c r="K500" t="s">
        <v>107</v>
      </c>
      <c r="L500" t="s">
        <v>134</v>
      </c>
      <c r="M500">
        <v>3</v>
      </c>
      <c r="N500">
        <v>3</v>
      </c>
      <c r="O500" t="s">
        <v>149</v>
      </c>
      <c r="P500" t="s">
        <v>156</v>
      </c>
      <c r="Q500" t="s">
        <v>181</v>
      </c>
    </row>
    <row r="501" spans="1:17" x14ac:dyDescent="0.25">
      <c r="A501" t="s">
        <v>17</v>
      </c>
      <c r="B501" t="s">
        <v>33</v>
      </c>
      <c r="C501" t="s">
        <v>37</v>
      </c>
      <c r="E501">
        <v>56980</v>
      </c>
      <c r="F501">
        <v>4255</v>
      </c>
      <c r="G501" t="s">
        <v>67</v>
      </c>
      <c r="J501" t="s">
        <v>81</v>
      </c>
      <c r="K501" t="s">
        <v>94</v>
      </c>
      <c r="L501" t="s">
        <v>129</v>
      </c>
      <c r="M501">
        <v>20</v>
      </c>
      <c r="N501">
        <v>20</v>
      </c>
      <c r="O501" t="s">
        <v>153</v>
      </c>
      <c r="P501" t="s">
        <v>155</v>
      </c>
      <c r="Q501" t="s">
        <v>350</v>
      </c>
    </row>
    <row r="502" spans="1:17" x14ac:dyDescent="0.25">
      <c r="A502" t="s">
        <v>19</v>
      </c>
      <c r="B502" t="s">
        <v>31</v>
      </c>
      <c r="C502" t="s">
        <v>42</v>
      </c>
      <c r="D502" t="s">
        <v>58</v>
      </c>
      <c r="E502">
        <v>66028</v>
      </c>
      <c r="F502">
        <v>1198</v>
      </c>
      <c r="G502" t="s">
        <v>65</v>
      </c>
      <c r="J502" t="s">
        <v>76</v>
      </c>
      <c r="K502" t="s">
        <v>92</v>
      </c>
      <c r="L502" t="s">
        <v>119</v>
      </c>
      <c r="M502">
        <v>7</v>
      </c>
      <c r="N502">
        <v>7</v>
      </c>
      <c r="O502" t="s">
        <v>153</v>
      </c>
      <c r="P502" t="s">
        <v>155</v>
      </c>
      <c r="Q502" t="s">
        <v>171</v>
      </c>
    </row>
    <row r="503" spans="1:17" x14ac:dyDescent="0.25">
      <c r="A503" t="s">
        <v>20</v>
      </c>
      <c r="B503" t="s">
        <v>25</v>
      </c>
      <c r="C503" t="s">
        <v>37</v>
      </c>
      <c r="D503" t="s">
        <v>61</v>
      </c>
      <c r="E503">
        <v>53077</v>
      </c>
      <c r="F503">
        <v>356</v>
      </c>
      <c r="G503" t="s">
        <v>63</v>
      </c>
      <c r="I503" t="s">
        <v>56</v>
      </c>
      <c r="J503" t="s">
        <v>76</v>
      </c>
      <c r="K503" t="s">
        <v>92</v>
      </c>
      <c r="L503" t="s">
        <v>119</v>
      </c>
      <c r="M503">
        <v>4</v>
      </c>
      <c r="N503">
        <v>2</v>
      </c>
      <c r="O503" t="s">
        <v>151</v>
      </c>
      <c r="P503" t="s">
        <v>154</v>
      </c>
      <c r="Q503" t="s">
        <v>337</v>
      </c>
    </row>
    <row r="504" spans="1:17" x14ac:dyDescent="0.25">
      <c r="A504" t="s">
        <v>20</v>
      </c>
      <c r="B504" t="s">
        <v>23</v>
      </c>
      <c r="C504" t="s">
        <v>37</v>
      </c>
      <c r="D504" t="s">
        <v>60</v>
      </c>
      <c r="E504">
        <v>95561</v>
      </c>
      <c r="F504">
        <v>3935</v>
      </c>
      <c r="G504" t="s">
        <v>64</v>
      </c>
      <c r="I504" t="s">
        <v>70</v>
      </c>
      <c r="J504" t="s">
        <v>73</v>
      </c>
      <c r="K504" t="s">
        <v>102</v>
      </c>
      <c r="L504" t="s">
        <v>102</v>
      </c>
      <c r="M504">
        <v>6</v>
      </c>
      <c r="N504">
        <v>3</v>
      </c>
      <c r="O504" t="s">
        <v>151</v>
      </c>
      <c r="P504" t="s">
        <v>155</v>
      </c>
      <c r="Q504" t="s">
        <v>165</v>
      </c>
    </row>
    <row r="505" spans="1:17" x14ac:dyDescent="0.25">
      <c r="A505" t="s">
        <v>20</v>
      </c>
      <c r="D505" t="s">
        <v>57</v>
      </c>
      <c r="F505">
        <v>0</v>
      </c>
      <c r="G505" t="s">
        <v>64</v>
      </c>
      <c r="I505" t="s">
        <v>56</v>
      </c>
      <c r="J505" t="s">
        <v>73</v>
      </c>
      <c r="K505" t="s">
        <v>83</v>
      </c>
      <c r="N505">
        <v>1</v>
      </c>
      <c r="O505" t="s">
        <v>151</v>
      </c>
      <c r="Q505" t="s">
        <v>351</v>
      </c>
    </row>
    <row r="506" spans="1:17" x14ac:dyDescent="0.25">
      <c r="A506" t="s">
        <v>21</v>
      </c>
      <c r="B506" t="s">
        <v>26</v>
      </c>
      <c r="C506" t="s">
        <v>47</v>
      </c>
      <c r="E506">
        <v>56285</v>
      </c>
      <c r="F506">
        <v>2848</v>
      </c>
      <c r="G506" t="s">
        <v>65</v>
      </c>
      <c r="I506" t="s">
        <v>71</v>
      </c>
      <c r="J506" t="s">
        <v>81</v>
      </c>
      <c r="K506" t="s">
        <v>98</v>
      </c>
      <c r="L506" t="s">
        <v>123</v>
      </c>
      <c r="M506">
        <v>25</v>
      </c>
      <c r="N506">
        <v>25</v>
      </c>
      <c r="O506" t="s">
        <v>148</v>
      </c>
      <c r="P506" t="s">
        <v>157</v>
      </c>
      <c r="Q506" t="s">
        <v>259</v>
      </c>
    </row>
    <row r="507" spans="1:17" x14ac:dyDescent="0.25">
      <c r="A507" t="s">
        <v>20</v>
      </c>
      <c r="B507" t="s">
        <v>27</v>
      </c>
      <c r="C507" t="s">
        <v>49</v>
      </c>
      <c r="D507" t="s">
        <v>58</v>
      </c>
      <c r="E507">
        <v>15171</v>
      </c>
      <c r="F507">
        <v>598</v>
      </c>
      <c r="G507" t="s">
        <v>68</v>
      </c>
      <c r="J507" t="s">
        <v>81</v>
      </c>
      <c r="K507" t="s">
        <v>98</v>
      </c>
      <c r="L507" t="s">
        <v>123</v>
      </c>
      <c r="M507">
        <v>4</v>
      </c>
      <c r="N507">
        <v>4</v>
      </c>
      <c r="O507" t="s">
        <v>152</v>
      </c>
      <c r="P507" t="s">
        <v>157</v>
      </c>
      <c r="Q507" t="s">
        <v>171</v>
      </c>
    </row>
    <row r="508" spans="1:17" x14ac:dyDescent="0.25">
      <c r="A508" t="s">
        <v>20</v>
      </c>
      <c r="D508" t="s">
        <v>57</v>
      </c>
      <c r="F508">
        <v>0</v>
      </c>
      <c r="G508" t="s">
        <v>63</v>
      </c>
      <c r="I508" t="s">
        <v>56</v>
      </c>
      <c r="J508" t="s">
        <v>72</v>
      </c>
      <c r="K508" t="s">
        <v>82</v>
      </c>
      <c r="N508">
        <v>4</v>
      </c>
      <c r="O508" t="s">
        <v>148</v>
      </c>
      <c r="Q508" t="s">
        <v>167</v>
      </c>
    </row>
    <row r="509" spans="1:17" x14ac:dyDescent="0.25">
      <c r="A509" t="s">
        <v>19</v>
      </c>
      <c r="B509" t="s">
        <v>29</v>
      </c>
      <c r="C509" t="s">
        <v>41</v>
      </c>
      <c r="D509" t="s">
        <v>56</v>
      </c>
      <c r="E509">
        <v>58236</v>
      </c>
      <c r="F509">
        <v>654</v>
      </c>
      <c r="G509" t="s">
        <v>63</v>
      </c>
      <c r="I509" t="s">
        <v>71</v>
      </c>
      <c r="J509" t="s">
        <v>81</v>
      </c>
      <c r="K509" t="s">
        <v>98</v>
      </c>
      <c r="L509" t="s">
        <v>123</v>
      </c>
      <c r="M509">
        <v>2</v>
      </c>
      <c r="N509">
        <v>2</v>
      </c>
      <c r="O509" t="s">
        <v>148</v>
      </c>
      <c r="P509" t="s">
        <v>157</v>
      </c>
      <c r="Q509" t="s">
        <v>173</v>
      </c>
    </row>
    <row r="510" spans="1:17" x14ac:dyDescent="0.25">
      <c r="A510" t="s">
        <v>19</v>
      </c>
      <c r="B510" t="s">
        <v>31</v>
      </c>
      <c r="C510" t="s">
        <v>42</v>
      </c>
      <c r="D510" t="s">
        <v>58</v>
      </c>
      <c r="E510">
        <v>66028</v>
      </c>
      <c r="F510">
        <v>1198</v>
      </c>
      <c r="G510" t="s">
        <v>65</v>
      </c>
      <c r="J510" t="s">
        <v>76</v>
      </c>
      <c r="K510" t="s">
        <v>92</v>
      </c>
      <c r="L510" t="s">
        <v>119</v>
      </c>
      <c r="M510">
        <v>7</v>
      </c>
      <c r="N510">
        <v>7</v>
      </c>
      <c r="O510" t="s">
        <v>153</v>
      </c>
      <c r="P510" t="s">
        <v>155</v>
      </c>
      <c r="Q510" t="s">
        <v>171</v>
      </c>
    </row>
    <row r="511" spans="1:17" x14ac:dyDescent="0.25">
      <c r="A511" t="s">
        <v>19</v>
      </c>
      <c r="B511" t="s">
        <v>28</v>
      </c>
      <c r="C511" t="s">
        <v>41</v>
      </c>
      <c r="D511" t="s">
        <v>54</v>
      </c>
      <c r="E511">
        <v>28605</v>
      </c>
      <c r="F511">
        <v>0</v>
      </c>
      <c r="G511" t="s">
        <v>65</v>
      </c>
      <c r="I511" t="s">
        <v>71</v>
      </c>
      <c r="J511" t="s">
        <v>80</v>
      </c>
      <c r="K511" t="s">
        <v>106</v>
      </c>
      <c r="L511" t="s">
        <v>106</v>
      </c>
      <c r="M511">
        <v>5</v>
      </c>
      <c r="N511">
        <v>5</v>
      </c>
      <c r="O511" t="s">
        <v>153</v>
      </c>
      <c r="P511" t="s">
        <v>157</v>
      </c>
      <c r="Q511" t="s">
        <v>244</v>
      </c>
    </row>
    <row r="512" spans="1:17" x14ac:dyDescent="0.25">
      <c r="A512" t="s">
        <v>20</v>
      </c>
      <c r="B512" t="s">
        <v>24</v>
      </c>
      <c r="C512" t="s">
        <v>43</v>
      </c>
      <c r="D512" t="s">
        <v>59</v>
      </c>
      <c r="E512">
        <v>56093</v>
      </c>
      <c r="F512">
        <v>255</v>
      </c>
      <c r="G512" t="s">
        <v>65</v>
      </c>
      <c r="I512" t="s">
        <v>56</v>
      </c>
      <c r="J512" t="s">
        <v>80</v>
      </c>
      <c r="K512" t="s">
        <v>106</v>
      </c>
      <c r="L512" t="s">
        <v>106</v>
      </c>
      <c r="M512">
        <v>2</v>
      </c>
      <c r="N512">
        <v>2</v>
      </c>
      <c r="O512" t="s">
        <v>148</v>
      </c>
      <c r="P512" t="s">
        <v>157</v>
      </c>
      <c r="Q512" t="s">
        <v>162</v>
      </c>
    </row>
    <row r="513" spans="1:17" x14ac:dyDescent="0.25">
      <c r="A513" t="s">
        <v>21</v>
      </c>
      <c r="B513" t="s">
        <v>31</v>
      </c>
      <c r="C513" t="s">
        <v>48</v>
      </c>
      <c r="D513" t="s">
        <v>54</v>
      </c>
      <c r="E513">
        <v>679558</v>
      </c>
      <c r="F513">
        <v>0</v>
      </c>
      <c r="G513" t="s">
        <v>66</v>
      </c>
      <c r="J513" t="s">
        <v>80</v>
      </c>
      <c r="K513" t="s">
        <v>106</v>
      </c>
      <c r="L513" t="s">
        <v>106</v>
      </c>
      <c r="M513">
        <v>20</v>
      </c>
      <c r="N513">
        <v>20</v>
      </c>
      <c r="O513" t="s">
        <v>151</v>
      </c>
      <c r="P513" t="s">
        <v>156</v>
      </c>
      <c r="Q513" t="s">
        <v>352</v>
      </c>
    </row>
    <row r="514" spans="1:17" x14ac:dyDescent="0.25">
      <c r="A514" t="s">
        <v>19</v>
      </c>
      <c r="B514" t="s">
        <v>33</v>
      </c>
      <c r="C514" t="s">
        <v>44</v>
      </c>
      <c r="D514" t="s">
        <v>58</v>
      </c>
      <c r="E514">
        <v>85374</v>
      </c>
      <c r="F514">
        <v>12303</v>
      </c>
      <c r="G514" t="s">
        <v>67</v>
      </c>
      <c r="I514" t="s">
        <v>71</v>
      </c>
      <c r="J514" t="s">
        <v>74</v>
      </c>
      <c r="K514" t="s">
        <v>84</v>
      </c>
      <c r="L514" t="s">
        <v>74</v>
      </c>
      <c r="M514">
        <v>20</v>
      </c>
      <c r="N514">
        <v>17</v>
      </c>
      <c r="O514" t="s">
        <v>148</v>
      </c>
      <c r="P514" t="s">
        <v>155</v>
      </c>
      <c r="Q514" t="s">
        <v>353</v>
      </c>
    </row>
    <row r="515" spans="1:17" x14ac:dyDescent="0.25">
      <c r="A515" t="s">
        <v>19</v>
      </c>
      <c r="B515" t="s">
        <v>32</v>
      </c>
      <c r="C515" t="s">
        <v>39</v>
      </c>
      <c r="D515" t="s">
        <v>62</v>
      </c>
      <c r="E515">
        <v>141903</v>
      </c>
      <c r="F515">
        <v>761</v>
      </c>
      <c r="G515" t="s">
        <v>64</v>
      </c>
      <c r="J515" t="s">
        <v>73</v>
      </c>
      <c r="K515" t="s">
        <v>102</v>
      </c>
      <c r="L515" t="s">
        <v>102</v>
      </c>
      <c r="M515">
        <v>18</v>
      </c>
      <c r="N515">
        <v>18</v>
      </c>
      <c r="O515" t="s">
        <v>152</v>
      </c>
      <c r="P515" t="s">
        <v>156</v>
      </c>
      <c r="Q515" t="s">
        <v>354</v>
      </c>
    </row>
    <row r="516" spans="1:17" x14ac:dyDescent="0.25">
      <c r="A516" t="s">
        <v>20</v>
      </c>
      <c r="B516" t="s">
        <v>27</v>
      </c>
      <c r="C516" t="s">
        <v>48</v>
      </c>
      <c r="D516" t="s">
        <v>58</v>
      </c>
      <c r="E516">
        <v>152046</v>
      </c>
      <c r="F516">
        <v>3394</v>
      </c>
      <c r="G516" t="s">
        <v>67</v>
      </c>
      <c r="I516" t="s">
        <v>70</v>
      </c>
      <c r="J516" t="s">
        <v>78</v>
      </c>
      <c r="K516" t="s">
        <v>88</v>
      </c>
      <c r="L516" t="s">
        <v>128</v>
      </c>
      <c r="M516">
        <v>0</v>
      </c>
      <c r="N516">
        <v>0</v>
      </c>
      <c r="O516" t="s">
        <v>152</v>
      </c>
      <c r="P516" t="s">
        <v>155</v>
      </c>
      <c r="Q516" t="s">
        <v>355</v>
      </c>
    </row>
    <row r="517" spans="1:17" x14ac:dyDescent="0.25">
      <c r="A517" t="s">
        <v>17</v>
      </c>
      <c r="B517" t="s">
        <v>28</v>
      </c>
      <c r="C517" t="s">
        <v>37</v>
      </c>
      <c r="D517" t="s">
        <v>55</v>
      </c>
      <c r="E517">
        <v>69295</v>
      </c>
      <c r="F517">
        <v>574</v>
      </c>
      <c r="G517" t="s">
        <v>67</v>
      </c>
      <c r="J517" t="s">
        <v>72</v>
      </c>
      <c r="K517" t="s">
        <v>82</v>
      </c>
      <c r="L517" t="s">
        <v>112</v>
      </c>
      <c r="M517">
        <v>18</v>
      </c>
      <c r="N517">
        <v>18</v>
      </c>
      <c r="O517" t="s">
        <v>150</v>
      </c>
      <c r="P517" t="s">
        <v>156</v>
      </c>
      <c r="Q517" t="s">
        <v>249</v>
      </c>
    </row>
    <row r="518" spans="1:17" x14ac:dyDescent="0.25">
      <c r="A518" t="s">
        <v>19</v>
      </c>
      <c r="B518" t="s">
        <v>24</v>
      </c>
      <c r="C518" t="s">
        <v>44</v>
      </c>
      <c r="E518">
        <v>51052</v>
      </c>
      <c r="F518">
        <v>489</v>
      </c>
      <c r="G518" t="s">
        <v>65</v>
      </c>
      <c r="I518" t="s">
        <v>69</v>
      </c>
      <c r="J518" t="s">
        <v>80</v>
      </c>
      <c r="K518" t="s">
        <v>93</v>
      </c>
      <c r="L518" t="s">
        <v>93</v>
      </c>
      <c r="M518">
        <v>3</v>
      </c>
      <c r="N518">
        <v>1</v>
      </c>
      <c r="O518" t="s">
        <v>151</v>
      </c>
      <c r="P518" t="s">
        <v>155</v>
      </c>
      <c r="Q518" t="s">
        <v>190</v>
      </c>
    </row>
    <row r="519" spans="1:17" x14ac:dyDescent="0.25">
      <c r="A519" t="s">
        <v>19</v>
      </c>
      <c r="D519" t="s">
        <v>60</v>
      </c>
      <c r="F519">
        <v>1818</v>
      </c>
      <c r="G519" t="s">
        <v>67</v>
      </c>
      <c r="I519" t="s">
        <v>70</v>
      </c>
      <c r="J519" t="s">
        <v>77</v>
      </c>
      <c r="K519" t="s">
        <v>89</v>
      </c>
      <c r="N519">
        <v>7</v>
      </c>
      <c r="O519" t="s">
        <v>152</v>
      </c>
      <c r="Q519" t="s">
        <v>354</v>
      </c>
    </row>
    <row r="520" spans="1:17" x14ac:dyDescent="0.25">
      <c r="A520" t="s">
        <v>21</v>
      </c>
      <c r="B520" t="s">
        <v>24</v>
      </c>
      <c r="C520" t="s">
        <v>42</v>
      </c>
      <c r="D520" t="s">
        <v>59</v>
      </c>
      <c r="E520">
        <v>88574</v>
      </c>
      <c r="F520">
        <v>2588</v>
      </c>
      <c r="G520" t="s">
        <v>68</v>
      </c>
      <c r="I520" t="s">
        <v>56</v>
      </c>
      <c r="J520" t="s">
        <v>76</v>
      </c>
      <c r="K520" t="s">
        <v>92</v>
      </c>
      <c r="L520" t="s">
        <v>119</v>
      </c>
      <c r="M520">
        <v>8</v>
      </c>
      <c r="N520">
        <v>8</v>
      </c>
      <c r="O520" t="s">
        <v>152</v>
      </c>
      <c r="P520" t="s">
        <v>155</v>
      </c>
      <c r="Q520" t="s">
        <v>212</v>
      </c>
    </row>
    <row r="521" spans="1:17" x14ac:dyDescent="0.25">
      <c r="A521" t="s">
        <v>19</v>
      </c>
      <c r="B521" t="s">
        <v>22</v>
      </c>
      <c r="C521" t="s">
        <v>50</v>
      </c>
      <c r="D521" t="s">
        <v>58</v>
      </c>
      <c r="E521">
        <v>44183</v>
      </c>
      <c r="F521">
        <v>3250</v>
      </c>
      <c r="G521" t="s">
        <v>66</v>
      </c>
      <c r="I521" t="s">
        <v>56</v>
      </c>
      <c r="J521" t="s">
        <v>72</v>
      </c>
      <c r="K521" t="s">
        <v>82</v>
      </c>
      <c r="L521" t="s">
        <v>112</v>
      </c>
      <c r="M521">
        <v>9</v>
      </c>
      <c r="N521">
        <v>6</v>
      </c>
      <c r="O521" t="s">
        <v>152</v>
      </c>
      <c r="P521" t="s">
        <v>154</v>
      </c>
      <c r="Q521" t="s">
        <v>348</v>
      </c>
    </row>
    <row r="522" spans="1:17" x14ac:dyDescent="0.25">
      <c r="A522" t="s">
        <v>20</v>
      </c>
      <c r="B522" t="s">
        <v>23</v>
      </c>
      <c r="C522" t="s">
        <v>45</v>
      </c>
      <c r="D522" t="s">
        <v>59</v>
      </c>
      <c r="E522">
        <v>73755</v>
      </c>
      <c r="F522">
        <v>0</v>
      </c>
      <c r="G522" t="s">
        <v>64</v>
      </c>
      <c r="I522" t="s">
        <v>70</v>
      </c>
      <c r="J522" t="s">
        <v>79</v>
      </c>
      <c r="K522" t="s">
        <v>91</v>
      </c>
      <c r="L522" t="s">
        <v>118</v>
      </c>
      <c r="M522">
        <v>7</v>
      </c>
      <c r="N522">
        <v>4</v>
      </c>
      <c r="O522" t="s">
        <v>150</v>
      </c>
      <c r="P522" t="s">
        <v>157</v>
      </c>
      <c r="Q522" t="s">
        <v>356</v>
      </c>
    </row>
    <row r="523" spans="1:17" x14ac:dyDescent="0.25">
      <c r="A523" t="s">
        <v>20</v>
      </c>
      <c r="B523" t="s">
        <v>26</v>
      </c>
      <c r="C523" t="s">
        <v>44</v>
      </c>
      <c r="D523" t="s">
        <v>57</v>
      </c>
      <c r="E523">
        <v>63769</v>
      </c>
      <c r="F523">
        <v>3443</v>
      </c>
      <c r="G523" t="s">
        <v>64</v>
      </c>
      <c r="J523" t="s">
        <v>81</v>
      </c>
      <c r="K523" t="s">
        <v>94</v>
      </c>
      <c r="L523" t="s">
        <v>129</v>
      </c>
      <c r="M523">
        <v>4</v>
      </c>
      <c r="N523">
        <v>3</v>
      </c>
      <c r="O523" t="s">
        <v>151</v>
      </c>
      <c r="P523" t="s">
        <v>157</v>
      </c>
      <c r="Q523" t="s">
        <v>250</v>
      </c>
    </row>
    <row r="524" spans="1:17" x14ac:dyDescent="0.25">
      <c r="A524" t="s">
        <v>19</v>
      </c>
      <c r="B524" t="s">
        <v>24</v>
      </c>
      <c r="C524" t="s">
        <v>41</v>
      </c>
      <c r="E524">
        <v>65588</v>
      </c>
      <c r="F524">
        <v>0</v>
      </c>
      <c r="G524" t="s">
        <v>63</v>
      </c>
      <c r="I524" t="s">
        <v>70</v>
      </c>
      <c r="J524" t="s">
        <v>79</v>
      </c>
      <c r="K524" t="s">
        <v>91</v>
      </c>
      <c r="L524" t="s">
        <v>118</v>
      </c>
      <c r="M524">
        <v>4</v>
      </c>
      <c r="N524">
        <v>4</v>
      </c>
      <c r="O524" t="s">
        <v>148</v>
      </c>
      <c r="P524" t="s">
        <v>157</v>
      </c>
      <c r="Q524" t="s">
        <v>334</v>
      </c>
    </row>
    <row r="525" spans="1:17" x14ac:dyDescent="0.25">
      <c r="A525" t="s">
        <v>20</v>
      </c>
      <c r="B525" t="s">
        <v>25</v>
      </c>
      <c r="C525" t="s">
        <v>44</v>
      </c>
      <c r="D525" t="s">
        <v>58</v>
      </c>
      <c r="E525">
        <v>48131</v>
      </c>
      <c r="F525">
        <v>2080</v>
      </c>
      <c r="G525" t="s">
        <v>68</v>
      </c>
      <c r="I525" t="s">
        <v>70</v>
      </c>
      <c r="J525" t="s">
        <v>77</v>
      </c>
      <c r="K525" t="s">
        <v>87</v>
      </c>
      <c r="L525" t="s">
        <v>144</v>
      </c>
      <c r="M525">
        <v>1</v>
      </c>
      <c r="N525">
        <v>1</v>
      </c>
      <c r="O525" t="s">
        <v>153</v>
      </c>
      <c r="P525" t="s">
        <v>156</v>
      </c>
      <c r="Q525" t="s">
        <v>328</v>
      </c>
    </row>
    <row r="526" spans="1:17" x14ac:dyDescent="0.25">
      <c r="A526" t="s">
        <v>21</v>
      </c>
      <c r="B526" t="s">
        <v>24</v>
      </c>
      <c r="C526" t="s">
        <v>44</v>
      </c>
      <c r="D526" t="s">
        <v>60</v>
      </c>
      <c r="E526">
        <v>72627</v>
      </c>
      <c r="F526">
        <v>789</v>
      </c>
      <c r="G526" t="s">
        <v>65</v>
      </c>
      <c r="I526" t="s">
        <v>70</v>
      </c>
      <c r="J526" t="s">
        <v>79</v>
      </c>
      <c r="K526" t="s">
        <v>91</v>
      </c>
      <c r="L526" t="s">
        <v>118</v>
      </c>
      <c r="M526">
        <v>20</v>
      </c>
      <c r="N526">
        <v>17</v>
      </c>
      <c r="O526" t="s">
        <v>150</v>
      </c>
      <c r="P526" t="s">
        <v>155</v>
      </c>
      <c r="Q526" t="s">
        <v>357</v>
      </c>
    </row>
    <row r="527" spans="1:17" x14ac:dyDescent="0.25">
      <c r="A527" t="s">
        <v>19</v>
      </c>
      <c r="B527" t="s">
        <v>23</v>
      </c>
      <c r="C527" t="s">
        <v>40</v>
      </c>
      <c r="D527" t="s">
        <v>60</v>
      </c>
      <c r="E527">
        <v>54819</v>
      </c>
      <c r="F527">
        <v>2312</v>
      </c>
      <c r="G527" t="s">
        <v>64</v>
      </c>
      <c r="I527" t="s">
        <v>71</v>
      </c>
      <c r="J527" t="s">
        <v>79</v>
      </c>
      <c r="K527" t="s">
        <v>91</v>
      </c>
      <c r="L527" t="s">
        <v>118</v>
      </c>
      <c r="M527">
        <v>15</v>
      </c>
      <c r="N527">
        <v>15</v>
      </c>
      <c r="O527" t="s">
        <v>150</v>
      </c>
      <c r="P527" t="s">
        <v>154</v>
      </c>
      <c r="Q527" t="s">
        <v>171</v>
      </c>
    </row>
    <row r="528" spans="1:17" x14ac:dyDescent="0.25">
      <c r="A528" t="s">
        <v>17</v>
      </c>
      <c r="B528" t="s">
        <v>34</v>
      </c>
      <c r="C528" t="s">
        <v>48</v>
      </c>
      <c r="D528" t="s">
        <v>56</v>
      </c>
      <c r="E528">
        <v>114872</v>
      </c>
      <c r="F528">
        <v>29117</v>
      </c>
      <c r="G528" t="s">
        <v>67</v>
      </c>
      <c r="J528" t="s">
        <v>74</v>
      </c>
      <c r="K528" t="s">
        <v>84</v>
      </c>
      <c r="L528" t="s">
        <v>74</v>
      </c>
      <c r="M528">
        <v>12</v>
      </c>
      <c r="N528">
        <v>10</v>
      </c>
      <c r="O528" t="s">
        <v>153</v>
      </c>
      <c r="P528" t="s">
        <v>155</v>
      </c>
      <c r="Q528" t="s">
        <v>239</v>
      </c>
    </row>
    <row r="529" spans="1:17" x14ac:dyDescent="0.25">
      <c r="A529" t="s">
        <v>20</v>
      </c>
      <c r="B529" t="s">
        <v>28</v>
      </c>
      <c r="C529" t="s">
        <v>40</v>
      </c>
      <c r="D529" t="s">
        <v>59</v>
      </c>
      <c r="E529">
        <v>1074504</v>
      </c>
      <c r="F529">
        <v>87377</v>
      </c>
      <c r="G529" t="s">
        <v>66</v>
      </c>
      <c r="I529" t="s">
        <v>56</v>
      </c>
      <c r="J529" t="s">
        <v>80</v>
      </c>
      <c r="K529" t="s">
        <v>93</v>
      </c>
      <c r="L529" t="s">
        <v>93</v>
      </c>
      <c r="M529">
        <v>5</v>
      </c>
      <c r="N529">
        <v>4</v>
      </c>
      <c r="O529" t="s">
        <v>153</v>
      </c>
      <c r="P529" t="s">
        <v>157</v>
      </c>
      <c r="Q529" t="s">
        <v>171</v>
      </c>
    </row>
    <row r="530" spans="1:17" x14ac:dyDescent="0.25">
      <c r="A530" t="s">
        <v>19</v>
      </c>
      <c r="B530" t="s">
        <v>27</v>
      </c>
      <c r="C530" t="s">
        <v>52</v>
      </c>
      <c r="D530" t="s">
        <v>55</v>
      </c>
      <c r="E530">
        <v>198806</v>
      </c>
      <c r="F530">
        <v>0</v>
      </c>
      <c r="G530" t="s">
        <v>67</v>
      </c>
      <c r="I530" t="s">
        <v>56</v>
      </c>
      <c r="J530" t="s">
        <v>73</v>
      </c>
      <c r="K530" t="s">
        <v>99</v>
      </c>
      <c r="L530" t="s">
        <v>125</v>
      </c>
      <c r="M530">
        <v>4</v>
      </c>
      <c r="N530">
        <v>4</v>
      </c>
      <c r="O530" t="s">
        <v>152</v>
      </c>
      <c r="P530" t="s">
        <v>156</v>
      </c>
      <c r="Q530" t="s">
        <v>166</v>
      </c>
    </row>
    <row r="531" spans="1:17" x14ac:dyDescent="0.25">
      <c r="A531" t="s">
        <v>21</v>
      </c>
      <c r="B531" t="s">
        <v>35</v>
      </c>
      <c r="C531" t="s">
        <v>37</v>
      </c>
      <c r="D531" t="s">
        <v>54</v>
      </c>
      <c r="E531">
        <v>90234</v>
      </c>
      <c r="F531">
        <v>10883</v>
      </c>
      <c r="G531" t="s">
        <v>65</v>
      </c>
      <c r="I531" t="s">
        <v>71</v>
      </c>
      <c r="J531" t="s">
        <v>78</v>
      </c>
      <c r="K531" t="s">
        <v>105</v>
      </c>
      <c r="L531" t="s">
        <v>133</v>
      </c>
      <c r="M531">
        <v>10</v>
      </c>
      <c r="N531">
        <v>9</v>
      </c>
      <c r="O531" t="s">
        <v>148</v>
      </c>
      <c r="P531" t="s">
        <v>155</v>
      </c>
      <c r="Q531" t="s">
        <v>184</v>
      </c>
    </row>
    <row r="532" spans="1:17" x14ac:dyDescent="0.25">
      <c r="A532" t="s">
        <v>20</v>
      </c>
      <c r="D532" t="s">
        <v>58</v>
      </c>
      <c r="F532">
        <v>0</v>
      </c>
      <c r="G532" t="s">
        <v>68</v>
      </c>
      <c r="J532" t="s">
        <v>75</v>
      </c>
      <c r="K532" t="s">
        <v>85</v>
      </c>
      <c r="N532">
        <v>1</v>
      </c>
      <c r="O532" t="s">
        <v>151</v>
      </c>
      <c r="Q532" t="s">
        <v>188</v>
      </c>
    </row>
    <row r="533" spans="1:17" x14ac:dyDescent="0.25">
      <c r="A533" t="s">
        <v>20</v>
      </c>
      <c r="B533" t="s">
        <v>34</v>
      </c>
      <c r="C533" t="s">
        <v>41</v>
      </c>
      <c r="D533" t="s">
        <v>62</v>
      </c>
      <c r="E533">
        <v>87025</v>
      </c>
      <c r="F533">
        <v>7321</v>
      </c>
      <c r="G533" t="s">
        <v>64</v>
      </c>
      <c r="I533" t="s">
        <v>56</v>
      </c>
      <c r="J533" t="s">
        <v>81</v>
      </c>
      <c r="K533" t="s">
        <v>101</v>
      </c>
      <c r="L533" t="s">
        <v>127</v>
      </c>
      <c r="M533">
        <v>3</v>
      </c>
      <c r="N533">
        <v>3</v>
      </c>
      <c r="O533" t="s">
        <v>151</v>
      </c>
      <c r="P533" t="s">
        <v>157</v>
      </c>
      <c r="Q533" t="s">
        <v>358</v>
      </c>
    </row>
    <row r="534" spans="1:17" x14ac:dyDescent="0.25">
      <c r="A534" t="s">
        <v>19</v>
      </c>
      <c r="B534" t="s">
        <v>31</v>
      </c>
      <c r="C534" t="s">
        <v>43</v>
      </c>
      <c r="D534" t="s">
        <v>62</v>
      </c>
      <c r="E534">
        <v>79444</v>
      </c>
      <c r="F534">
        <v>12494</v>
      </c>
      <c r="G534" t="s">
        <v>65</v>
      </c>
      <c r="J534" t="s">
        <v>72</v>
      </c>
      <c r="K534" t="s">
        <v>95</v>
      </c>
      <c r="L534" t="s">
        <v>120</v>
      </c>
      <c r="M534">
        <v>7</v>
      </c>
      <c r="N534">
        <v>7</v>
      </c>
      <c r="O534" t="s">
        <v>148</v>
      </c>
      <c r="P534" t="s">
        <v>154</v>
      </c>
      <c r="Q534" t="s">
        <v>169</v>
      </c>
    </row>
    <row r="535" spans="1:17" x14ac:dyDescent="0.25">
      <c r="A535" t="s">
        <v>19</v>
      </c>
      <c r="B535" t="s">
        <v>26</v>
      </c>
      <c r="C535" t="s">
        <v>41</v>
      </c>
      <c r="D535" t="s">
        <v>55</v>
      </c>
      <c r="E535">
        <v>109874</v>
      </c>
      <c r="F535">
        <v>0</v>
      </c>
      <c r="G535" t="s">
        <v>63</v>
      </c>
      <c r="I535" t="s">
        <v>56</v>
      </c>
      <c r="J535" t="s">
        <v>76</v>
      </c>
      <c r="K535" t="s">
        <v>92</v>
      </c>
      <c r="L535" t="s">
        <v>119</v>
      </c>
      <c r="M535">
        <v>20</v>
      </c>
      <c r="N535">
        <v>17</v>
      </c>
      <c r="O535" t="s">
        <v>152</v>
      </c>
      <c r="P535" t="s">
        <v>157</v>
      </c>
      <c r="Q535" t="s">
        <v>162</v>
      </c>
    </row>
    <row r="536" spans="1:17" x14ac:dyDescent="0.25">
      <c r="A536" t="s">
        <v>19</v>
      </c>
      <c r="B536" t="s">
        <v>31</v>
      </c>
      <c r="C536" t="s">
        <v>50</v>
      </c>
      <c r="D536" t="s">
        <v>55</v>
      </c>
      <c r="E536">
        <v>66393</v>
      </c>
      <c r="F536">
        <v>3205</v>
      </c>
      <c r="G536" t="s">
        <v>68</v>
      </c>
      <c r="I536" t="s">
        <v>56</v>
      </c>
      <c r="J536" t="s">
        <v>77</v>
      </c>
      <c r="K536" t="s">
        <v>89</v>
      </c>
      <c r="L536" t="s">
        <v>124</v>
      </c>
      <c r="M536">
        <v>9</v>
      </c>
      <c r="N536">
        <v>9</v>
      </c>
      <c r="O536" t="s">
        <v>152</v>
      </c>
      <c r="P536" t="s">
        <v>154</v>
      </c>
      <c r="Q536" t="s">
        <v>166</v>
      </c>
    </row>
    <row r="537" spans="1:17" x14ac:dyDescent="0.25">
      <c r="A537" t="s">
        <v>17</v>
      </c>
      <c r="B537" t="s">
        <v>24</v>
      </c>
      <c r="C537" t="s">
        <v>53</v>
      </c>
      <c r="D537" t="s">
        <v>54</v>
      </c>
      <c r="E537">
        <v>40333</v>
      </c>
      <c r="F537">
        <v>2334</v>
      </c>
      <c r="G537" t="s">
        <v>68</v>
      </c>
      <c r="I537" t="s">
        <v>70</v>
      </c>
      <c r="J537" t="s">
        <v>81</v>
      </c>
      <c r="K537" t="s">
        <v>98</v>
      </c>
      <c r="L537" t="s">
        <v>123</v>
      </c>
      <c r="M537">
        <v>15</v>
      </c>
      <c r="N537">
        <v>15</v>
      </c>
      <c r="O537" t="s">
        <v>150</v>
      </c>
      <c r="P537" t="s">
        <v>154</v>
      </c>
      <c r="Q537" t="s">
        <v>180</v>
      </c>
    </row>
    <row r="538" spans="1:17" x14ac:dyDescent="0.25">
      <c r="A538" t="s">
        <v>19</v>
      </c>
      <c r="B538" t="s">
        <v>35</v>
      </c>
      <c r="C538" t="s">
        <v>45</v>
      </c>
      <c r="D538" t="s">
        <v>56</v>
      </c>
      <c r="E538">
        <v>15692</v>
      </c>
      <c r="F538">
        <v>0</v>
      </c>
      <c r="G538" t="s">
        <v>66</v>
      </c>
      <c r="I538" t="s">
        <v>56</v>
      </c>
      <c r="J538" t="s">
        <v>76</v>
      </c>
      <c r="K538" t="s">
        <v>86</v>
      </c>
      <c r="L538" t="s">
        <v>115</v>
      </c>
      <c r="M538">
        <v>20</v>
      </c>
      <c r="N538">
        <v>19</v>
      </c>
      <c r="O538" t="s">
        <v>152</v>
      </c>
      <c r="P538" t="s">
        <v>155</v>
      </c>
      <c r="Q538" t="s">
        <v>240</v>
      </c>
    </row>
    <row r="539" spans="1:17" x14ac:dyDescent="0.25">
      <c r="A539" t="s">
        <v>20</v>
      </c>
      <c r="B539" t="s">
        <v>25</v>
      </c>
      <c r="C539" t="s">
        <v>51</v>
      </c>
      <c r="D539" t="s">
        <v>60</v>
      </c>
      <c r="E539">
        <v>1189021</v>
      </c>
      <c r="F539">
        <v>155994</v>
      </c>
      <c r="G539" t="s">
        <v>66</v>
      </c>
      <c r="J539" t="s">
        <v>75</v>
      </c>
      <c r="K539" t="s">
        <v>108</v>
      </c>
      <c r="L539" t="s">
        <v>135</v>
      </c>
      <c r="M539">
        <v>7</v>
      </c>
      <c r="N539">
        <v>7</v>
      </c>
      <c r="O539" t="s">
        <v>150</v>
      </c>
      <c r="P539" t="s">
        <v>156</v>
      </c>
      <c r="Q539" t="s">
        <v>359</v>
      </c>
    </row>
    <row r="540" spans="1:17" x14ac:dyDescent="0.25">
      <c r="A540" t="s">
        <v>19</v>
      </c>
      <c r="B540" t="s">
        <v>31</v>
      </c>
      <c r="C540" t="s">
        <v>45</v>
      </c>
      <c r="D540" t="s">
        <v>59</v>
      </c>
      <c r="E540">
        <v>65074</v>
      </c>
      <c r="F540">
        <v>9498</v>
      </c>
      <c r="G540" t="s">
        <v>67</v>
      </c>
      <c r="I540" t="s">
        <v>71</v>
      </c>
      <c r="J540" t="s">
        <v>81</v>
      </c>
      <c r="K540" t="s">
        <v>98</v>
      </c>
      <c r="L540" t="s">
        <v>123</v>
      </c>
      <c r="M540">
        <v>12</v>
      </c>
      <c r="N540">
        <v>12</v>
      </c>
      <c r="O540" t="s">
        <v>149</v>
      </c>
      <c r="P540" t="s">
        <v>154</v>
      </c>
      <c r="Q540" t="s">
        <v>219</v>
      </c>
    </row>
    <row r="541" spans="1:17" x14ac:dyDescent="0.25">
      <c r="A541" t="s">
        <v>20</v>
      </c>
      <c r="B541" t="s">
        <v>28</v>
      </c>
      <c r="C541" t="s">
        <v>39</v>
      </c>
      <c r="D541" t="s">
        <v>56</v>
      </c>
      <c r="E541">
        <v>116614</v>
      </c>
      <c r="F541">
        <v>12768</v>
      </c>
      <c r="G541" t="s">
        <v>64</v>
      </c>
      <c r="I541" t="s">
        <v>70</v>
      </c>
      <c r="J541" t="s">
        <v>81</v>
      </c>
      <c r="K541" t="s">
        <v>101</v>
      </c>
      <c r="L541" t="s">
        <v>127</v>
      </c>
      <c r="M541">
        <v>7</v>
      </c>
      <c r="N541">
        <v>7</v>
      </c>
      <c r="O541" t="s">
        <v>153</v>
      </c>
      <c r="P541" t="s">
        <v>156</v>
      </c>
      <c r="Q541" t="s">
        <v>189</v>
      </c>
    </row>
    <row r="542" spans="1:17" x14ac:dyDescent="0.25">
      <c r="A542" t="s">
        <v>19</v>
      </c>
      <c r="B542" t="s">
        <v>24</v>
      </c>
      <c r="C542" t="s">
        <v>46</v>
      </c>
      <c r="D542" t="s">
        <v>58</v>
      </c>
      <c r="E542">
        <v>75598</v>
      </c>
      <c r="F542">
        <v>3626</v>
      </c>
      <c r="G542" t="s">
        <v>63</v>
      </c>
      <c r="I542" t="s">
        <v>56</v>
      </c>
      <c r="J542" t="s">
        <v>75</v>
      </c>
      <c r="K542" t="s">
        <v>96</v>
      </c>
      <c r="L542" t="s">
        <v>121</v>
      </c>
      <c r="M542">
        <v>10</v>
      </c>
      <c r="N542">
        <v>10</v>
      </c>
      <c r="O542" t="s">
        <v>150</v>
      </c>
      <c r="P542" t="s">
        <v>154</v>
      </c>
      <c r="Q542" t="s">
        <v>267</v>
      </c>
    </row>
    <row r="543" spans="1:17" x14ac:dyDescent="0.25">
      <c r="A543" t="s">
        <v>17</v>
      </c>
      <c r="B543" t="s">
        <v>22</v>
      </c>
      <c r="C543" t="s">
        <v>47</v>
      </c>
      <c r="D543" t="s">
        <v>59</v>
      </c>
      <c r="E543">
        <v>7189350</v>
      </c>
      <c r="F543">
        <v>15121</v>
      </c>
      <c r="G543" t="s">
        <v>66</v>
      </c>
      <c r="I543" t="s">
        <v>71</v>
      </c>
      <c r="J543" t="s">
        <v>78</v>
      </c>
      <c r="K543" t="s">
        <v>105</v>
      </c>
      <c r="L543" t="s">
        <v>133</v>
      </c>
      <c r="M543">
        <v>25</v>
      </c>
      <c r="N543">
        <v>24</v>
      </c>
      <c r="O543" t="s">
        <v>151</v>
      </c>
      <c r="P543" t="s">
        <v>156</v>
      </c>
      <c r="Q543" t="s">
        <v>360</v>
      </c>
    </row>
    <row r="544" spans="1:17" x14ac:dyDescent="0.25">
      <c r="A544" t="s">
        <v>21</v>
      </c>
      <c r="B544" t="s">
        <v>30</v>
      </c>
      <c r="C544" t="s">
        <v>42</v>
      </c>
      <c r="D544" t="s">
        <v>61</v>
      </c>
      <c r="E544">
        <v>80552</v>
      </c>
      <c r="F544">
        <v>0</v>
      </c>
      <c r="G544" t="s">
        <v>65</v>
      </c>
      <c r="I544" t="s">
        <v>71</v>
      </c>
      <c r="J544" t="s">
        <v>78</v>
      </c>
      <c r="K544" t="s">
        <v>90</v>
      </c>
      <c r="L544" t="s">
        <v>138</v>
      </c>
      <c r="M544">
        <v>10</v>
      </c>
      <c r="N544">
        <v>9</v>
      </c>
      <c r="O544" t="s">
        <v>148</v>
      </c>
      <c r="P544" t="s">
        <v>156</v>
      </c>
      <c r="Q544" t="s">
        <v>319</v>
      </c>
    </row>
    <row r="545" spans="1:17" x14ac:dyDescent="0.25">
      <c r="A545" t="s">
        <v>19</v>
      </c>
      <c r="B545" t="s">
        <v>23</v>
      </c>
      <c r="C545" t="s">
        <v>44</v>
      </c>
      <c r="D545" t="s">
        <v>56</v>
      </c>
      <c r="E545">
        <v>75849</v>
      </c>
      <c r="F545">
        <v>1511</v>
      </c>
      <c r="G545" t="s">
        <v>68</v>
      </c>
      <c r="I545" t="s">
        <v>56</v>
      </c>
      <c r="J545" t="s">
        <v>73</v>
      </c>
      <c r="K545" t="s">
        <v>83</v>
      </c>
      <c r="L545" t="s">
        <v>113</v>
      </c>
      <c r="M545">
        <v>15</v>
      </c>
      <c r="N545">
        <v>14</v>
      </c>
      <c r="O545" t="s">
        <v>150</v>
      </c>
      <c r="P545" t="s">
        <v>156</v>
      </c>
      <c r="Q545" t="s">
        <v>282</v>
      </c>
    </row>
    <row r="546" spans="1:17" x14ac:dyDescent="0.25">
      <c r="A546" t="s">
        <v>17</v>
      </c>
      <c r="B546" t="s">
        <v>23</v>
      </c>
      <c r="C546" t="s">
        <v>49</v>
      </c>
      <c r="D546" t="s">
        <v>61</v>
      </c>
      <c r="E546">
        <v>52024</v>
      </c>
      <c r="F546">
        <v>2323</v>
      </c>
      <c r="G546" t="s">
        <v>67</v>
      </c>
      <c r="I546" t="s">
        <v>69</v>
      </c>
      <c r="J546" t="s">
        <v>76</v>
      </c>
      <c r="K546" t="s">
        <v>100</v>
      </c>
      <c r="L546" t="s">
        <v>132</v>
      </c>
      <c r="M546">
        <v>12</v>
      </c>
      <c r="N546">
        <v>11</v>
      </c>
      <c r="O546" t="s">
        <v>151</v>
      </c>
      <c r="P546" t="s">
        <v>157</v>
      </c>
      <c r="Q546" t="s">
        <v>361</v>
      </c>
    </row>
    <row r="547" spans="1:17" x14ac:dyDescent="0.25">
      <c r="A547" t="s">
        <v>20</v>
      </c>
      <c r="B547" t="s">
        <v>31</v>
      </c>
      <c r="C547" t="s">
        <v>41</v>
      </c>
      <c r="D547" t="s">
        <v>55</v>
      </c>
      <c r="E547">
        <v>128991</v>
      </c>
      <c r="F547">
        <v>217</v>
      </c>
      <c r="G547" t="s">
        <v>68</v>
      </c>
      <c r="J547" t="s">
        <v>76</v>
      </c>
      <c r="K547" t="s">
        <v>86</v>
      </c>
      <c r="L547" t="s">
        <v>115</v>
      </c>
      <c r="M547">
        <v>3</v>
      </c>
      <c r="N547">
        <v>1</v>
      </c>
      <c r="O547" t="s">
        <v>149</v>
      </c>
      <c r="P547" t="s">
        <v>157</v>
      </c>
      <c r="Q547" t="s">
        <v>180</v>
      </c>
    </row>
    <row r="548" spans="1:17" x14ac:dyDescent="0.25">
      <c r="A548" t="s">
        <v>19</v>
      </c>
      <c r="B548" t="s">
        <v>33</v>
      </c>
      <c r="C548" t="s">
        <v>47</v>
      </c>
      <c r="E548">
        <v>96316</v>
      </c>
      <c r="F548">
        <v>10527</v>
      </c>
      <c r="G548" t="s">
        <v>64</v>
      </c>
      <c r="I548" t="s">
        <v>70</v>
      </c>
      <c r="J548" t="s">
        <v>76</v>
      </c>
      <c r="K548" t="s">
        <v>92</v>
      </c>
      <c r="L548" t="s">
        <v>119</v>
      </c>
      <c r="M548">
        <v>10</v>
      </c>
      <c r="N548">
        <v>10</v>
      </c>
      <c r="O548" t="s">
        <v>148</v>
      </c>
      <c r="P548" t="s">
        <v>156</v>
      </c>
      <c r="Q548" t="s">
        <v>362</v>
      </c>
    </row>
    <row r="549" spans="1:17" x14ac:dyDescent="0.25">
      <c r="A549" t="s">
        <v>19</v>
      </c>
      <c r="B549" t="s">
        <v>27</v>
      </c>
      <c r="C549" t="s">
        <v>53</v>
      </c>
      <c r="E549">
        <v>130070</v>
      </c>
      <c r="F549">
        <v>15866</v>
      </c>
      <c r="G549" t="s">
        <v>64</v>
      </c>
      <c r="J549" t="s">
        <v>72</v>
      </c>
      <c r="K549" t="s">
        <v>82</v>
      </c>
      <c r="L549" t="s">
        <v>112</v>
      </c>
      <c r="M549">
        <v>6</v>
      </c>
      <c r="N549">
        <v>6</v>
      </c>
      <c r="O549" t="s">
        <v>152</v>
      </c>
      <c r="P549" t="s">
        <v>155</v>
      </c>
      <c r="Q549" t="s">
        <v>169</v>
      </c>
    </row>
    <row r="550" spans="1:17" x14ac:dyDescent="0.25">
      <c r="A550" t="s">
        <v>19</v>
      </c>
      <c r="B550" t="s">
        <v>31</v>
      </c>
      <c r="C550" t="s">
        <v>52</v>
      </c>
      <c r="D550" t="s">
        <v>56</v>
      </c>
      <c r="E550">
        <v>99290</v>
      </c>
      <c r="F550">
        <v>18835</v>
      </c>
      <c r="G550" t="s">
        <v>67</v>
      </c>
      <c r="I550" t="s">
        <v>71</v>
      </c>
      <c r="J550" t="s">
        <v>75</v>
      </c>
      <c r="K550" t="s">
        <v>85</v>
      </c>
      <c r="L550" t="s">
        <v>114</v>
      </c>
      <c r="M550">
        <v>5</v>
      </c>
      <c r="N550">
        <v>2</v>
      </c>
      <c r="O550" t="s">
        <v>151</v>
      </c>
      <c r="P550" t="s">
        <v>156</v>
      </c>
      <c r="Q550" t="s">
        <v>173</v>
      </c>
    </row>
    <row r="551" spans="1:17" x14ac:dyDescent="0.25">
      <c r="A551" t="s">
        <v>20</v>
      </c>
      <c r="B551" t="s">
        <v>26</v>
      </c>
      <c r="C551" t="s">
        <v>45</v>
      </c>
      <c r="D551" t="s">
        <v>54</v>
      </c>
      <c r="E551">
        <v>1128761</v>
      </c>
      <c r="F551">
        <v>75293</v>
      </c>
      <c r="G551" t="s">
        <v>66</v>
      </c>
      <c r="I551" t="s">
        <v>71</v>
      </c>
      <c r="J551" t="s">
        <v>78</v>
      </c>
      <c r="K551" t="s">
        <v>109</v>
      </c>
      <c r="L551" t="s">
        <v>137</v>
      </c>
      <c r="M551">
        <v>7</v>
      </c>
      <c r="N551">
        <v>7</v>
      </c>
      <c r="O551" t="s">
        <v>149</v>
      </c>
      <c r="P551" t="s">
        <v>154</v>
      </c>
      <c r="Q551" t="s">
        <v>363</v>
      </c>
    </row>
    <row r="552" spans="1:17" x14ac:dyDescent="0.25">
      <c r="A552" t="s">
        <v>19</v>
      </c>
      <c r="B552" t="s">
        <v>33</v>
      </c>
      <c r="C552" t="s">
        <v>51</v>
      </c>
      <c r="D552" t="s">
        <v>60</v>
      </c>
      <c r="E552">
        <v>85603</v>
      </c>
      <c r="F552">
        <v>17967</v>
      </c>
      <c r="G552" t="s">
        <v>65</v>
      </c>
      <c r="I552" t="s">
        <v>56</v>
      </c>
      <c r="J552" t="s">
        <v>77</v>
      </c>
      <c r="K552" t="s">
        <v>111</v>
      </c>
      <c r="L552" t="s">
        <v>141</v>
      </c>
      <c r="M552">
        <v>6</v>
      </c>
      <c r="N552">
        <v>5</v>
      </c>
      <c r="O552" t="s">
        <v>152</v>
      </c>
      <c r="P552" t="s">
        <v>154</v>
      </c>
      <c r="Q552" t="s">
        <v>178</v>
      </c>
    </row>
    <row r="553" spans="1:17" x14ac:dyDescent="0.25">
      <c r="A553" t="s">
        <v>18</v>
      </c>
      <c r="B553" t="s">
        <v>32</v>
      </c>
      <c r="C553" t="s">
        <v>41</v>
      </c>
      <c r="D553" t="s">
        <v>54</v>
      </c>
      <c r="E553">
        <v>95997</v>
      </c>
      <c r="F553">
        <v>0</v>
      </c>
      <c r="G553" t="s">
        <v>64</v>
      </c>
      <c r="I553" t="s">
        <v>56</v>
      </c>
      <c r="J553" t="s">
        <v>75</v>
      </c>
      <c r="K553" t="s">
        <v>96</v>
      </c>
      <c r="L553" t="s">
        <v>121</v>
      </c>
      <c r="M553">
        <v>1</v>
      </c>
      <c r="N553">
        <v>1</v>
      </c>
      <c r="O553" t="s">
        <v>152</v>
      </c>
      <c r="P553" t="s">
        <v>157</v>
      </c>
      <c r="Q553" t="s">
        <v>240</v>
      </c>
    </row>
    <row r="554" spans="1:17" x14ac:dyDescent="0.25">
      <c r="A554" t="s">
        <v>19</v>
      </c>
      <c r="B554" t="s">
        <v>26</v>
      </c>
      <c r="C554" t="s">
        <v>53</v>
      </c>
      <c r="D554" t="s">
        <v>54</v>
      </c>
      <c r="E554">
        <v>54596</v>
      </c>
      <c r="F554">
        <v>0</v>
      </c>
      <c r="G554" t="s">
        <v>65</v>
      </c>
      <c r="I554" t="s">
        <v>71</v>
      </c>
      <c r="J554" t="s">
        <v>72</v>
      </c>
      <c r="K554" t="s">
        <v>95</v>
      </c>
      <c r="L554" t="s">
        <v>120</v>
      </c>
      <c r="M554">
        <v>20</v>
      </c>
      <c r="N554">
        <v>18</v>
      </c>
      <c r="O554" t="s">
        <v>148</v>
      </c>
      <c r="P554" t="s">
        <v>157</v>
      </c>
      <c r="Q554" t="s">
        <v>364</v>
      </c>
    </row>
    <row r="555" spans="1:17" x14ac:dyDescent="0.25">
      <c r="A555" t="s">
        <v>19</v>
      </c>
      <c r="B555" t="s">
        <v>35</v>
      </c>
      <c r="C555" t="s">
        <v>50</v>
      </c>
      <c r="E555">
        <v>36924</v>
      </c>
      <c r="F555">
        <v>4645</v>
      </c>
      <c r="G555" t="s">
        <v>65</v>
      </c>
      <c r="J555" t="s">
        <v>80</v>
      </c>
      <c r="K555" t="s">
        <v>93</v>
      </c>
      <c r="L555" t="s">
        <v>93</v>
      </c>
      <c r="M555">
        <v>25</v>
      </c>
      <c r="N555">
        <v>23</v>
      </c>
      <c r="O555" t="s">
        <v>149</v>
      </c>
      <c r="P555" t="s">
        <v>155</v>
      </c>
      <c r="Q555" t="s">
        <v>162</v>
      </c>
    </row>
    <row r="556" spans="1:17" x14ac:dyDescent="0.25">
      <c r="A556" t="s">
        <v>20</v>
      </c>
      <c r="B556" t="s">
        <v>30</v>
      </c>
      <c r="C556" t="s">
        <v>46</v>
      </c>
      <c r="D556" t="s">
        <v>56</v>
      </c>
      <c r="E556">
        <v>19245</v>
      </c>
      <c r="F556">
        <v>2647</v>
      </c>
      <c r="G556" t="s">
        <v>65</v>
      </c>
      <c r="I556" t="s">
        <v>69</v>
      </c>
      <c r="J556" t="s">
        <v>78</v>
      </c>
      <c r="K556" t="s">
        <v>109</v>
      </c>
      <c r="L556" t="s">
        <v>137</v>
      </c>
      <c r="M556">
        <v>0</v>
      </c>
      <c r="N556">
        <v>0</v>
      </c>
      <c r="O556" t="s">
        <v>153</v>
      </c>
      <c r="P556" t="s">
        <v>156</v>
      </c>
      <c r="Q556" t="s">
        <v>165</v>
      </c>
    </row>
    <row r="557" spans="1:17" x14ac:dyDescent="0.25">
      <c r="A557" t="s">
        <v>21</v>
      </c>
      <c r="B557" t="s">
        <v>32</v>
      </c>
      <c r="C557" t="s">
        <v>49</v>
      </c>
      <c r="D557" t="s">
        <v>62</v>
      </c>
      <c r="E557">
        <v>367380</v>
      </c>
      <c r="F557">
        <v>21407</v>
      </c>
      <c r="G557" t="s">
        <v>66</v>
      </c>
      <c r="I557" t="s">
        <v>69</v>
      </c>
      <c r="J557" t="s">
        <v>79</v>
      </c>
      <c r="K557" t="s">
        <v>91</v>
      </c>
      <c r="L557" t="s">
        <v>118</v>
      </c>
      <c r="M557">
        <v>15</v>
      </c>
      <c r="N557">
        <v>15</v>
      </c>
      <c r="O557" t="s">
        <v>153</v>
      </c>
      <c r="P557" t="s">
        <v>155</v>
      </c>
      <c r="Q557" t="s">
        <v>365</v>
      </c>
    </row>
    <row r="558" spans="1:17" x14ac:dyDescent="0.25">
      <c r="A558" t="s">
        <v>17</v>
      </c>
      <c r="B558" t="s">
        <v>22</v>
      </c>
      <c r="C558" t="s">
        <v>49</v>
      </c>
      <c r="D558" t="s">
        <v>60</v>
      </c>
      <c r="E558">
        <v>43252</v>
      </c>
      <c r="F558">
        <v>1120</v>
      </c>
      <c r="G558" t="s">
        <v>67</v>
      </c>
      <c r="I558" t="s">
        <v>56</v>
      </c>
      <c r="J558" t="s">
        <v>80</v>
      </c>
      <c r="K558" t="s">
        <v>106</v>
      </c>
      <c r="L558" t="s">
        <v>106</v>
      </c>
      <c r="M558">
        <v>20</v>
      </c>
      <c r="N558">
        <v>20</v>
      </c>
      <c r="O558" t="s">
        <v>152</v>
      </c>
      <c r="P558" t="s">
        <v>154</v>
      </c>
      <c r="Q558" t="s">
        <v>167</v>
      </c>
    </row>
    <row r="559" spans="1:17" x14ac:dyDescent="0.25">
      <c r="A559" t="s">
        <v>21</v>
      </c>
      <c r="B559" t="s">
        <v>24</v>
      </c>
      <c r="C559" t="s">
        <v>40</v>
      </c>
      <c r="D559" t="s">
        <v>55</v>
      </c>
      <c r="E559">
        <v>77026</v>
      </c>
      <c r="F559">
        <v>6314</v>
      </c>
      <c r="G559" t="s">
        <v>63</v>
      </c>
      <c r="I559" t="s">
        <v>70</v>
      </c>
      <c r="J559" t="s">
        <v>78</v>
      </c>
      <c r="K559" t="s">
        <v>109</v>
      </c>
      <c r="L559" t="s">
        <v>137</v>
      </c>
      <c r="M559">
        <v>18</v>
      </c>
      <c r="N559">
        <v>16</v>
      </c>
      <c r="O559" t="s">
        <v>151</v>
      </c>
      <c r="P559" t="s">
        <v>157</v>
      </c>
      <c r="Q559" t="s">
        <v>355</v>
      </c>
    </row>
    <row r="560" spans="1:17" x14ac:dyDescent="0.25">
      <c r="A560" t="s">
        <v>17</v>
      </c>
      <c r="B560" t="s">
        <v>34</v>
      </c>
      <c r="C560" t="s">
        <v>37</v>
      </c>
      <c r="D560" t="s">
        <v>59</v>
      </c>
      <c r="E560">
        <v>77831</v>
      </c>
      <c r="F560">
        <v>3535</v>
      </c>
      <c r="G560" t="s">
        <v>64</v>
      </c>
      <c r="J560" t="s">
        <v>81</v>
      </c>
      <c r="K560" t="s">
        <v>98</v>
      </c>
      <c r="L560" t="s">
        <v>123</v>
      </c>
      <c r="M560">
        <v>12</v>
      </c>
      <c r="N560">
        <v>9</v>
      </c>
      <c r="O560" t="s">
        <v>149</v>
      </c>
      <c r="P560" t="s">
        <v>156</v>
      </c>
      <c r="Q560" t="s">
        <v>359</v>
      </c>
    </row>
    <row r="561" spans="1:17" x14ac:dyDescent="0.25">
      <c r="A561" t="s">
        <v>20</v>
      </c>
      <c r="B561" t="s">
        <v>27</v>
      </c>
      <c r="C561" t="s">
        <v>42</v>
      </c>
      <c r="D561" t="s">
        <v>58</v>
      </c>
      <c r="E561">
        <v>92700</v>
      </c>
      <c r="F561">
        <v>12180</v>
      </c>
      <c r="G561" t="s">
        <v>67</v>
      </c>
      <c r="I561" t="s">
        <v>70</v>
      </c>
      <c r="J561" t="s">
        <v>75</v>
      </c>
      <c r="K561" t="s">
        <v>96</v>
      </c>
      <c r="L561" t="s">
        <v>121</v>
      </c>
      <c r="M561">
        <v>6</v>
      </c>
      <c r="N561">
        <v>6</v>
      </c>
      <c r="O561" t="s">
        <v>150</v>
      </c>
      <c r="P561" t="s">
        <v>157</v>
      </c>
      <c r="Q561" t="s">
        <v>366</v>
      </c>
    </row>
    <row r="562" spans="1:17" x14ac:dyDescent="0.25">
      <c r="A562" t="s">
        <v>19</v>
      </c>
      <c r="B562" t="s">
        <v>27</v>
      </c>
      <c r="C562" t="s">
        <v>48</v>
      </c>
      <c r="D562" t="s">
        <v>59</v>
      </c>
      <c r="E562">
        <v>91389</v>
      </c>
      <c r="F562">
        <v>815</v>
      </c>
      <c r="G562" t="s">
        <v>63</v>
      </c>
      <c r="I562" t="s">
        <v>70</v>
      </c>
      <c r="J562" t="s">
        <v>81</v>
      </c>
      <c r="K562" t="s">
        <v>101</v>
      </c>
      <c r="L562" t="s">
        <v>127</v>
      </c>
      <c r="M562">
        <v>5</v>
      </c>
      <c r="N562">
        <v>2</v>
      </c>
      <c r="O562" t="s">
        <v>152</v>
      </c>
      <c r="P562" t="s">
        <v>156</v>
      </c>
      <c r="Q562" t="s">
        <v>199</v>
      </c>
    </row>
    <row r="563" spans="1:17" x14ac:dyDescent="0.25">
      <c r="A563" t="s">
        <v>19</v>
      </c>
      <c r="B563" t="s">
        <v>22</v>
      </c>
      <c r="C563" t="s">
        <v>47</v>
      </c>
      <c r="D563" t="s">
        <v>58</v>
      </c>
      <c r="E563">
        <v>50283</v>
      </c>
      <c r="F563">
        <v>3761</v>
      </c>
      <c r="G563" t="s">
        <v>65</v>
      </c>
      <c r="I563" t="s">
        <v>70</v>
      </c>
      <c r="J563" t="s">
        <v>81</v>
      </c>
      <c r="K563" t="s">
        <v>101</v>
      </c>
      <c r="L563" t="s">
        <v>127</v>
      </c>
      <c r="M563">
        <v>9</v>
      </c>
      <c r="N563">
        <v>8</v>
      </c>
      <c r="O563" t="s">
        <v>153</v>
      </c>
      <c r="P563" t="s">
        <v>156</v>
      </c>
      <c r="Q563" t="s">
        <v>187</v>
      </c>
    </row>
    <row r="564" spans="1:17" x14ac:dyDescent="0.25">
      <c r="A564" t="s">
        <v>19</v>
      </c>
      <c r="B564" t="s">
        <v>22</v>
      </c>
      <c r="C564" t="s">
        <v>49</v>
      </c>
      <c r="E564">
        <v>83958</v>
      </c>
      <c r="F564">
        <v>2094</v>
      </c>
      <c r="G564" t="s">
        <v>64</v>
      </c>
      <c r="I564" t="s">
        <v>69</v>
      </c>
      <c r="J564" t="s">
        <v>79</v>
      </c>
      <c r="K564" t="s">
        <v>91</v>
      </c>
      <c r="L564" t="s">
        <v>118</v>
      </c>
      <c r="M564">
        <v>15</v>
      </c>
      <c r="N564">
        <v>13</v>
      </c>
      <c r="O564" t="s">
        <v>152</v>
      </c>
      <c r="P564" t="s">
        <v>154</v>
      </c>
      <c r="Q564" t="s">
        <v>271</v>
      </c>
    </row>
    <row r="565" spans="1:17" x14ac:dyDescent="0.25">
      <c r="A565" t="s">
        <v>19</v>
      </c>
      <c r="B565" t="s">
        <v>25</v>
      </c>
      <c r="C565" t="s">
        <v>42</v>
      </c>
      <c r="D565" t="s">
        <v>54</v>
      </c>
      <c r="E565">
        <v>126006</v>
      </c>
      <c r="F565">
        <v>677</v>
      </c>
      <c r="G565" t="s">
        <v>64</v>
      </c>
      <c r="I565" t="s">
        <v>70</v>
      </c>
      <c r="J565" t="s">
        <v>77</v>
      </c>
      <c r="K565" t="s">
        <v>97</v>
      </c>
      <c r="L565" t="s">
        <v>122</v>
      </c>
      <c r="M565">
        <v>10</v>
      </c>
      <c r="N565">
        <v>9</v>
      </c>
      <c r="O565" t="s">
        <v>148</v>
      </c>
      <c r="P565" t="s">
        <v>154</v>
      </c>
      <c r="Q565" t="s">
        <v>190</v>
      </c>
    </row>
    <row r="566" spans="1:17" x14ac:dyDescent="0.25">
      <c r="A566" t="s">
        <v>19</v>
      </c>
      <c r="B566" t="s">
        <v>27</v>
      </c>
      <c r="C566" t="s">
        <v>43</v>
      </c>
      <c r="E566">
        <v>7542</v>
      </c>
      <c r="F566">
        <v>82</v>
      </c>
      <c r="G566" t="s">
        <v>63</v>
      </c>
      <c r="I566" t="s">
        <v>71</v>
      </c>
      <c r="J566" t="s">
        <v>81</v>
      </c>
      <c r="K566" t="s">
        <v>94</v>
      </c>
      <c r="L566" t="s">
        <v>129</v>
      </c>
      <c r="M566">
        <v>4</v>
      </c>
      <c r="N566">
        <v>4</v>
      </c>
      <c r="O566" t="s">
        <v>148</v>
      </c>
      <c r="P566" t="s">
        <v>155</v>
      </c>
      <c r="Q566" t="s">
        <v>169</v>
      </c>
    </row>
    <row r="567" spans="1:17" x14ac:dyDescent="0.25">
      <c r="A567" t="s">
        <v>19</v>
      </c>
      <c r="B567" t="s">
        <v>27</v>
      </c>
      <c r="C567" t="s">
        <v>37</v>
      </c>
      <c r="D567" t="s">
        <v>62</v>
      </c>
      <c r="E567">
        <v>77631</v>
      </c>
      <c r="F567">
        <v>20246</v>
      </c>
      <c r="G567" t="s">
        <v>67</v>
      </c>
      <c r="I567" t="s">
        <v>70</v>
      </c>
      <c r="J567" t="s">
        <v>73</v>
      </c>
      <c r="K567" t="s">
        <v>102</v>
      </c>
      <c r="L567" t="s">
        <v>102</v>
      </c>
      <c r="M567">
        <v>20</v>
      </c>
      <c r="N567">
        <v>19</v>
      </c>
      <c r="O567" t="s">
        <v>150</v>
      </c>
      <c r="P567" t="s">
        <v>154</v>
      </c>
      <c r="Q567" t="s">
        <v>367</v>
      </c>
    </row>
    <row r="568" spans="1:17" x14ac:dyDescent="0.25">
      <c r="A568" t="s">
        <v>17</v>
      </c>
      <c r="B568" t="s">
        <v>22</v>
      </c>
      <c r="C568" t="s">
        <v>37</v>
      </c>
      <c r="D568" t="s">
        <v>54</v>
      </c>
      <c r="E568">
        <v>107770</v>
      </c>
      <c r="F568">
        <v>3690</v>
      </c>
      <c r="G568" t="s">
        <v>67</v>
      </c>
      <c r="I568" t="s">
        <v>71</v>
      </c>
      <c r="J568" t="s">
        <v>78</v>
      </c>
      <c r="K568" t="s">
        <v>109</v>
      </c>
      <c r="L568" t="s">
        <v>137</v>
      </c>
      <c r="M568">
        <v>25</v>
      </c>
      <c r="N568">
        <v>25</v>
      </c>
      <c r="O568" t="s">
        <v>149</v>
      </c>
      <c r="P568" t="s">
        <v>156</v>
      </c>
      <c r="Q568" t="s">
        <v>189</v>
      </c>
    </row>
    <row r="569" spans="1:17" x14ac:dyDescent="0.25">
      <c r="A569" t="s">
        <v>18</v>
      </c>
      <c r="B569" t="s">
        <v>24</v>
      </c>
      <c r="C569" t="s">
        <v>41</v>
      </c>
      <c r="D569" t="s">
        <v>57</v>
      </c>
      <c r="E569">
        <v>78027</v>
      </c>
      <c r="F569">
        <v>159</v>
      </c>
      <c r="G569" t="s">
        <v>65</v>
      </c>
      <c r="I569" t="s">
        <v>69</v>
      </c>
      <c r="J569" t="s">
        <v>76</v>
      </c>
      <c r="K569" t="s">
        <v>86</v>
      </c>
      <c r="L569" t="s">
        <v>115</v>
      </c>
      <c r="M569">
        <v>1</v>
      </c>
      <c r="N569">
        <v>0</v>
      </c>
      <c r="O569" t="s">
        <v>149</v>
      </c>
      <c r="P569" t="s">
        <v>154</v>
      </c>
      <c r="Q569" t="s">
        <v>178</v>
      </c>
    </row>
    <row r="570" spans="1:17" x14ac:dyDescent="0.25">
      <c r="A570" t="s">
        <v>17</v>
      </c>
      <c r="B570" t="s">
        <v>31</v>
      </c>
      <c r="C570" t="s">
        <v>45</v>
      </c>
      <c r="D570" t="s">
        <v>59</v>
      </c>
      <c r="E570">
        <v>61809</v>
      </c>
      <c r="F570">
        <v>6677</v>
      </c>
      <c r="G570" t="s">
        <v>64</v>
      </c>
      <c r="J570" t="s">
        <v>72</v>
      </c>
      <c r="K570" t="s">
        <v>95</v>
      </c>
      <c r="L570" t="s">
        <v>120</v>
      </c>
      <c r="M570">
        <v>15</v>
      </c>
      <c r="N570">
        <v>13</v>
      </c>
      <c r="O570" t="s">
        <v>151</v>
      </c>
      <c r="P570" t="s">
        <v>157</v>
      </c>
      <c r="Q570" t="s">
        <v>312</v>
      </c>
    </row>
    <row r="571" spans="1:17" x14ac:dyDescent="0.25">
      <c r="A571" t="s">
        <v>21</v>
      </c>
      <c r="B571" t="s">
        <v>24</v>
      </c>
      <c r="C571" t="s">
        <v>53</v>
      </c>
      <c r="D571" t="s">
        <v>59</v>
      </c>
      <c r="E571">
        <v>66798</v>
      </c>
      <c r="F571">
        <v>7180</v>
      </c>
      <c r="G571" t="s">
        <v>65</v>
      </c>
      <c r="J571" t="s">
        <v>77</v>
      </c>
      <c r="K571" t="s">
        <v>111</v>
      </c>
      <c r="L571" t="s">
        <v>146</v>
      </c>
      <c r="M571">
        <v>12</v>
      </c>
      <c r="N571">
        <v>9</v>
      </c>
      <c r="O571" t="s">
        <v>153</v>
      </c>
      <c r="P571" t="s">
        <v>157</v>
      </c>
      <c r="Q571" t="s">
        <v>171</v>
      </c>
    </row>
    <row r="572" spans="1:17" x14ac:dyDescent="0.25">
      <c r="A572" t="s">
        <v>19</v>
      </c>
      <c r="B572" t="s">
        <v>34</v>
      </c>
      <c r="C572" t="s">
        <v>53</v>
      </c>
      <c r="D572" t="s">
        <v>54</v>
      </c>
      <c r="E572">
        <v>56180</v>
      </c>
      <c r="F572">
        <v>7647</v>
      </c>
      <c r="G572" t="s">
        <v>63</v>
      </c>
      <c r="J572" t="s">
        <v>74</v>
      </c>
      <c r="K572" t="s">
        <v>84</v>
      </c>
      <c r="L572" t="s">
        <v>74</v>
      </c>
      <c r="M572">
        <v>9</v>
      </c>
      <c r="N572">
        <v>9</v>
      </c>
      <c r="O572" t="s">
        <v>153</v>
      </c>
      <c r="P572" t="s">
        <v>155</v>
      </c>
      <c r="Q572" t="s">
        <v>362</v>
      </c>
    </row>
    <row r="573" spans="1:17" x14ac:dyDescent="0.25">
      <c r="A573" t="s">
        <v>21</v>
      </c>
      <c r="B573" t="s">
        <v>28</v>
      </c>
      <c r="C573" t="s">
        <v>53</v>
      </c>
      <c r="D573" t="s">
        <v>61</v>
      </c>
      <c r="E573">
        <v>58596</v>
      </c>
      <c r="F573">
        <v>10853</v>
      </c>
      <c r="G573" t="s">
        <v>68</v>
      </c>
      <c r="J573" t="s">
        <v>79</v>
      </c>
      <c r="K573" t="s">
        <v>91</v>
      </c>
      <c r="L573" t="s">
        <v>118</v>
      </c>
      <c r="M573">
        <v>8</v>
      </c>
      <c r="N573">
        <v>8</v>
      </c>
      <c r="O573" t="s">
        <v>148</v>
      </c>
      <c r="P573" t="s">
        <v>156</v>
      </c>
      <c r="Q573" t="s">
        <v>175</v>
      </c>
    </row>
    <row r="574" spans="1:17" x14ac:dyDescent="0.25">
      <c r="A574" t="s">
        <v>21</v>
      </c>
      <c r="B574" t="s">
        <v>26</v>
      </c>
      <c r="C574" t="s">
        <v>39</v>
      </c>
      <c r="D574" t="s">
        <v>54</v>
      </c>
      <c r="E574">
        <v>96559</v>
      </c>
      <c r="F574">
        <v>4794</v>
      </c>
      <c r="G574" t="s">
        <v>64</v>
      </c>
      <c r="J574" t="s">
        <v>75</v>
      </c>
      <c r="K574" t="s">
        <v>85</v>
      </c>
      <c r="L574" t="s">
        <v>114</v>
      </c>
      <c r="M574">
        <v>15</v>
      </c>
      <c r="N574">
        <v>12</v>
      </c>
      <c r="O574" t="s">
        <v>149</v>
      </c>
      <c r="P574" t="s">
        <v>155</v>
      </c>
      <c r="Q574" t="s">
        <v>307</v>
      </c>
    </row>
    <row r="575" spans="1:17" x14ac:dyDescent="0.25">
      <c r="A575" t="s">
        <v>17</v>
      </c>
      <c r="B575" t="s">
        <v>25</v>
      </c>
      <c r="C575" t="s">
        <v>45</v>
      </c>
      <c r="D575" t="s">
        <v>55</v>
      </c>
      <c r="E575">
        <v>13459</v>
      </c>
      <c r="F575">
        <v>9827</v>
      </c>
      <c r="G575" t="s">
        <v>63</v>
      </c>
      <c r="I575" t="s">
        <v>69</v>
      </c>
      <c r="J575" t="s">
        <v>81</v>
      </c>
      <c r="K575" t="s">
        <v>94</v>
      </c>
      <c r="L575" t="s">
        <v>129</v>
      </c>
      <c r="M575">
        <v>20</v>
      </c>
      <c r="N575">
        <v>20</v>
      </c>
      <c r="O575" t="s">
        <v>150</v>
      </c>
      <c r="P575" t="s">
        <v>157</v>
      </c>
      <c r="Q575" t="s">
        <v>162</v>
      </c>
    </row>
    <row r="576" spans="1:17" x14ac:dyDescent="0.25">
      <c r="A576" t="s">
        <v>19</v>
      </c>
      <c r="B576" t="s">
        <v>35</v>
      </c>
      <c r="C576" t="s">
        <v>40</v>
      </c>
      <c r="D576" t="s">
        <v>59</v>
      </c>
      <c r="E576">
        <v>63335</v>
      </c>
      <c r="F576">
        <v>1976</v>
      </c>
      <c r="G576" t="s">
        <v>65</v>
      </c>
      <c r="I576" t="s">
        <v>70</v>
      </c>
      <c r="J576" t="s">
        <v>73</v>
      </c>
      <c r="K576" t="s">
        <v>102</v>
      </c>
      <c r="L576" t="s">
        <v>102</v>
      </c>
      <c r="M576">
        <v>18</v>
      </c>
      <c r="N576">
        <v>17</v>
      </c>
      <c r="O576" t="s">
        <v>152</v>
      </c>
      <c r="P576" t="s">
        <v>156</v>
      </c>
      <c r="Q576" t="s">
        <v>368</v>
      </c>
    </row>
    <row r="577" spans="1:17" x14ac:dyDescent="0.25">
      <c r="A577" t="s">
        <v>19</v>
      </c>
      <c r="B577" t="s">
        <v>22</v>
      </c>
      <c r="C577" t="s">
        <v>44</v>
      </c>
      <c r="D577" t="s">
        <v>55</v>
      </c>
      <c r="E577">
        <v>31587</v>
      </c>
      <c r="F577">
        <v>8607</v>
      </c>
      <c r="G577" t="s">
        <v>63</v>
      </c>
      <c r="J577" t="s">
        <v>78</v>
      </c>
      <c r="K577" t="s">
        <v>109</v>
      </c>
      <c r="L577" t="s">
        <v>137</v>
      </c>
      <c r="M577">
        <v>5</v>
      </c>
      <c r="N577">
        <v>5</v>
      </c>
      <c r="O577" t="s">
        <v>153</v>
      </c>
      <c r="P577" t="s">
        <v>155</v>
      </c>
      <c r="Q577" t="s">
        <v>180</v>
      </c>
    </row>
    <row r="578" spans="1:17" x14ac:dyDescent="0.25">
      <c r="A578" t="s">
        <v>17</v>
      </c>
      <c r="B578" t="s">
        <v>35</v>
      </c>
      <c r="C578" t="s">
        <v>48</v>
      </c>
      <c r="D578" t="s">
        <v>57</v>
      </c>
      <c r="E578">
        <v>50965</v>
      </c>
      <c r="F578">
        <v>1114</v>
      </c>
      <c r="G578" t="s">
        <v>67</v>
      </c>
      <c r="J578" t="s">
        <v>79</v>
      </c>
      <c r="K578" t="s">
        <v>91</v>
      </c>
      <c r="L578" t="s">
        <v>118</v>
      </c>
      <c r="M578">
        <v>12</v>
      </c>
      <c r="N578">
        <v>10</v>
      </c>
      <c r="O578" t="s">
        <v>153</v>
      </c>
      <c r="P578" t="s">
        <v>155</v>
      </c>
      <c r="Q578" t="s">
        <v>229</v>
      </c>
    </row>
    <row r="579" spans="1:17" x14ac:dyDescent="0.25">
      <c r="A579" t="s">
        <v>19</v>
      </c>
      <c r="B579" t="s">
        <v>28</v>
      </c>
      <c r="C579" t="s">
        <v>38</v>
      </c>
      <c r="D579" t="s">
        <v>60</v>
      </c>
      <c r="E579">
        <v>34268</v>
      </c>
      <c r="F579">
        <v>580</v>
      </c>
      <c r="G579" t="s">
        <v>68</v>
      </c>
      <c r="J579" t="s">
        <v>80</v>
      </c>
      <c r="K579" t="s">
        <v>106</v>
      </c>
      <c r="L579" t="s">
        <v>106</v>
      </c>
      <c r="M579">
        <v>18</v>
      </c>
      <c r="N579">
        <v>17</v>
      </c>
      <c r="O579" t="s">
        <v>153</v>
      </c>
      <c r="P579" t="s">
        <v>154</v>
      </c>
      <c r="Q579" t="s">
        <v>369</v>
      </c>
    </row>
    <row r="580" spans="1:17" x14ac:dyDescent="0.25">
      <c r="A580" t="s">
        <v>19</v>
      </c>
      <c r="B580" t="s">
        <v>24</v>
      </c>
      <c r="C580" t="s">
        <v>52</v>
      </c>
      <c r="D580" t="s">
        <v>58</v>
      </c>
      <c r="E580">
        <v>764351</v>
      </c>
      <c r="F580">
        <v>141272</v>
      </c>
      <c r="G580" t="s">
        <v>66</v>
      </c>
      <c r="I580" t="s">
        <v>69</v>
      </c>
      <c r="J580" t="s">
        <v>75</v>
      </c>
      <c r="K580" t="s">
        <v>85</v>
      </c>
      <c r="L580" t="s">
        <v>114</v>
      </c>
      <c r="M580">
        <v>9</v>
      </c>
      <c r="N580">
        <v>9</v>
      </c>
      <c r="O580" t="s">
        <v>149</v>
      </c>
      <c r="P580" t="s">
        <v>155</v>
      </c>
      <c r="Q580" t="s">
        <v>188</v>
      </c>
    </row>
    <row r="581" spans="1:17" x14ac:dyDescent="0.25">
      <c r="A581" t="s">
        <v>17</v>
      </c>
      <c r="B581" t="s">
        <v>29</v>
      </c>
      <c r="C581" t="s">
        <v>37</v>
      </c>
      <c r="D581" t="s">
        <v>58</v>
      </c>
      <c r="E581">
        <v>1027906</v>
      </c>
      <c r="F581">
        <v>0</v>
      </c>
      <c r="G581" t="s">
        <v>66</v>
      </c>
      <c r="J581" t="s">
        <v>77</v>
      </c>
      <c r="K581" t="s">
        <v>111</v>
      </c>
      <c r="L581" t="s">
        <v>146</v>
      </c>
      <c r="M581">
        <v>12</v>
      </c>
      <c r="N581">
        <v>11</v>
      </c>
      <c r="O581" t="s">
        <v>151</v>
      </c>
      <c r="P581" t="s">
        <v>155</v>
      </c>
      <c r="Q581" t="s">
        <v>170</v>
      </c>
    </row>
    <row r="582" spans="1:17" x14ac:dyDescent="0.25">
      <c r="A582" t="s">
        <v>20</v>
      </c>
      <c r="B582" t="s">
        <v>33</v>
      </c>
      <c r="C582" t="s">
        <v>39</v>
      </c>
      <c r="D582" t="s">
        <v>56</v>
      </c>
      <c r="E582">
        <v>79372</v>
      </c>
      <c r="F582">
        <v>6487</v>
      </c>
      <c r="G582" t="s">
        <v>65</v>
      </c>
      <c r="J582" t="s">
        <v>75</v>
      </c>
      <c r="K582" t="s">
        <v>108</v>
      </c>
      <c r="L582" t="s">
        <v>135</v>
      </c>
      <c r="M582">
        <v>6</v>
      </c>
      <c r="N582">
        <v>6</v>
      </c>
      <c r="O582" t="s">
        <v>151</v>
      </c>
      <c r="P582" t="s">
        <v>157</v>
      </c>
      <c r="Q582" t="s">
        <v>193</v>
      </c>
    </row>
    <row r="583" spans="1:17" x14ac:dyDescent="0.25">
      <c r="A583" t="s">
        <v>17</v>
      </c>
      <c r="B583" t="s">
        <v>22</v>
      </c>
      <c r="C583" t="s">
        <v>47</v>
      </c>
      <c r="D583" t="s">
        <v>62</v>
      </c>
      <c r="E583">
        <v>77310</v>
      </c>
      <c r="F583">
        <v>5662</v>
      </c>
      <c r="G583" t="s">
        <v>63</v>
      </c>
      <c r="I583" t="s">
        <v>69</v>
      </c>
      <c r="J583" t="s">
        <v>72</v>
      </c>
      <c r="K583" t="s">
        <v>82</v>
      </c>
      <c r="L583" t="s">
        <v>112</v>
      </c>
      <c r="M583">
        <v>8</v>
      </c>
      <c r="N583">
        <v>6</v>
      </c>
      <c r="O583" t="s">
        <v>150</v>
      </c>
      <c r="P583" t="s">
        <v>157</v>
      </c>
      <c r="Q583" t="s">
        <v>249</v>
      </c>
    </row>
    <row r="584" spans="1:17" x14ac:dyDescent="0.25">
      <c r="A584" t="s">
        <v>21</v>
      </c>
      <c r="B584" t="s">
        <v>29</v>
      </c>
      <c r="C584" t="s">
        <v>39</v>
      </c>
      <c r="D584" t="s">
        <v>56</v>
      </c>
      <c r="E584">
        <v>51235</v>
      </c>
      <c r="F584">
        <v>10116</v>
      </c>
      <c r="G584" t="s">
        <v>64</v>
      </c>
      <c r="I584" t="s">
        <v>69</v>
      </c>
      <c r="J584" t="s">
        <v>80</v>
      </c>
      <c r="K584" t="s">
        <v>93</v>
      </c>
      <c r="L584" t="s">
        <v>93</v>
      </c>
      <c r="M584">
        <v>20</v>
      </c>
      <c r="N584">
        <v>20</v>
      </c>
      <c r="O584" t="s">
        <v>153</v>
      </c>
      <c r="P584" t="s">
        <v>156</v>
      </c>
      <c r="Q584" t="s">
        <v>347</v>
      </c>
    </row>
    <row r="585" spans="1:17" x14ac:dyDescent="0.25">
      <c r="A585" t="s">
        <v>21</v>
      </c>
      <c r="D585" t="s">
        <v>57</v>
      </c>
      <c r="F585">
        <v>9002</v>
      </c>
      <c r="G585" t="s">
        <v>68</v>
      </c>
      <c r="I585" t="s">
        <v>69</v>
      </c>
      <c r="J585" t="s">
        <v>73</v>
      </c>
      <c r="K585" t="s">
        <v>102</v>
      </c>
      <c r="N585">
        <v>15</v>
      </c>
      <c r="O585" t="s">
        <v>149</v>
      </c>
      <c r="Q585" t="s">
        <v>169</v>
      </c>
    </row>
    <row r="586" spans="1:17" x14ac:dyDescent="0.25">
      <c r="A586" t="s">
        <v>19</v>
      </c>
      <c r="B586" t="s">
        <v>31</v>
      </c>
      <c r="C586" t="s">
        <v>41</v>
      </c>
      <c r="D586" t="s">
        <v>55</v>
      </c>
      <c r="E586">
        <v>73909</v>
      </c>
      <c r="F586">
        <v>0</v>
      </c>
      <c r="G586" t="s">
        <v>68</v>
      </c>
      <c r="I586" t="s">
        <v>70</v>
      </c>
      <c r="J586" t="s">
        <v>81</v>
      </c>
      <c r="K586" t="s">
        <v>98</v>
      </c>
      <c r="L586" t="s">
        <v>123</v>
      </c>
      <c r="M586">
        <v>4</v>
      </c>
      <c r="N586">
        <v>1</v>
      </c>
      <c r="O586" t="s">
        <v>153</v>
      </c>
      <c r="P586" t="s">
        <v>155</v>
      </c>
      <c r="Q586" t="s">
        <v>370</v>
      </c>
    </row>
    <row r="587" spans="1:17" x14ac:dyDescent="0.25">
      <c r="A587" t="s">
        <v>19</v>
      </c>
      <c r="B587" t="s">
        <v>25</v>
      </c>
      <c r="C587" t="s">
        <v>41</v>
      </c>
      <c r="D587" t="s">
        <v>55</v>
      </c>
      <c r="E587">
        <v>82605</v>
      </c>
      <c r="F587">
        <v>2527</v>
      </c>
      <c r="G587" t="s">
        <v>68</v>
      </c>
      <c r="I587" t="s">
        <v>69</v>
      </c>
      <c r="J587" t="s">
        <v>72</v>
      </c>
      <c r="K587" t="s">
        <v>95</v>
      </c>
      <c r="L587" t="s">
        <v>120</v>
      </c>
      <c r="M587">
        <v>4</v>
      </c>
      <c r="N587">
        <v>4</v>
      </c>
      <c r="O587" t="s">
        <v>149</v>
      </c>
      <c r="P587" t="s">
        <v>154</v>
      </c>
      <c r="Q587" t="s">
        <v>256</v>
      </c>
    </row>
    <row r="588" spans="1:17" x14ac:dyDescent="0.25">
      <c r="A588" t="s">
        <v>21</v>
      </c>
      <c r="B588" t="s">
        <v>29</v>
      </c>
      <c r="C588" t="s">
        <v>43</v>
      </c>
      <c r="D588" t="s">
        <v>57</v>
      </c>
      <c r="E588">
        <v>72883</v>
      </c>
      <c r="F588">
        <v>12598</v>
      </c>
      <c r="G588" t="s">
        <v>63</v>
      </c>
      <c r="I588" t="s">
        <v>56</v>
      </c>
      <c r="J588" t="s">
        <v>77</v>
      </c>
      <c r="K588" t="s">
        <v>110</v>
      </c>
      <c r="L588" t="s">
        <v>145</v>
      </c>
      <c r="M588">
        <v>15</v>
      </c>
      <c r="N588">
        <v>15</v>
      </c>
      <c r="O588" t="s">
        <v>153</v>
      </c>
      <c r="P588" t="s">
        <v>155</v>
      </c>
      <c r="Q588" t="s">
        <v>202</v>
      </c>
    </row>
    <row r="589" spans="1:17" x14ac:dyDescent="0.25">
      <c r="A589" t="s">
        <v>19</v>
      </c>
      <c r="B589" t="s">
        <v>35</v>
      </c>
      <c r="C589" t="s">
        <v>43</v>
      </c>
      <c r="D589" t="s">
        <v>61</v>
      </c>
      <c r="E589">
        <v>1604081</v>
      </c>
      <c r="F589">
        <v>244359</v>
      </c>
      <c r="G589" t="s">
        <v>66</v>
      </c>
      <c r="J589" t="s">
        <v>78</v>
      </c>
      <c r="K589" t="s">
        <v>105</v>
      </c>
      <c r="L589" t="s">
        <v>133</v>
      </c>
      <c r="M589">
        <v>25</v>
      </c>
      <c r="N589">
        <v>24</v>
      </c>
      <c r="O589" t="s">
        <v>151</v>
      </c>
      <c r="P589" t="s">
        <v>157</v>
      </c>
      <c r="Q589" t="s">
        <v>161</v>
      </c>
    </row>
    <row r="590" spans="1:17" x14ac:dyDescent="0.25">
      <c r="A590" t="s">
        <v>19</v>
      </c>
      <c r="B590" t="s">
        <v>22</v>
      </c>
      <c r="C590" t="s">
        <v>49</v>
      </c>
      <c r="D590" t="s">
        <v>62</v>
      </c>
      <c r="E590">
        <v>74722</v>
      </c>
      <c r="F590">
        <v>8908</v>
      </c>
      <c r="G590" t="s">
        <v>68</v>
      </c>
      <c r="I590" t="s">
        <v>56</v>
      </c>
      <c r="J590" t="s">
        <v>80</v>
      </c>
      <c r="K590" t="s">
        <v>106</v>
      </c>
      <c r="L590" t="s">
        <v>106</v>
      </c>
      <c r="M590">
        <v>7</v>
      </c>
      <c r="N590">
        <v>5</v>
      </c>
      <c r="O590" t="s">
        <v>148</v>
      </c>
      <c r="P590" t="s">
        <v>156</v>
      </c>
      <c r="Q590" t="s">
        <v>249</v>
      </c>
    </row>
    <row r="591" spans="1:17" x14ac:dyDescent="0.25">
      <c r="A591" t="s">
        <v>20</v>
      </c>
      <c r="B591" t="s">
        <v>31</v>
      </c>
      <c r="C591" t="s">
        <v>49</v>
      </c>
      <c r="D591" t="s">
        <v>61</v>
      </c>
      <c r="E591">
        <v>80201</v>
      </c>
      <c r="F591">
        <v>20438</v>
      </c>
      <c r="G591" t="s">
        <v>64</v>
      </c>
      <c r="J591" t="s">
        <v>73</v>
      </c>
      <c r="K591" t="s">
        <v>102</v>
      </c>
      <c r="L591" t="s">
        <v>102</v>
      </c>
      <c r="M591">
        <v>0</v>
      </c>
      <c r="N591">
        <v>0</v>
      </c>
      <c r="O591" t="s">
        <v>153</v>
      </c>
      <c r="P591" t="s">
        <v>154</v>
      </c>
      <c r="Q591" t="s">
        <v>207</v>
      </c>
    </row>
    <row r="592" spans="1:17" x14ac:dyDescent="0.25">
      <c r="A592" t="s">
        <v>19</v>
      </c>
      <c r="B592" t="s">
        <v>25</v>
      </c>
      <c r="C592" t="s">
        <v>52</v>
      </c>
      <c r="D592" t="s">
        <v>62</v>
      </c>
      <c r="E592">
        <v>47196</v>
      </c>
      <c r="F592">
        <v>434</v>
      </c>
      <c r="G592" t="s">
        <v>67</v>
      </c>
      <c r="I592" t="s">
        <v>69</v>
      </c>
      <c r="J592" t="s">
        <v>77</v>
      </c>
      <c r="K592" t="s">
        <v>89</v>
      </c>
      <c r="L592" t="s">
        <v>124</v>
      </c>
      <c r="M592">
        <v>6</v>
      </c>
      <c r="N592">
        <v>6</v>
      </c>
      <c r="O592" t="s">
        <v>153</v>
      </c>
      <c r="P592" t="s">
        <v>156</v>
      </c>
      <c r="Q592" t="s">
        <v>167</v>
      </c>
    </row>
    <row r="593" spans="1:17" x14ac:dyDescent="0.25">
      <c r="A593" t="s">
        <v>20</v>
      </c>
      <c r="B593" t="s">
        <v>33</v>
      </c>
      <c r="C593" t="s">
        <v>44</v>
      </c>
      <c r="D593" t="s">
        <v>62</v>
      </c>
      <c r="E593">
        <v>21775</v>
      </c>
      <c r="F593">
        <v>0</v>
      </c>
      <c r="G593" t="s">
        <v>63</v>
      </c>
      <c r="J593" t="s">
        <v>76</v>
      </c>
      <c r="K593" t="s">
        <v>100</v>
      </c>
      <c r="L593" t="s">
        <v>126</v>
      </c>
      <c r="M593">
        <v>3</v>
      </c>
      <c r="N593">
        <v>3</v>
      </c>
      <c r="O593" t="s">
        <v>148</v>
      </c>
      <c r="P593" t="s">
        <v>154</v>
      </c>
      <c r="Q593" t="s">
        <v>185</v>
      </c>
    </row>
    <row r="594" spans="1:17" x14ac:dyDescent="0.25">
      <c r="A594" t="s">
        <v>19</v>
      </c>
      <c r="B594" t="s">
        <v>32</v>
      </c>
      <c r="C594" t="s">
        <v>53</v>
      </c>
      <c r="D594" t="s">
        <v>62</v>
      </c>
      <c r="E594">
        <v>78997</v>
      </c>
      <c r="F594">
        <v>0</v>
      </c>
      <c r="G594" t="s">
        <v>67</v>
      </c>
      <c r="I594" t="s">
        <v>70</v>
      </c>
      <c r="J594" t="s">
        <v>72</v>
      </c>
      <c r="K594" t="s">
        <v>82</v>
      </c>
      <c r="L594" t="s">
        <v>112</v>
      </c>
      <c r="M594">
        <v>3</v>
      </c>
      <c r="N594">
        <v>2</v>
      </c>
      <c r="O594" t="s">
        <v>152</v>
      </c>
      <c r="P594" t="s">
        <v>156</v>
      </c>
      <c r="Q594" t="s">
        <v>195</v>
      </c>
    </row>
    <row r="595" spans="1:17" x14ac:dyDescent="0.25">
      <c r="A595" t="s">
        <v>21</v>
      </c>
      <c r="B595" t="s">
        <v>33</v>
      </c>
      <c r="C595" t="s">
        <v>52</v>
      </c>
      <c r="E595">
        <v>1295126</v>
      </c>
      <c r="F595">
        <v>136419</v>
      </c>
      <c r="G595" t="s">
        <v>66</v>
      </c>
      <c r="I595" t="s">
        <v>70</v>
      </c>
      <c r="J595" t="s">
        <v>74</v>
      </c>
      <c r="K595" t="s">
        <v>84</v>
      </c>
      <c r="L595" t="s">
        <v>74</v>
      </c>
      <c r="M595">
        <v>15</v>
      </c>
      <c r="N595">
        <v>12</v>
      </c>
      <c r="O595" t="s">
        <v>149</v>
      </c>
      <c r="P595" t="s">
        <v>156</v>
      </c>
      <c r="Q595" t="s">
        <v>371</v>
      </c>
    </row>
    <row r="596" spans="1:17" x14ac:dyDescent="0.25">
      <c r="A596" t="s">
        <v>21</v>
      </c>
      <c r="B596" t="s">
        <v>23</v>
      </c>
      <c r="C596" t="s">
        <v>38</v>
      </c>
      <c r="D596" t="s">
        <v>57</v>
      </c>
      <c r="E596">
        <v>68426</v>
      </c>
      <c r="F596">
        <v>0</v>
      </c>
      <c r="G596" t="s">
        <v>68</v>
      </c>
      <c r="I596" t="s">
        <v>70</v>
      </c>
      <c r="J596" t="s">
        <v>74</v>
      </c>
      <c r="K596" t="s">
        <v>84</v>
      </c>
      <c r="L596" t="s">
        <v>74</v>
      </c>
      <c r="M596">
        <v>18</v>
      </c>
      <c r="N596">
        <v>15</v>
      </c>
      <c r="O596" t="s">
        <v>152</v>
      </c>
      <c r="P596" t="s">
        <v>154</v>
      </c>
      <c r="Q596" t="s">
        <v>210</v>
      </c>
    </row>
    <row r="597" spans="1:17" x14ac:dyDescent="0.25">
      <c r="A597" t="s">
        <v>17</v>
      </c>
      <c r="B597" t="s">
        <v>28</v>
      </c>
      <c r="C597" t="s">
        <v>40</v>
      </c>
      <c r="D597" t="s">
        <v>59</v>
      </c>
      <c r="E597">
        <v>87909</v>
      </c>
      <c r="F597">
        <v>3578</v>
      </c>
      <c r="G597" t="s">
        <v>64</v>
      </c>
      <c r="I597" t="s">
        <v>69</v>
      </c>
      <c r="J597" t="s">
        <v>75</v>
      </c>
      <c r="K597" t="s">
        <v>108</v>
      </c>
      <c r="L597" t="s">
        <v>135</v>
      </c>
      <c r="M597">
        <v>8</v>
      </c>
      <c r="N597">
        <v>8</v>
      </c>
      <c r="O597" t="s">
        <v>148</v>
      </c>
      <c r="P597" t="s">
        <v>156</v>
      </c>
      <c r="Q597" t="s">
        <v>212</v>
      </c>
    </row>
    <row r="598" spans="1:17" x14ac:dyDescent="0.25">
      <c r="A598" t="s">
        <v>19</v>
      </c>
      <c r="B598" t="s">
        <v>30</v>
      </c>
      <c r="C598" t="s">
        <v>43</v>
      </c>
      <c r="D598" t="s">
        <v>62</v>
      </c>
      <c r="E598">
        <v>27630</v>
      </c>
      <c r="F598">
        <v>1289</v>
      </c>
      <c r="G598" t="s">
        <v>63</v>
      </c>
      <c r="I598" t="s">
        <v>56</v>
      </c>
      <c r="J598" t="s">
        <v>80</v>
      </c>
      <c r="K598" t="s">
        <v>93</v>
      </c>
      <c r="L598" t="s">
        <v>93</v>
      </c>
      <c r="M598">
        <v>2</v>
      </c>
      <c r="N598">
        <v>2</v>
      </c>
      <c r="O598" t="s">
        <v>152</v>
      </c>
      <c r="P598" t="s">
        <v>155</v>
      </c>
      <c r="Q598" t="s">
        <v>372</v>
      </c>
    </row>
    <row r="599" spans="1:17" x14ac:dyDescent="0.25">
      <c r="A599" t="s">
        <v>17</v>
      </c>
      <c r="B599" t="s">
        <v>25</v>
      </c>
      <c r="C599" t="s">
        <v>52</v>
      </c>
      <c r="D599" t="s">
        <v>56</v>
      </c>
      <c r="E599">
        <v>132387</v>
      </c>
      <c r="F599">
        <v>5253</v>
      </c>
      <c r="G599" t="s">
        <v>64</v>
      </c>
      <c r="I599" t="s">
        <v>70</v>
      </c>
      <c r="J599" t="s">
        <v>76</v>
      </c>
      <c r="K599" t="s">
        <v>86</v>
      </c>
      <c r="L599" t="s">
        <v>115</v>
      </c>
      <c r="M599">
        <v>25</v>
      </c>
      <c r="N599">
        <v>25</v>
      </c>
      <c r="O599" t="s">
        <v>152</v>
      </c>
      <c r="P599" t="s">
        <v>154</v>
      </c>
      <c r="Q599" t="s">
        <v>373</v>
      </c>
    </row>
    <row r="600" spans="1:17" x14ac:dyDescent="0.25">
      <c r="A600" t="s">
        <v>21</v>
      </c>
      <c r="B600" t="s">
        <v>34</v>
      </c>
      <c r="C600" t="s">
        <v>46</v>
      </c>
      <c r="D600" t="s">
        <v>60</v>
      </c>
      <c r="E600">
        <v>98885</v>
      </c>
      <c r="F600">
        <v>6813</v>
      </c>
      <c r="G600" t="s">
        <v>67</v>
      </c>
      <c r="I600" t="s">
        <v>56</v>
      </c>
      <c r="J600" t="s">
        <v>75</v>
      </c>
      <c r="K600" t="s">
        <v>108</v>
      </c>
      <c r="L600" t="s">
        <v>135</v>
      </c>
      <c r="M600">
        <v>18</v>
      </c>
      <c r="N600">
        <v>18</v>
      </c>
      <c r="O600" t="s">
        <v>149</v>
      </c>
      <c r="P600" t="s">
        <v>155</v>
      </c>
      <c r="Q600" t="s">
        <v>283</v>
      </c>
    </row>
    <row r="601" spans="1:17" x14ac:dyDescent="0.25">
      <c r="A601" t="s">
        <v>20</v>
      </c>
      <c r="B601" t="s">
        <v>34</v>
      </c>
      <c r="C601" t="s">
        <v>40</v>
      </c>
      <c r="D601" t="s">
        <v>56</v>
      </c>
      <c r="E601">
        <v>148135</v>
      </c>
      <c r="F601">
        <v>15685</v>
      </c>
      <c r="G601" t="s">
        <v>67</v>
      </c>
      <c r="I601" t="s">
        <v>69</v>
      </c>
      <c r="J601" t="s">
        <v>76</v>
      </c>
      <c r="K601" t="s">
        <v>86</v>
      </c>
      <c r="L601" t="s">
        <v>115</v>
      </c>
      <c r="M601">
        <v>5</v>
      </c>
      <c r="N601">
        <v>5</v>
      </c>
      <c r="O601" t="s">
        <v>151</v>
      </c>
      <c r="P601" t="s">
        <v>154</v>
      </c>
      <c r="Q601" t="s">
        <v>374</v>
      </c>
    </row>
    <row r="602" spans="1:17" x14ac:dyDescent="0.25">
      <c r="A602" t="s">
        <v>20</v>
      </c>
      <c r="B602" t="s">
        <v>25</v>
      </c>
      <c r="C602" t="s">
        <v>40</v>
      </c>
      <c r="D602" t="s">
        <v>58</v>
      </c>
      <c r="E602">
        <v>65728</v>
      </c>
      <c r="F602">
        <v>858</v>
      </c>
      <c r="G602" t="s">
        <v>63</v>
      </c>
      <c r="J602" t="s">
        <v>77</v>
      </c>
      <c r="K602" t="s">
        <v>87</v>
      </c>
      <c r="L602" t="s">
        <v>143</v>
      </c>
      <c r="M602">
        <v>7</v>
      </c>
      <c r="N602">
        <v>6</v>
      </c>
      <c r="O602" t="s">
        <v>151</v>
      </c>
      <c r="P602" t="s">
        <v>157</v>
      </c>
      <c r="Q602" t="s">
        <v>275</v>
      </c>
    </row>
    <row r="603" spans="1:17" x14ac:dyDescent="0.25">
      <c r="A603" t="s">
        <v>20</v>
      </c>
      <c r="B603" t="s">
        <v>28</v>
      </c>
      <c r="C603" t="s">
        <v>52</v>
      </c>
      <c r="D603" t="s">
        <v>62</v>
      </c>
      <c r="E603">
        <v>73463</v>
      </c>
      <c r="F603">
        <v>0</v>
      </c>
      <c r="G603" t="s">
        <v>64</v>
      </c>
      <c r="I603" t="s">
        <v>56</v>
      </c>
      <c r="J603" t="s">
        <v>78</v>
      </c>
      <c r="K603" t="s">
        <v>105</v>
      </c>
      <c r="L603" t="s">
        <v>142</v>
      </c>
      <c r="M603">
        <v>2</v>
      </c>
      <c r="N603">
        <v>2</v>
      </c>
      <c r="O603" t="s">
        <v>151</v>
      </c>
      <c r="P603" t="s">
        <v>155</v>
      </c>
      <c r="Q603" t="s">
        <v>375</v>
      </c>
    </row>
    <row r="604" spans="1:17" x14ac:dyDescent="0.25">
      <c r="A604" t="s">
        <v>17</v>
      </c>
      <c r="B604" t="s">
        <v>35</v>
      </c>
      <c r="C604" t="s">
        <v>47</v>
      </c>
      <c r="D604" t="s">
        <v>54</v>
      </c>
      <c r="E604">
        <v>15354</v>
      </c>
      <c r="F604">
        <v>264</v>
      </c>
      <c r="G604" t="s">
        <v>68</v>
      </c>
      <c r="I604" t="s">
        <v>56</v>
      </c>
      <c r="J604" t="s">
        <v>75</v>
      </c>
      <c r="K604" t="s">
        <v>96</v>
      </c>
      <c r="L604" t="s">
        <v>121</v>
      </c>
      <c r="M604">
        <v>15</v>
      </c>
      <c r="N604">
        <v>14</v>
      </c>
      <c r="O604" t="s">
        <v>150</v>
      </c>
      <c r="P604" t="s">
        <v>154</v>
      </c>
      <c r="Q604" t="s">
        <v>175</v>
      </c>
    </row>
    <row r="605" spans="1:17" x14ac:dyDescent="0.25">
      <c r="A605" t="s">
        <v>21</v>
      </c>
      <c r="B605" t="s">
        <v>35</v>
      </c>
      <c r="C605" t="s">
        <v>48</v>
      </c>
      <c r="D605" t="s">
        <v>55</v>
      </c>
      <c r="E605">
        <v>30154</v>
      </c>
      <c r="F605">
        <v>685</v>
      </c>
      <c r="G605" t="s">
        <v>63</v>
      </c>
      <c r="I605" t="s">
        <v>70</v>
      </c>
      <c r="J605" t="s">
        <v>81</v>
      </c>
      <c r="K605" t="s">
        <v>98</v>
      </c>
      <c r="L605" t="s">
        <v>123</v>
      </c>
      <c r="M605">
        <v>10</v>
      </c>
      <c r="N605">
        <v>9</v>
      </c>
      <c r="O605" t="s">
        <v>148</v>
      </c>
      <c r="P605" t="s">
        <v>154</v>
      </c>
      <c r="Q605" t="s">
        <v>169</v>
      </c>
    </row>
    <row r="606" spans="1:17" x14ac:dyDescent="0.25">
      <c r="A606" t="s">
        <v>19</v>
      </c>
      <c r="B606" t="s">
        <v>28</v>
      </c>
      <c r="C606" t="s">
        <v>53</v>
      </c>
      <c r="D606" t="s">
        <v>60</v>
      </c>
      <c r="E606">
        <v>109815</v>
      </c>
      <c r="F606">
        <v>591</v>
      </c>
      <c r="G606" t="s">
        <v>64</v>
      </c>
      <c r="I606" t="s">
        <v>70</v>
      </c>
      <c r="J606" t="s">
        <v>73</v>
      </c>
      <c r="K606" t="s">
        <v>99</v>
      </c>
      <c r="L606" t="s">
        <v>125</v>
      </c>
      <c r="M606">
        <v>20</v>
      </c>
      <c r="N606">
        <v>17</v>
      </c>
      <c r="O606" t="s">
        <v>148</v>
      </c>
      <c r="P606" t="s">
        <v>154</v>
      </c>
      <c r="Q606" t="s">
        <v>167</v>
      </c>
    </row>
    <row r="607" spans="1:17" x14ac:dyDescent="0.25">
      <c r="A607" t="s">
        <v>19</v>
      </c>
      <c r="B607" t="s">
        <v>22</v>
      </c>
      <c r="C607" t="s">
        <v>41</v>
      </c>
      <c r="D607" t="s">
        <v>56</v>
      </c>
      <c r="E607">
        <v>74964</v>
      </c>
      <c r="F607">
        <v>12358</v>
      </c>
      <c r="G607" t="s">
        <v>64</v>
      </c>
      <c r="I607" t="s">
        <v>71</v>
      </c>
      <c r="J607" t="s">
        <v>73</v>
      </c>
      <c r="K607" t="s">
        <v>102</v>
      </c>
      <c r="L607" t="s">
        <v>102</v>
      </c>
      <c r="M607">
        <v>15</v>
      </c>
      <c r="N607">
        <v>13</v>
      </c>
      <c r="O607" t="s">
        <v>153</v>
      </c>
      <c r="P607" t="s">
        <v>154</v>
      </c>
      <c r="Q607" t="s">
        <v>196</v>
      </c>
    </row>
    <row r="608" spans="1:17" x14ac:dyDescent="0.25">
      <c r="A608" t="s">
        <v>19</v>
      </c>
      <c r="B608" t="s">
        <v>30</v>
      </c>
      <c r="C608" t="s">
        <v>39</v>
      </c>
      <c r="D608" t="s">
        <v>54</v>
      </c>
      <c r="E608">
        <v>99773</v>
      </c>
      <c r="F608">
        <v>9039</v>
      </c>
      <c r="G608" t="s">
        <v>64</v>
      </c>
      <c r="I608" t="s">
        <v>70</v>
      </c>
      <c r="J608" t="s">
        <v>80</v>
      </c>
      <c r="K608" t="s">
        <v>93</v>
      </c>
      <c r="L608" t="s">
        <v>93</v>
      </c>
      <c r="M608">
        <v>15</v>
      </c>
      <c r="N608">
        <v>15</v>
      </c>
      <c r="O608" t="s">
        <v>149</v>
      </c>
      <c r="P608" t="s">
        <v>154</v>
      </c>
      <c r="Q608" t="s">
        <v>169</v>
      </c>
    </row>
    <row r="609" spans="1:17" x14ac:dyDescent="0.25">
      <c r="A609" t="s">
        <v>19</v>
      </c>
      <c r="B609" t="s">
        <v>35</v>
      </c>
      <c r="C609" t="s">
        <v>37</v>
      </c>
      <c r="D609" t="s">
        <v>58</v>
      </c>
      <c r="E609">
        <v>64264</v>
      </c>
      <c r="F609">
        <v>0</v>
      </c>
      <c r="G609" t="s">
        <v>65</v>
      </c>
      <c r="I609" t="s">
        <v>69</v>
      </c>
      <c r="J609" t="s">
        <v>79</v>
      </c>
      <c r="K609" t="s">
        <v>107</v>
      </c>
      <c r="L609" t="s">
        <v>134</v>
      </c>
      <c r="M609">
        <v>4</v>
      </c>
      <c r="N609">
        <v>1</v>
      </c>
      <c r="O609" t="s">
        <v>153</v>
      </c>
      <c r="P609" t="s">
        <v>157</v>
      </c>
      <c r="Q609" t="s">
        <v>171</v>
      </c>
    </row>
    <row r="610" spans="1:17" x14ac:dyDescent="0.25">
      <c r="A610" t="s">
        <v>17</v>
      </c>
      <c r="B610" t="s">
        <v>35</v>
      </c>
      <c r="C610" t="s">
        <v>48</v>
      </c>
      <c r="D610" t="s">
        <v>56</v>
      </c>
      <c r="E610">
        <v>118310</v>
      </c>
      <c r="F610">
        <v>4562</v>
      </c>
      <c r="G610" t="s">
        <v>67</v>
      </c>
      <c r="I610" t="s">
        <v>71</v>
      </c>
      <c r="J610" t="s">
        <v>72</v>
      </c>
      <c r="K610" t="s">
        <v>95</v>
      </c>
      <c r="L610" t="s">
        <v>120</v>
      </c>
      <c r="M610">
        <v>9</v>
      </c>
      <c r="N610">
        <v>9</v>
      </c>
      <c r="O610" t="s">
        <v>148</v>
      </c>
      <c r="P610" t="s">
        <v>157</v>
      </c>
      <c r="Q610" t="s">
        <v>262</v>
      </c>
    </row>
    <row r="611" spans="1:17" x14ac:dyDescent="0.25">
      <c r="A611" t="s">
        <v>21</v>
      </c>
      <c r="B611" t="s">
        <v>32</v>
      </c>
      <c r="C611" t="s">
        <v>51</v>
      </c>
      <c r="D611" t="s">
        <v>60</v>
      </c>
      <c r="E611">
        <v>63795</v>
      </c>
      <c r="F611">
        <v>16000</v>
      </c>
      <c r="G611" t="s">
        <v>68</v>
      </c>
      <c r="I611" t="s">
        <v>70</v>
      </c>
      <c r="J611" t="s">
        <v>76</v>
      </c>
      <c r="K611" t="s">
        <v>100</v>
      </c>
      <c r="L611" t="s">
        <v>126</v>
      </c>
      <c r="M611">
        <v>9</v>
      </c>
      <c r="N611">
        <v>7</v>
      </c>
      <c r="O611" t="s">
        <v>151</v>
      </c>
      <c r="P611" t="s">
        <v>154</v>
      </c>
      <c r="Q611" t="s">
        <v>166</v>
      </c>
    </row>
    <row r="612" spans="1:17" x14ac:dyDescent="0.25">
      <c r="A612" t="s">
        <v>19</v>
      </c>
      <c r="B612" t="s">
        <v>31</v>
      </c>
      <c r="C612" t="s">
        <v>40</v>
      </c>
      <c r="D612" t="s">
        <v>56</v>
      </c>
      <c r="E612">
        <v>73792</v>
      </c>
      <c r="F612">
        <v>2783</v>
      </c>
      <c r="G612" t="s">
        <v>68</v>
      </c>
      <c r="J612" t="s">
        <v>79</v>
      </c>
      <c r="K612" t="s">
        <v>91</v>
      </c>
      <c r="L612" t="s">
        <v>118</v>
      </c>
      <c r="M612">
        <v>25</v>
      </c>
      <c r="N612">
        <v>25</v>
      </c>
      <c r="O612" t="s">
        <v>152</v>
      </c>
      <c r="P612" t="s">
        <v>155</v>
      </c>
      <c r="Q612" t="s">
        <v>229</v>
      </c>
    </row>
    <row r="613" spans="1:17" x14ac:dyDescent="0.25">
      <c r="A613" t="s">
        <v>21</v>
      </c>
      <c r="B613" t="s">
        <v>30</v>
      </c>
      <c r="C613" t="s">
        <v>53</v>
      </c>
      <c r="D613" t="s">
        <v>57</v>
      </c>
      <c r="E613">
        <v>87649</v>
      </c>
      <c r="F613">
        <v>3279</v>
      </c>
      <c r="G613" t="s">
        <v>63</v>
      </c>
      <c r="I613" t="s">
        <v>69</v>
      </c>
      <c r="J613" t="s">
        <v>77</v>
      </c>
      <c r="K613" t="s">
        <v>97</v>
      </c>
      <c r="L613" t="s">
        <v>122</v>
      </c>
      <c r="M613">
        <v>12</v>
      </c>
      <c r="N613">
        <v>12</v>
      </c>
      <c r="O613" t="s">
        <v>149</v>
      </c>
      <c r="P613" t="s">
        <v>155</v>
      </c>
      <c r="Q613" t="s">
        <v>188</v>
      </c>
    </row>
    <row r="614" spans="1:17" x14ac:dyDescent="0.25">
      <c r="A614" t="s">
        <v>19</v>
      </c>
      <c r="B614" t="s">
        <v>35</v>
      </c>
      <c r="C614" t="s">
        <v>53</v>
      </c>
      <c r="D614" t="s">
        <v>61</v>
      </c>
      <c r="E614">
        <v>86772</v>
      </c>
      <c r="F614">
        <v>4160</v>
      </c>
      <c r="G614" t="s">
        <v>68</v>
      </c>
      <c r="I614" t="s">
        <v>70</v>
      </c>
      <c r="J614" t="s">
        <v>79</v>
      </c>
      <c r="K614" t="s">
        <v>107</v>
      </c>
      <c r="L614" t="s">
        <v>134</v>
      </c>
      <c r="M614">
        <v>12</v>
      </c>
      <c r="N614">
        <v>9</v>
      </c>
      <c r="O614" t="s">
        <v>151</v>
      </c>
      <c r="P614" t="s">
        <v>155</v>
      </c>
      <c r="Q614" t="s">
        <v>178</v>
      </c>
    </row>
    <row r="615" spans="1:17" x14ac:dyDescent="0.25">
      <c r="A615" t="s">
        <v>19</v>
      </c>
      <c r="B615" t="s">
        <v>22</v>
      </c>
      <c r="C615" t="s">
        <v>41</v>
      </c>
      <c r="D615" t="s">
        <v>61</v>
      </c>
      <c r="E615">
        <v>54454</v>
      </c>
      <c r="F615">
        <v>833</v>
      </c>
      <c r="G615" t="s">
        <v>68</v>
      </c>
      <c r="I615" t="s">
        <v>69</v>
      </c>
      <c r="J615" t="s">
        <v>77</v>
      </c>
      <c r="K615" t="s">
        <v>111</v>
      </c>
      <c r="L615" t="s">
        <v>141</v>
      </c>
      <c r="M615">
        <v>15</v>
      </c>
      <c r="N615">
        <v>13</v>
      </c>
      <c r="O615" t="s">
        <v>152</v>
      </c>
      <c r="P615" t="s">
        <v>154</v>
      </c>
      <c r="Q615" t="s">
        <v>169</v>
      </c>
    </row>
    <row r="616" spans="1:17" x14ac:dyDescent="0.25">
      <c r="A616" t="s">
        <v>21</v>
      </c>
      <c r="B616" t="s">
        <v>27</v>
      </c>
      <c r="C616" t="s">
        <v>44</v>
      </c>
      <c r="D616" t="s">
        <v>59</v>
      </c>
      <c r="E616">
        <v>106009</v>
      </c>
      <c r="F616">
        <v>19704</v>
      </c>
      <c r="G616" t="s">
        <v>64</v>
      </c>
      <c r="J616" t="s">
        <v>80</v>
      </c>
      <c r="K616" t="s">
        <v>93</v>
      </c>
      <c r="L616" t="s">
        <v>93</v>
      </c>
      <c r="M616">
        <v>25</v>
      </c>
      <c r="N616">
        <v>25</v>
      </c>
      <c r="O616" t="s">
        <v>149</v>
      </c>
      <c r="P616" t="s">
        <v>157</v>
      </c>
      <c r="Q616" t="s">
        <v>178</v>
      </c>
    </row>
    <row r="617" spans="1:17" x14ac:dyDescent="0.25">
      <c r="A617" t="s">
        <v>20</v>
      </c>
      <c r="B617" t="s">
        <v>30</v>
      </c>
      <c r="C617" t="s">
        <v>39</v>
      </c>
      <c r="D617" t="s">
        <v>60</v>
      </c>
      <c r="E617">
        <v>102569</v>
      </c>
      <c r="F617">
        <v>1394</v>
      </c>
      <c r="G617" t="s">
        <v>67</v>
      </c>
      <c r="I617" t="s">
        <v>56</v>
      </c>
      <c r="J617" t="s">
        <v>74</v>
      </c>
      <c r="K617" t="s">
        <v>84</v>
      </c>
      <c r="L617" t="s">
        <v>74</v>
      </c>
      <c r="M617">
        <v>7</v>
      </c>
      <c r="N617">
        <v>6</v>
      </c>
      <c r="O617" t="s">
        <v>151</v>
      </c>
      <c r="P617" t="s">
        <v>155</v>
      </c>
      <c r="Q617" t="s">
        <v>180</v>
      </c>
    </row>
    <row r="618" spans="1:17" x14ac:dyDescent="0.25">
      <c r="A618" t="s">
        <v>17</v>
      </c>
      <c r="B618" t="s">
        <v>35</v>
      </c>
      <c r="C618" t="s">
        <v>45</v>
      </c>
      <c r="D618" t="s">
        <v>56</v>
      </c>
      <c r="E618">
        <v>48011</v>
      </c>
      <c r="F618">
        <v>8472</v>
      </c>
      <c r="G618" t="s">
        <v>68</v>
      </c>
      <c r="I618" t="s">
        <v>69</v>
      </c>
      <c r="J618" t="s">
        <v>76</v>
      </c>
      <c r="K618" t="s">
        <v>100</v>
      </c>
      <c r="L618" t="s">
        <v>126</v>
      </c>
      <c r="M618">
        <v>25</v>
      </c>
      <c r="N618">
        <v>25</v>
      </c>
      <c r="O618" t="s">
        <v>153</v>
      </c>
      <c r="P618" t="s">
        <v>157</v>
      </c>
      <c r="Q618" t="s">
        <v>164</v>
      </c>
    </row>
    <row r="619" spans="1:17" x14ac:dyDescent="0.25">
      <c r="A619" t="s">
        <v>21</v>
      </c>
      <c r="B619" t="s">
        <v>33</v>
      </c>
      <c r="C619" t="s">
        <v>48</v>
      </c>
      <c r="D619" t="s">
        <v>58</v>
      </c>
      <c r="E619">
        <v>60453</v>
      </c>
      <c r="F619">
        <v>0</v>
      </c>
      <c r="G619" t="s">
        <v>64</v>
      </c>
      <c r="J619" t="s">
        <v>81</v>
      </c>
      <c r="K619" t="s">
        <v>103</v>
      </c>
      <c r="L619" t="s">
        <v>140</v>
      </c>
      <c r="M619">
        <v>10</v>
      </c>
      <c r="N619">
        <v>10</v>
      </c>
      <c r="O619" t="s">
        <v>152</v>
      </c>
      <c r="P619" t="s">
        <v>154</v>
      </c>
      <c r="Q619" t="s">
        <v>241</v>
      </c>
    </row>
    <row r="620" spans="1:17" x14ac:dyDescent="0.25">
      <c r="A620" t="s">
        <v>18</v>
      </c>
      <c r="B620" t="s">
        <v>35</v>
      </c>
      <c r="C620" t="s">
        <v>51</v>
      </c>
      <c r="D620" t="s">
        <v>61</v>
      </c>
      <c r="E620">
        <v>70472</v>
      </c>
      <c r="F620">
        <v>744</v>
      </c>
      <c r="G620" t="s">
        <v>64</v>
      </c>
      <c r="I620" t="s">
        <v>70</v>
      </c>
      <c r="J620" t="s">
        <v>76</v>
      </c>
      <c r="K620" t="s">
        <v>100</v>
      </c>
      <c r="L620" t="s">
        <v>126</v>
      </c>
      <c r="M620">
        <v>0</v>
      </c>
      <c r="N620">
        <v>0</v>
      </c>
      <c r="O620" t="s">
        <v>153</v>
      </c>
      <c r="P620" t="s">
        <v>154</v>
      </c>
      <c r="Q620" t="s">
        <v>180</v>
      </c>
    </row>
    <row r="621" spans="1:17" x14ac:dyDescent="0.25">
      <c r="A621" t="s">
        <v>17</v>
      </c>
      <c r="B621" t="s">
        <v>22</v>
      </c>
      <c r="C621" t="s">
        <v>37</v>
      </c>
      <c r="D621" t="s">
        <v>58</v>
      </c>
      <c r="E621">
        <v>106328</v>
      </c>
      <c r="F621">
        <v>0</v>
      </c>
      <c r="G621" t="s">
        <v>64</v>
      </c>
      <c r="I621" t="s">
        <v>69</v>
      </c>
      <c r="J621" t="s">
        <v>81</v>
      </c>
      <c r="K621" t="s">
        <v>98</v>
      </c>
      <c r="L621" t="s">
        <v>123</v>
      </c>
      <c r="M621">
        <v>20</v>
      </c>
      <c r="N621">
        <v>17</v>
      </c>
      <c r="O621" t="s">
        <v>148</v>
      </c>
      <c r="P621" t="s">
        <v>157</v>
      </c>
      <c r="Q621" t="s">
        <v>169</v>
      </c>
    </row>
    <row r="622" spans="1:17" x14ac:dyDescent="0.25">
      <c r="A622" t="s">
        <v>19</v>
      </c>
      <c r="B622" t="s">
        <v>24</v>
      </c>
      <c r="C622" t="s">
        <v>37</v>
      </c>
      <c r="D622" t="s">
        <v>62</v>
      </c>
      <c r="E622">
        <v>89855</v>
      </c>
      <c r="F622">
        <v>11706</v>
      </c>
      <c r="G622" t="s">
        <v>67</v>
      </c>
      <c r="I622" t="s">
        <v>71</v>
      </c>
      <c r="J622" t="s">
        <v>72</v>
      </c>
      <c r="K622" t="s">
        <v>82</v>
      </c>
      <c r="L622" t="s">
        <v>112</v>
      </c>
      <c r="M622">
        <v>10</v>
      </c>
      <c r="N622">
        <v>9</v>
      </c>
      <c r="O622" t="s">
        <v>152</v>
      </c>
      <c r="P622" t="s">
        <v>157</v>
      </c>
      <c r="Q622" t="s">
        <v>261</v>
      </c>
    </row>
    <row r="623" spans="1:17" x14ac:dyDescent="0.25">
      <c r="A623" t="s">
        <v>19</v>
      </c>
      <c r="B623" t="s">
        <v>32</v>
      </c>
      <c r="C623" t="s">
        <v>45</v>
      </c>
      <c r="D623" t="s">
        <v>59</v>
      </c>
      <c r="E623">
        <v>56604</v>
      </c>
      <c r="F623">
        <v>3182</v>
      </c>
      <c r="G623" t="s">
        <v>63</v>
      </c>
      <c r="J623" t="s">
        <v>81</v>
      </c>
      <c r="K623" t="s">
        <v>94</v>
      </c>
      <c r="L623" t="s">
        <v>129</v>
      </c>
      <c r="M623">
        <v>5</v>
      </c>
      <c r="N623">
        <v>5</v>
      </c>
      <c r="O623" t="s">
        <v>152</v>
      </c>
      <c r="P623" t="s">
        <v>154</v>
      </c>
      <c r="Q623" t="s">
        <v>187</v>
      </c>
    </row>
    <row r="624" spans="1:17" x14ac:dyDescent="0.25">
      <c r="A624" t="s">
        <v>21</v>
      </c>
      <c r="B624" t="s">
        <v>28</v>
      </c>
      <c r="C624" t="s">
        <v>45</v>
      </c>
      <c r="D624" t="s">
        <v>59</v>
      </c>
      <c r="E624">
        <v>920618</v>
      </c>
      <c r="F624">
        <v>124262</v>
      </c>
      <c r="G624" t="s">
        <v>66</v>
      </c>
      <c r="I624" t="s">
        <v>71</v>
      </c>
      <c r="J624" t="s">
        <v>73</v>
      </c>
      <c r="K624" t="s">
        <v>102</v>
      </c>
      <c r="L624" t="s">
        <v>102</v>
      </c>
      <c r="M624">
        <v>12</v>
      </c>
      <c r="N624">
        <v>12</v>
      </c>
      <c r="O624" t="s">
        <v>153</v>
      </c>
      <c r="P624" t="s">
        <v>155</v>
      </c>
      <c r="Q624" t="s">
        <v>190</v>
      </c>
    </row>
    <row r="625" spans="1:17" x14ac:dyDescent="0.25">
      <c r="A625" t="s">
        <v>19</v>
      </c>
      <c r="B625" t="s">
        <v>23</v>
      </c>
      <c r="C625" t="s">
        <v>47</v>
      </c>
      <c r="D625" t="s">
        <v>55</v>
      </c>
      <c r="E625">
        <v>110886</v>
      </c>
      <c r="F625">
        <v>0</v>
      </c>
      <c r="G625" t="s">
        <v>68</v>
      </c>
      <c r="I625" t="s">
        <v>71</v>
      </c>
      <c r="J625" t="s">
        <v>75</v>
      </c>
      <c r="K625" t="s">
        <v>108</v>
      </c>
      <c r="L625" t="s">
        <v>135</v>
      </c>
      <c r="M625">
        <v>18</v>
      </c>
      <c r="N625">
        <v>15</v>
      </c>
      <c r="O625" t="s">
        <v>151</v>
      </c>
      <c r="P625" t="s">
        <v>155</v>
      </c>
      <c r="Q625" t="s">
        <v>167</v>
      </c>
    </row>
    <row r="626" spans="1:17" x14ac:dyDescent="0.25">
      <c r="A626" t="s">
        <v>17</v>
      </c>
      <c r="B626" t="s">
        <v>25</v>
      </c>
      <c r="C626" t="s">
        <v>47</v>
      </c>
      <c r="D626" t="s">
        <v>54</v>
      </c>
      <c r="E626">
        <v>490484</v>
      </c>
      <c r="F626">
        <v>19766</v>
      </c>
      <c r="G626" t="s">
        <v>66</v>
      </c>
      <c r="I626" t="s">
        <v>69</v>
      </c>
      <c r="J626" t="s">
        <v>79</v>
      </c>
      <c r="K626" t="s">
        <v>91</v>
      </c>
      <c r="L626" t="s">
        <v>118</v>
      </c>
      <c r="M626">
        <v>25</v>
      </c>
      <c r="N626">
        <v>25</v>
      </c>
      <c r="O626" t="s">
        <v>153</v>
      </c>
      <c r="P626" t="s">
        <v>156</v>
      </c>
      <c r="Q626" t="s">
        <v>166</v>
      </c>
    </row>
    <row r="627" spans="1:17" x14ac:dyDescent="0.25">
      <c r="A627" t="s">
        <v>19</v>
      </c>
      <c r="B627" t="s">
        <v>27</v>
      </c>
      <c r="C627" t="s">
        <v>41</v>
      </c>
      <c r="D627" t="s">
        <v>58</v>
      </c>
      <c r="E627">
        <v>88770</v>
      </c>
      <c r="F627">
        <v>0</v>
      </c>
      <c r="G627" t="s">
        <v>63</v>
      </c>
      <c r="I627" t="s">
        <v>69</v>
      </c>
      <c r="J627" t="s">
        <v>72</v>
      </c>
      <c r="K627" t="s">
        <v>82</v>
      </c>
      <c r="L627" t="s">
        <v>112</v>
      </c>
      <c r="M627">
        <v>3</v>
      </c>
      <c r="N627">
        <v>3</v>
      </c>
      <c r="O627" t="s">
        <v>149</v>
      </c>
      <c r="P627" t="s">
        <v>157</v>
      </c>
      <c r="Q627" t="s">
        <v>188</v>
      </c>
    </row>
    <row r="628" spans="1:17" x14ac:dyDescent="0.25">
      <c r="A628" t="s">
        <v>19</v>
      </c>
      <c r="B628" t="s">
        <v>34</v>
      </c>
      <c r="C628" t="s">
        <v>46</v>
      </c>
      <c r="D628" t="s">
        <v>58</v>
      </c>
      <c r="E628">
        <v>63194</v>
      </c>
      <c r="F628">
        <v>870</v>
      </c>
      <c r="G628" t="s">
        <v>65</v>
      </c>
      <c r="I628" t="s">
        <v>56</v>
      </c>
      <c r="J628" t="s">
        <v>81</v>
      </c>
      <c r="K628" t="s">
        <v>101</v>
      </c>
      <c r="L628" t="s">
        <v>127</v>
      </c>
      <c r="M628">
        <v>15</v>
      </c>
      <c r="N628">
        <v>14</v>
      </c>
      <c r="O628" t="s">
        <v>153</v>
      </c>
      <c r="P628" t="s">
        <v>157</v>
      </c>
      <c r="Q628" t="s">
        <v>212</v>
      </c>
    </row>
    <row r="629" spans="1:17" x14ac:dyDescent="0.25">
      <c r="A629" t="s">
        <v>19</v>
      </c>
      <c r="B629" t="s">
        <v>31</v>
      </c>
      <c r="C629" t="s">
        <v>38</v>
      </c>
      <c r="D629" t="s">
        <v>55</v>
      </c>
      <c r="E629">
        <v>26590</v>
      </c>
      <c r="F629">
        <v>1109</v>
      </c>
      <c r="G629" t="s">
        <v>68</v>
      </c>
      <c r="J629" t="s">
        <v>75</v>
      </c>
      <c r="K629" t="s">
        <v>85</v>
      </c>
      <c r="L629" t="s">
        <v>114</v>
      </c>
      <c r="M629">
        <v>6</v>
      </c>
      <c r="N629">
        <v>5</v>
      </c>
      <c r="O629" t="s">
        <v>151</v>
      </c>
      <c r="P629" t="s">
        <v>157</v>
      </c>
      <c r="Q629" t="s">
        <v>305</v>
      </c>
    </row>
    <row r="630" spans="1:17" x14ac:dyDescent="0.25">
      <c r="A630" t="s">
        <v>19</v>
      </c>
      <c r="B630" t="s">
        <v>25</v>
      </c>
      <c r="C630" t="s">
        <v>43</v>
      </c>
      <c r="D630" t="s">
        <v>54</v>
      </c>
      <c r="E630">
        <v>68807</v>
      </c>
      <c r="F630">
        <v>4856</v>
      </c>
      <c r="G630" t="s">
        <v>64</v>
      </c>
      <c r="I630" t="s">
        <v>56</v>
      </c>
      <c r="J630" t="s">
        <v>75</v>
      </c>
      <c r="K630" t="s">
        <v>108</v>
      </c>
      <c r="L630" t="s">
        <v>135</v>
      </c>
      <c r="M630">
        <v>9</v>
      </c>
      <c r="N630">
        <v>6</v>
      </c>
      <c r="O630" t="s">
        <v>153</v>
      </c>
      <c r="P630" t="s">
        <v>155</v>
      </c>
      <c r="Q630" t="s">
        <v>376</v>
      </c>
    </row>
    <row r="631" spans="1:17" x14ac:dyDescent="0.25">
      <c r="A631" t="s">
        <v>19</v>
      </c>
      <c r="B631" t="s">
        <v>32</v>
      </c>
      <c r="C631" t="s">
        <v>40</v>
      </c>
      <c r="D631" t="s">
        <v>61</v>
      </c>
      <c r="E631">
        <v>100431</v>
      </c>
      <c r="F631">
        <v>2090</v>
      </c>
      <c r="G631" t="s">
        <v>63</v>
      </c>
      <c r="I631" t="s">
        <v>56</v>
      </c>
      <c r="J631" t="s">
        <v>80</v>
      </c>
      <c r="K631" t="s">
        <v>106</v>
      </c>
      <c r="L631" t="s">
        <v>106</v>
      </c>
      <c r="M631">
        <v>6</v>
      </c>
      <c r="N631">
        <v>6</v>
      </c>
      <c r="O631" t="s">
        <v>153</v>
      </c>
      <c r="P631" t="s">
        <v>154</v>
      </c>
      <c r="Q631" t="s">
        <v>377</v>
      </c>
    </row>
    <row r="632" spans="1:17" x14ac:dyDescent="0.25">
      <c r="A632" t="s">
        <v>19</v>
      </c>
      <c r="B632" t="s">
        <v>32</v>
      </c>
      <c r="C632" t="s">
        <v>43</v>
      </c>
      <c r="D632" t="s">
        <v>54</v>
      </c>
      <c r="E632">
        <v>163865</v>
      </c>
      <c r="F632">
        <v>465</v>
      </c>
      <c r="G632" t="s">
        <v>67</v>
      </c>
      <c r="I632" t="s">
        <v>69</v>
      </c>
      <c r="J632" t="s">
        <v>77</v>
      </c>
      <c r="K632" t="s">
        <v>97</v>
      </c>
      <c r="L632" t="s">
        <v>122</v>
      </c>
      <c r="M632">
        <v>4</v>
      </c>
      <c r="N632">
        <v>4</v>
      </c>
      <c r="O632" t="s">
        <v>150</v>
      </c>
      <c r="P632" t="s">
        <v>154</v>
      </c>
      <c r="Q632" t="s">
        <v>335</v>
      </c>
    </row>
    <row r="633" spans="1:17" x14ac:dyDescent="0.25">
      <c r="A633" t="s">
        <v>19</v>
      </c>
      <c r="B633" t="s">
        <v>22</v>
      </c>
      <c r="C633" t="s">
        <v>47</v>
      </c>
      <c r="D633" t="s">
        <v>56</v>
      </c>
      <c r="E633">
        <v>83775</v>
      </c>
      <c r="F633">
        <v>12624</v>
      </c>
      <c r="G633" t="s">
        <v>63</v>
      </c>
      <c r="I633" t="s">
        <v>56</v>
      </c>
      <c r="J633" t="s">
        <v>75</v>
      </c>
      <c r="K633" t="s">
        <v>108</v>
      </c>
      <c r="L633" t="s">
        <v>135</v>
      </c>
      <c r="M633">
        <v>7</v>
      </c>
      <c r="N633">
        <v>4</v>
      </c>
      <c r="O633" t="s">
        <v>150</v>
      </c>
      <c r="P633" t="s">
        <v>157</v>
      </c>
      <c r="Q633" t="s">
        <v>166</v>
      </c>
    </row>
    <row r="634" spans="1:17" x14ac:dyDescent="0.25">
      <c r="A634" t="s">
        <v>17</v>
      </c>
      <c r="B634" t="s">
        <v>35</v>
      </c>
      <c r="C634" t="s">
        <v>47</v>
      </c>
      <c r="D634" t="s">
        <v>56</v>
      </c>
      <c r="E634">
        <v>55673</v>
      </c>
      <c r="F634">
        <v>1306</v>
      </c>
      <c r="G634" t="s">
        <v>64</v>
      </c>
      <c r="I634" t="s">
        <v>69</v>
      </c>
      <c r="J634" t="s">
        <v>73</v>
      </c>
      <c r="K634" t="s">
        <v>102</v>
      </c>
      <c r="L634" t="s">
        <v>102</v>
      </c>
      <c r="M634">
        <v>20</v>
      </c>
      <c r="N634">
        <v>20</v>
      </c>
      <c r="O634" t="s">
        <v>150</v>
      </c>
      <c r="P634" t="s">
        <v>154</v>
      </c>
      <c r="Q634" t="s">
        <v>235</v>
      </c>
    </row>
    <row r="635" spans="1:17" x14ac:dyDescent="0.25">
      <c r="A635" t="s">
        <v>21</v>
      </c>
      <c r="B635" t="s">
        <v>27</v>
      </c>
      <c r="C635" t="s">
        <v>44</v>
      </c>
      <c r="D635" t="s">
        <v>59</v>
      </c>
      <c r="E635">
        <v>106009</v>
      </c>
      <c r="F635">
        <v>19704</v>
      </c>
      <c r="G635" t="s">
        <v>64</v>
      </c>
      <c r="J635" t="s">
        <v>80</v>
      </c>
      <c r="K635" t="s">
        <v>93</v>
      </c>
      <c r="L635" t="s">
        <v>93</v>
      </c>
      <c r="M635">
        <v>25</v>
      </c>
      <c r="N635">
        <v>25</v>
      </c>
      <c r="O635" t="s">
        <v>149</v>
      </c>
      <c r="P635" t="s">
        <v>157</v>
      </c>
      <c r="Q635" t="s">
        <v>178</v>
      </c>
    </row>
    <row r="636" spans="1:17" x14ac:dyDescent="0.25">
      <c r="A636" t="s">
        <v>20</v>
      </c>
      <c r="B636" t="s">
        <v>34</v>
      </c>
      <c r="C636" t="s">
        <v>36</v>
      </c>
      <c r="D636" t="s">
        <v>58</v>
      </c>
      <c r="E636">
        <v>43404</v>
      </c>
      <c r="F636">
        <v>0</v>
      </c>
      <c r="G636" t="s">
        <v>68</v>
      </c>
      <c r="I636" t="s">
        <v>56</v>
      </c>
      <c r="J636" t="s">
        <v>79</v>
      </c>
      <c r="K636" t="s">
        <v>91</v>
      </c>
      <c r="L636" t="s">
        <v>118</v>
      </c>
      <c r="M636">
        <v>7</v>
      </c>
      <c r="N636">
        <v>6</v>
      </c>
      <c r="O636" t="s">
        <v>152</v>
      </c>
      <c r="P636" t="s">
        <v>154</v>
      </c>
      <c r="Q636" t="s">
        <v>324</v>
      </c>
    </row>
    <row r="637" spans="1:17" x14ac:dyDescent="0.25">
      <c r="A637" t="s">
        <v>20</v>
      </c>
      <c r="B637" t="s">
        <v>28</v>
      </c>
      <c r="C637" t="s">
        <v>45</v>
      </c>
      <c r="D637" t="s">
        <v>54</v>
      </c>
      <c r="E637">
        <v>63232</v>
      </c>
      <c r="F637">
        <v>0</v>
      </c>
      <c r="G637" t="s">
        <v>65</v>
      </c>
      <c r="I637" t="s">
        <v>69</v>
      </c>
      <c r="J637" t="s">
        <v>80</v>
      </c>
      <c r="K637" t="s">
        <v>106</v>
      </c>
      <c r="L637" t="s">
        <v>106</v>
      </c>
      <c r="M637">
        <v>2</v>
      </c>
      <c r="N637">
        <v>0</v>
      </c>
      <c r="O637" t="s">
        <v>151</v>
      </c>
      <c r="P637" t="s">
        <v>156</v>
      </c>
      <c r="Q637" t="s">
        <v>188</v>
      </c>
    </row>
    <row r="638" spans="1:17" x14ac:dyDescent="0.25">
      <c r="A638" t="s">
        <v>17</v>
      </c>
      <c r="B638" t="s">
        <v>34</v>
      </c>
      <c r="C638" t="s">
        <v>36</v>
      </c>
      <c r="D638" t="s">
        <v>61</v>
      </c>
      <c r="E638">
        <v>99214</v>
      </c>
      <c r="F638">
        <v>13964</v>
      </c>
      <c r="G638" t="s">
        <v>64</v>
      </c>
      <c r="I638" t="s">
        <v>70</v>
      </c>
      <c r="J638" t="s">
        <v>76</v>
      </c>
      <c r="K638" t="s">
        <v>92</v>
      </c>
      <c r="L638" t="s">
        <v>119</v>
      </c>
      <c r="M638">
        <v>15</v>
      </c>
      <c r="N638">
        <v>15</v>
      </c>
      <c r="O638" t="s">
        <v>152</v>
      </c>
      <c r="P638" t="s">
        <v>154</v>
      </c>
      <c r="Q638" t="s">
        <v>229</v>
      </c>
    </row>
    <row r="639" spans="1:17" x14ac:dyDescent="0.25">
      <c r="A639" t="s">
        <v>20</v>
      </c>
      <c r="B639" t="s">
        <v>31</v>
      </c>
      <c r="C639" t="s">
        <v>36</v>
      </c>
      <c r="D639" t="s">
        <v>56</v>
      </c>
      <c r="E639">
        <v>569744</v>
      </c>
      <c r="F639">
        <v>0</v>
      </c>
      <c r="G639" t="s">
        <v>66</v>
      </c>
      <c r="J639" t="s">
        <v>72</v>
      </c>
      <c r="K639" t="s">
        <v>95</v>
      </c>
      <c r="L639" t="s">
        <v>120</v>
      </c>
      <c r="M639">
        <v>0</v>
      </c>
      <c r="N639">
        <v>0</v>
      </c>
      <c r="O639" t="s">
        <v>149</v>
      </c>
      <c r="P639" t="s">
        <v>157</v>
      </c>
      <c r="Q639" t="s">
        <v>216</v>
      </c>
    </row>
    <row r="640" spans="1:17" x14ac:dyDescent="0.25">
      <c r="A640" t="s">
        <v>19</v>
      </c>
      <c r="B640" t="s">
        <v>32</v>
      </c>
      <c r="C640" t="s">
        <v>39</v>
      </c>
      <c r="D640" t="s">
        <v>62</v>
      </c>
      <c r="E640">
        <v>473675</v>
      </c>
      <c r="F640">
        <v>49366</v>
      </c>
      <c r="G640" t="s">
        <v>66</v>
      </c>
      <c r="I640" t="s">
        <v>70</v>
      </c>
      <c r="J640" t="s">
        <v>75</v>
      </c>
      <c r="K640" t="s">
        <v>108</v>
      </c>
      <c r="L640" t="s">
        <v>135</v>
      </c>
      <c r="M640">
        <v>15</v>
      </c>
      <c r="N640">
        <v>15</v>
      </c>
      <c r="O640" t="s">
        <v>152</v>
      </c>
      <c r="P640" t="s">
        <v>154</v>
      </c>
      <c r="Q640" t="s">
        <v>297</v>
      </c>
    </row>
    <row r="641" spans="1:17" x14ac:dyDescent="0.25">
      <c r="A641" t="s">
        <v>20</v>
      </c>
      <c r="B641" t="s">
        <v>25</v>
      </c>
      <c r="C641" t="s">
        <v>43</v>
      </c>
      <c r="D641" t="s">
        <v>56</v>
      </c>
      <c r="E641">
        <v>394867</v>
      </c>
      <c r="F641">
        <v>0</v>
      </c>
      <c r="G641" t="s">
        <v>66</v>
      </c>
      <c r="I641" t="s">
        <v>56</v>
      </c>
      <c r="J641" t="s">
        <v>75</v>
      </c>
      <c r="K641" t="s">
        <v>108</v>
      </c>
      <c r="L641" t="s">
        <v>135</v>
      </c>
      <c r="M641">
        <v>1</v>
      </c>
      <c r="N641">
        <v>0</v>
      </c>
      <c r="O641" t="s">
        <v>153</v>
      </c>
      <c r="P641" t="s">
        <v>157</v>
      </c>
      <c r="Q641" t="s">
        <v>378</v>
      </c>
    </row>
    <row r="642" spans="1:17" x14ac:dyDescent="0.25">
      <c r="A642" t="s">
        <v>20</v>
      </c>
      <c r="B642" t="s">
        <v>22</v>
      </c>
      <c r="C642" t="s">
        <v>47</v>
      </c>
      <c r="D642" t="s">
        <v>57</v>
      </c>
      <c r="E642">
        <v>83492</v>
      </c>
      <c r="F642">
        <v>4330</v>
      </c>
      <c r="G642" t="s">
        <v>64</v>
      </c>
      <c r="J642" t="s">
        <v>75</v>
      </c>
      <c r="K642" t="s">
        <v>108</v>
      </c>
      <c r="L642" t="s">
        <v>135</v>
      </c>
      <c r="M642">
        <v>3</v>
      </c>
      <c r="N642">
        <v>2</v>
      </c>
      <c r="O642" t="s">
        <v>153</v>
      </c>
      <c r="P642" t="s">
        <v>156</v>
      </c>
      <c r="Q642" t="s">
        <v>189</v>
      </c>
    </row>
    <row r="643" spans="1:17" x14ac:dyDescent="0.25">
      <c r="A643" t="s">
        <v>19</v>
      </c>
      <c r="B643" t="s">
        <v>26</v>
      </c>
      <c r="C643" t="s">
        <v>45</v>
      </c>
      <c r="E643">
        <v>90308</v>
      </c>
      <c r="F643">
        <v>6298</v>
      </c>
      <c r="G643" t="s">
        <v>65</v>
      </c>
      <c r="I643" t="s">
        <v>70</v>
      </c>
      <c r="J643" t="s">
        <v>75</v>
      </c>
      <c r="K643" t="s">
        <v>85</v>
      </c>
      <c r="L643" t="s">
        <v>114</v>
      </c>
      <c r="M643">
        <v>4</v>
      </c>
      <c r="N643">
        <v>1</v>
      </c>
      <c r="O643" t="s">
        <v>153</v>
      </c>
      <c r="P643" t="s">
        <v>157</v>
      </c>
      <c r="Q643" t="s">
        <v>379</v>
      </c>
    </row>
    <row r="644" spans="1:17" x14ac:dyDescent="0.25">
      <c r="A644" t="s">
        <v>19</v>
      </c>
      <c r="B644" t="s">
        <v>27</v>
      </c>
      <c r="C644" t="s">
        <v>52</v>
      </c>
      <c r="D644" t="s">
        <v>58</v>
      </c>
      <c r="E644">
        <v>8330</v>
      </c>
      <c r="F644">
        <v>753</v>
      </c>
      <c r="G644" t="s">
        <v>67</v>
      </c>
      <c r="J644" t="s">
        <v>73</v>
      </c>
      <c r="K644" t="s">
        <v>102</v>
      </c>
      <c r="L644" t="s">
        <v>102</v>
      </c>
      <c r="M644">
        <v>15</v>
      </c>
      <c r="N644">
        <v>15</v>
      </c>
      <c r="O644" t="s">
        <v>153</v>
      </c>
      <c r="P644" t="s">
        <v>157</v>
      </c>
      <c r="Q644" t="s">
        <v>277</v>
      </c>
    </row>
    <row r="645" spans="1:17" x14ac:dyDescent="0.25">
      <c r="A645" t="s">
        <v>19</v>
      </c>
      <c r="B645" t="s">
        <v>26</v>
      </c>
      <c r="C645" t="s">
        <v>39</v>
      </c>
      <c r="E645">
        <v>988566</v>
      </c>
      <c r="F645">
        <v>91181</v>
      </c>
      <c r="G645" t="s">
        <v>66</v>
      </c>
      <c r="I645" t="s">
        <v>56</v>
      </c>
      <c r="J645" t="s">
        <v>76</v>
      </c>
      <c r="K645" t="s">
        <v>86</v>
      </c>
      <c r="L645" t="s">
        <v>115</v>
      </c>
      <c r="M645">
        <v>7</v>
      </c>
      <c r="N645">
        <v>4</v>
      </c>
      <c r="O645" t="s">
        <v>150</v>
      </c>
      <c r="P645" t="s">
        <v>155</v>
      </c>
      <c r="Q645" t="s">
        <v>165</v>
      </c>
    </row>
    <row r="646" spans="1:17" x14ac:dyDescent="0.25">
      <c r="A646" t="s">
        <v>21</v>
      </c>
      <c r="B646" t="s">
        <v>26</v>
      </c>
      <c r="C646" t="s">
        <v>37</v>
      </c>
      <c r="E646">
        <v>92661</v>
      </c>
      <c r="F646">
        <v>0</v>
      </c>
      <c r="G646" t="s">
        <v>63</v>
      </c>
      <c r="I646" t="s">
        <v>70</v>
      </c>
      <c r="J646" t="s">
        <v>80</v>
      </c>
      <c r="K646" t="s">
        <v>93</v>
      </c>
      <c r="L646" t="s">
        <v>93</v>
      </c>
      <c r="M646">
        <v>18</v>
      </c>
      <c r="N646">
        <v>17</v>
      </c>
      <c r="O646" t="s">
        <v>149</v>
      </c>
      <c r="P646" t="s">
        <v>154</v>
      </c>
      <c r="Q646" t="s">
        <v>180</v>
      </c>
    </row>
    <row r="647" spans="1:17" x14ac:dyDescent="0.25">
      <c r="A647" t="s">
        <v>17</v>
      </c>
      <c r="B647" t="s">
        <v>27</v>
      </c>
      <c r="C647" t="s">
        <v>38</v>
      </c>
      <c r="D647" t="s">
        <v>57</v>
      </c>
      <c r="E647">
        <v>91574</v>
      </c>
      <c r="F647">
        <v>3334</v>
      </c>
      <c r="G647" t="s">
        <v>64</v>
      </c>
      <c r="I647" t="s">
        <v>70</v>
      </c>
      <c r="J647" t="s">
        <v>79</v>
      </c>
      <c r="K647" t="s">
        <v>91</v>
      </c>
      <c r="L647" t="s">
        <v>118</v>
      </c>
      <c r="M647">
        <v>25</v>
      </c>
      <c r="N647">
        <v>25</v>
      </c>
      <c r="O647" t="s">
        <v>148</v>
      </c>
      <c r="P647" t="s">
        <v>154</v>
      </c>
      <c r="Q647" t="s">
        <v>178</v>
      </c>
    </row>
    <row r="648" spans="1:17" x14ac:dyDescent="0.25">
      <c r="A648" t="s">
        <v>21</v>
      </c>
      <c r="B648" t="s">
        <v>30</v>
      </c>
      <c r="C648" t="s">
        <v>43</v>
      </c>
      <c r="D648" t="s">
        <v>54</v>
      </c>
      <c r="E648">
        <v>61162</v>
      </c>
      <c r="F648">
        <v>735</v>
      </c>
      <c r="G648" t="s">
        <v>68</v>
      </c>
      <c r="I648" t="s">
        <v>70</v>
      </c>
      <c r="J648" t="s">
        <v>80</v>
      </c>
      <c r="K648" t="s">
        <v>106</v>
      </c>
      <c r="L648" t="s">
        <v>106</v>
      </c>
      <c r="M648">
        <v>9</v>
      </c>
      <c r="N648">
        <v>8</v>
      </c>
      <c r="O648" t="s">
        <v>152</v>
      </c>
      <c r="P648" t="s">
        <v>157</v>
      </c>
      <c r="Q648" t="s">
        <v>166</v>
      </c>
    </row>
    <row r="649" spans="1:17" x14ac:dyDescent="0.25">
      <c r="A649" t="s">
        <v>20</v>
      </c>
      <c r="B649" t="s">
        <v>34</v>
      </c>
      <c r="C649" t="s">
        <v>40</v>
      </c>
      <c r="E649">
        <v>27865</v>
      </c>
      <c r="F649">
        <v>2772</v>
      </c>
      <c r="G649" t="s">
        <v>68</v>
      </c>
      <c r="I649" t="s">
        <v>56</v>
      </c>
      <c r="J649" t="s">
        <v>74</v>
      </c>
      <c r="K649" t="s">
        <v>84</v>
      </c>
      <c r="L649" t="s">
        <v>74</v>
      </c>
      <c r="M649">
        <v>2</v>
      </c>
      <c r="N649">
        <v>2</v>
      </c>
      <c r="O649" t="s">
        <v>150</v>
      </c>
      <c r="P649" t="s">
        <v>154</v>
      </c>
      <c r="Q649" t="s">
        <v>167</v>
      </c>
    </row>
    <row r="650" spans="1:17" x14ac:dyDescent="0.25">
      <c r="A650" t="s">
        <v>21</v>
      </c>
      <c r="B650" t="s">
        <v>30</v>
      </c>
      <c r="C650" t="s">
        <v>47</v>
      </c>
      <c r="D650" t="s">
        <v>56</v>
      </c>
      <c r="E650">
        <v>115874</v>
      </c>
      <c r="F650">
        <v>10289</v>
      </c>
      <c r="G650" t="s">
        <v>64</v>
      </c>
      <c r="J650" t="s">
        <v>78</v>
      </c>
      <c r="K650" t="s">
        <v>90</v>
      </c>
      <c r="L650" t="s">
        <v>138</v>
      </c>
      <c r="M650">
        <v>15</v>
      </c>
      <c r="N650">
        <v>13</v>
      </c>
      <c r="O650" t="s">
        <v>152</v>
      </c>
      <c r="P650" t="s">
        <v>154</v>
      </c>
      <c r="Q650" t="s">
        <v>212</v>
      </c>
    </row>
    <row r="651" spans="1:17" x14ac:dyDescent="0.25">
      <c r="A651" t="s">
        <v>19</v>
      </c>
      <c r="B651" t="s">
        <v>24</v>
      </c>
      <c r="C651" t="s">
        <v>49</v>
      </c>
      <c r="D651" t="s">
        <v>56</v>
      </c>
      <c r="E651">
        <v>97745</v>
      </c>
      <c r="F651">
        <v>10823</v>
      </c>
      <c r="G651" t="s">
        <v>68</v>
      </c>
      <c r="I651" t="s">
        <v>71</v>
      </c>
      <c r="J651" t="s">
        <v>75</v>
      </c>
      <c r="K651" t="s">
        <v>96</v>
      </c>
      <c r="L651" t="s">
        <v>121</v>
      </c>
      <c r="M651">
        <v>8</v>
      </c>
      <c r="N651">
        <v>5</v>
      </c>
      <c r="O651" t="s">
        <v>153</v>
      </c>
      <c r="P651" t="s">
        <v>155</v>
      </c>
      <c r="Q651" t="s">
        <v>165</v>
      </c>
    </row>
    <row r="652" spans="1:17" x14ac:dyDescent="0.25">
      <c r="A652" t="s">
        <v>20</v>
      </c>
      <c r="B652" t="s">
        <v>23</v>
      </c>
      <c r="C652" t="s">
        <v>47</v>
      </c>
      <c r="D652" t="s">
        <v>55</v>
      </c>
      <c r="E652">
        <v>102668</v>
      </c>
      <c r="F652">
        <v>21206</v>
      </c>
      <c r="G652" t="s">
        <v>63</v>
      </c>
      <c r="I652" t="s">
        <v>69</v>
      </c>
      <c r="J652" t="s">
        <v>74</v>
      </c>
      <c r="K652" t="s">
        <v>84</v>
      </c>
      <c r="L652" t="s">
        <v>74</v>
      </c>
      <c r="M652">
        <v>4</v>
      </c>
      <c r="N652">
        <v>4</v>
      </c>
      <c r="O652" t="s">
        <v>149</v>
      </c>
      <c r="P652" t="s">
        <v>156</v>
      </c>
      <c r="Q652" t="s">
        <v>180</v>
      </c>
    </row>
    <row r="653" spans="1:17" x14ac:dyDescent="0.25">
      <c r="A653" t="s">
        <v>20</v>
      </c>
      <c r="B653" t="s">
        <v>24</v>
      </c>
      <c r="C653" t="s">
        <v>50</v>
      </c>
      <c r="D653" t="s">
        <v>55</v>
      </c>
      <c r="E653">
        <v>50470</v>
      </c>
      <c r="F653">
        <v>3342</v>
      </c>
      <c r="G653" t="s">
        <v>64</v>
      </c>
      <c r="J653" t="s">
        <v>75</v>
      </c>
      <c r="K653" t="s">
        <v>85</v>
      </c>
      <c r="L653" t="s">
        <v>114</v>
      </c>
      <c r="M653">
        <v>0</v>
      </c>
      <c r="N653">
        <v>0</v>
      </c>
      <c r="O653" t="s">
        <v>150</v>
      </c>
      <c r="P653" t="s">
        <v>154</v>
      </c>
      <c r="Q653" t="s">
        <v>180</v>
      </c>
    </row>
    <row r="654" spans="1:17" x14ac:dyDescent="0.25">
      <c r="A654" t="s">
        <v>19</v>
      </c>
      <c r="B654" t="s">
        <v>32</v>
      </c>
      <c r="C654" t="s">
        <v>53</v>
      </c>
      <c r="D654" t="s">
        <v>57</v>
      </c>
      <c r="E654">
        <v>85849</v>
      </c>
      <c r="F654">
        <v>0</v>
      </c>
      <c r="G654" t="s">
        <v>64</v>
      </c>
      <c r="I654" t="s">
        <v>71</v>
      </c>
      <c r="J654" t="s">
        <v>78</v>
      </c>
      <c r="K654" t="s">
        <v>90</v>
      </c>
      <c r="L654" t="s">
        <v>138</v>
      </c>
      <c r="M654">
        <v>12</v>
      </c>
      <c r="N654">
        <v>10</v>
      </c>
      <c r="O654" t="s">
        <v>150</v>
      </c>
      <c r="P654" t="s">
        <v>156</v>
      </c>
      <c r="Q654" t="s">
        <v>171</v>
      </c>
    </row>
    <row r="655" spans="1:17" x14ac:dyDescent="0.25">
      <c r="A655" t="s">
        <v>20</v>
      </c>
      <c r="B655" t="s">
        <v>30</v>
      </c>
      <c r="C655" t="s">
        <v>42</v>
      </c>
      <c r="E655">
        <v>34795</v>
      </c>
      <c r="F655">
        <v>1908</v>
      </c>
      <c r="G655" t="s">
        <v>67</v>
      </c>
      <c r="I655" t="s">
        <v>69</v>
      </c>
      <c r="J655" t="s">
        <v>73</v>
      </c>
      <c r="K655" t="s">
        <v>83</v>
      </c>
      <c r="L655" t="s">
        <v>113</v>
      </c>
      <c r="M655">
        <v>1</v>
      </c>
      <c r="N655">
        <v>1</v>
      </c>
      <c r="O655" t="s">
        <v>150</v>
      </c>
      <c r="P655" t="s">
        <v>157</v>
      </c>
      <c r="Q655" t="s">
        <v>166</v>
      </c>
    </row>
    <row r="656" spans="1:17" x14ac:dyDescent="0.25">
      <c r="A656" t="s">
        <v>19</v>
      </c>
      <c r="B656" t="s">
        <v>30</v>
      </c>
      <c r="C656" t="s">
        <v>38</v>
      </c>
      <c r="D656" t="s">
        <v>56</v>
      </c>
      <c r="E656">
        <v>27076</v>
      </c>
      <c r="F656">
        <v>87</v>
      </c>
      <c r="G656" t="s">
        <v>63</v>
      </c>
      <c r="J656" t="s">
        <v>75</v>
      </c>
      <c r="K656" t="s">
        <v>108</v>
      </c>
      <c r="L656" t="s">
        <v>135</v>
      </c>
      <c r="M656">
        <v>2</v>
      </c>
      <c r="N656">
        <v>1</v>
      </c>
      <c r="O656" t="s">
        <v>149</v>
      </c>
      <c r="P656" t="s">
        <v>157</v>
      </c>
      <c r="Q656" t="s">
        <v>297</v>
      </c>
    </row>
    <row r="657" spans="1:17" x14ac:dyDescent="0.25">
      <c r="A657" t="s">
        <v>20</v>
      </c>
      <c r="B657" t="s">
        <v>22</v>
      </c>
      <c r="C657" t="s">
        <v>40</v>
      </c>
      <c r="D657" t="s">
        <v>55</v>
      </c>
      <c r="E657">
        <v>90704</v>
      </c>
      <c r="F657">
        <v>5973</v>
      </c>
      <c r="G657" t="s">
        <v>63</v>
      </c>
      <c r="I657" t="s">
        <v>71</v>
      </c>
      <c r="J657" t="s">
        <v>79</v>
      </c>
      <c r="K657" t="s">
        <v>107</v>
      </c>
      <c r="L657" t="s">
        <v>134</v>
      </c>
      <c r="M657">
        <v>4</v>
      </c>
      <c r="N657">
        <v>4</v>
      </c>
      <c r="O657" t="s">
        <v>151</v>
      </c>
      <c r="P657" t="s">
        <v>155</v>
      </c>
      <c r="Q657" t="s">
        <v>162</v>
      </c>
    </row>
    <row r="658" spans="1:17" x14ac:dyDescent="0.25">
      <c r="A658" t="s">
        <v>19</v>
      </c>
      <c r="B658" t="s">
        <v>27</v>
      </c>
      <c r="C658" t="s">
        <v>46</v>
      </c>
      <c r="D658" t="s">
        <v>60</v>
      </c>
      <c r="E658">
        <v>85387</v>
      </c>
      <c r="F658">
        <v>3125</v>
      </c>
      <c r="G658" t="s">
        <v>68</v>
      </c>
      <c r="I658" t="s">
        <v>69</v>
      </c>
      <c r="J658" t="s">
        <v>73</v>
      </c>
      <c r="K658" t="s">
        <v>102</v>
      </c>
      <c r="L658" t="s">
        <v>102</v>
      </c>
      <c r="M658">
        <v>2</v>
      </c>
      <c r="N658">
        <v>2</v>
      </c>
      <c r="O658" t="s">
        <v>149</v>
      </c>
      <c r="P658" t="s">
        <v>157</v>
      </c>
      <c r="Q658" t="s">
        <v>229</v>
      </c>
    </row>
    <row r="659" spans="1:17" x14ac:dyDescent="0.25">
      <c r="A659" t="s">
        <v>17</v>
      </c>
      <c r="B659" t="s">
        <v>34</v>
      </c>
      <c r="C659" t="s">
        <v>47</v>
      </c>
      <c r="D659" t="s">
        <v>58</v>
      </c>
      <c r="E659">
        <v>16131</v>
      </c>
      <c r="F659">
        <v>1723</v>
      </c>
      <c r="G659" t="s">
        <v>66</v>
      </c>
      <c r="I659" t="s">
        <v>70</v>
      </c>
      <c r="J659" t="s">
        <v>79</v>
      </c>
      <c r="K659" t="s">
        <v>91</v>
      </c>
      <c r="L659" t="s">
        <v>118</v>
      </c>
      <c r="M659">
        <v>15</v>
      </c>
      <c r="N659">
        <v>13</v>
      </c>
      <c r="O659" t="s">
        <v>149</v>
      </c>
      <c r="P659" t="s">
        <v>157</v>
      </c>
      <c r="Q659" t="s">
        <v>169</v>
      </c>
    </row>
    <row r="660" spans="1:17" x14ac:dyDescent="0.25">
      <c r="A660" t="s">
        <v>20</v>
      </c>
      <c r="B660" t="s">
        <v>34</v>
      </c>
      <c r="C660" t="s">
        <v>40</v>
      </c>
      <c r="D660" t="s">
        <v>58</v>
      </c>
      <c r="E660">
        <v>43665</v>
      </c>
      <c r="F660">
        <v>0</v>
      </c>
      <c r="G660" t="s">
        <v>67</v>
      </c>
      <c r="I660" t="s">
        <v>71</v>
      </c>
      <c r="J660" t="s">
        <v>80</v>
      </c>
      <c r="K660" t="s">
        <v>93</v>
      </c>
      <c r="L660" t="s">
        <v>93</v>
      </c>
      <c r="M660">
        <v>3</v>
      </c>
      <c r="N660">
        <v>1</v>
      </c>
      <c r="O660" t="s">
        <v>149</v>
      </c>
      <c r="P660" t="s">
        <v>155</v>
      </c>
      <c r="Q660" t="s">
        <v>169</v>
      </c>
    </row>
    <row r="661" spans="1:17" x14ac:dyDescent="0.25">
      <c r="A661" t="s">
        <v>17</v>
      </c>
      <c r="B661" t="s">
        <v>25</v>
      </c>
      <c r="C661" t="s">
        <v>45</v>
      </c>
      <c r="D661" t="s">
        <v>55</v>
      </c>
      <c r="E661">
        <v>134595</v>
      </c>
      <c r="F661">
        <v>9827</v>
      </c>
      <c r="G661" t="s">
        <v>63</v>
      </c>
      <c r="I661" t="s">
        <v>69</v>
      </c>
      <c r="J661" t="s">
        <v>81</v>
      </c>
      <c r="K661" t="s">
        <v>94</v>
      </c>
      <c r="L661" t="s">
        <v>129</v>
      </c>
      <c r="M661">
        <v>20</v>
      </c>
      <c r="N661">
        <v>20</v>
      </c>
      <c r="O661" t="s">
        <v>150</v>
      </c>
      <c r="P661" t="s">
        <v>157</v>
      </c>
      <c r="Q661" t="s">
        <v>162</v>
      </c>
    </row>
    <row r="662" spans="1:17" x14ac:dyDescent="0.25">
      <c r="A662" t="s">
        <v>19</v>
      </c>
      <c r="B662" t="s">
        <v>31</v>
      </c>
      <c r="C662" t="s">
        <v>46</v>
      </c>
      <c r="D662" t="s">
        <v>60</v>
      </c>
      <c r="E662">
        <v>52725</v>
      </c>
      <c r="F662">
        <v>6571</v>
      </c>
      <c r="G662" t="s">
        <v>63</v>
      </c>
      <c r="I662" t="s">
        <v>70</v>
      </c>
      <c r="J662" t="s">
        <v>72</v>
      </c>
      <c r="K662" t="s">
        <v>95</v>
      </c>
      <c r="L662" t="s">
        <v>120</v>
      </c>
      <c r="M662">
        <v>2</v>
      </c>
      <c r="N662">
        <v>0</v>
      </c>
      <c r="O662" t="s">
        <v>148</v>
      </c>
      <c r="P662" t="s">
        <v>155</v>
      </c>
      <c r="Q662" t="s">
        <v>380</v>
      </c>
    </row>
    <row r="663" spans="1:17" x14ac:dyDescent="0.25">
      <c r="A663" t="s">
        <v>18</v>
      </c>
      <c r="B663" t="s">
        <v>32</v>
      </c>
      <c r="C663" t="s">
        <v>48</v>
      </c>
      <c r="D663" t="s">
        <v>61</v>
      </c>
      <c r="E663">
        <v>1150944</v>
      </c>
      <c r="F663">
        <v>0</v>
      </c>
      <c r="G663" t="s">
        <v>66</v>
      </c>
      <c r="I663" t="s">
        <v>69</v>
      </c>
      <c r="J663" t="s">
        <v>72</v>
      </c>
      <c r="K663" t="s">
        <v>95</v>
      </c>
      <c r="L663" t="s">
        <v>120</v>
      </c>
      <c r="M663">
        <v>0</v>
      </c>
      <c r="N663">
        <v>0</v>
      </c>
      <c r="O663" t="s">
        <v>148</v>
      </c>
      <c r="P663" t="s">
        <v>157</v>
      </c>
      <c r="Q663" t="s">
        <v>180</v>
      </c>
    </row>
    <row r="664" spans="1:17" x14ac:dyDescent="0.25">
      <c r="A664" t="s">
        <v>20</v>
      </c>
      <c r="B664" t="s">
        <v>34</v>
      </c>
      <c r="C664" t="s">
        <v>43</v>
      </c>
      <c r="D664" t="s">
        <v>54</v>
      </c>
      <c r="E664">
        <v>95033</v>
      </c>
      <c r="F664">
        <v>0</v>
      </c>
      <c r="G664" t="s">
        <v>64</v>
      </c>
      <c r="I664" t="s">
        <v>70</v>
      </c>
      <c r="J664" t="s">
        <v>77</v>
      </c>
      <c r="K664" t="s">
        <v>97</v>
      </c>
      <c r="L664" t="s">
        <v>122</v>
      </c>
      <c r="M664">
        <v>3</v>
      </c>
      <c r="N664">
        <v>3</v>
      </c>
      <c r="O664" t="s">
        <v>152</v>
      </c>
      <c r="P664" t="s">
        <v>157</v>
      </c>
      <c r="Q664" t="s">
        <v>173</v>
      </c>
    </row>
    <row r="665" spans="1:17" x14ac:dyDescent="0.25">
      <c r="A665" t="s">
        <v>17</v>
      </c>
      <c r="B665" t="s">
        <v>30</v>
      </c>
      <c r="C665" t="s">
        <v>49</v>
      </c>
      <c r="D665" t="s">
        <v>59</v>
      </c>
      <c r="E665">
        <v>84364</v>
      </c>
      <c r="F665">
        <v>2785</v>
      </c>
      <c r="G665" t="s">
        <v>68</v>
      </c>
      <c r="J665" t="s">
        <v>78</v>
      </c>
      <c r="K665" t="s">
        <v>104</v>
      </c>
      <c r="L665" t="s">
        <v>131</v>
      </c>
      <c r="M665">
        <v>9</v>
      </c>
      <c r="N665">
        <v>9</v>
      </c>
      <c r="O665" t="s">
        <v>149</v>
      </c>
      <c r="P665" t="s">
        <v>156</v>
      </c>
      <c r="Q665" t="s">
        <v>165</v>
      </c>
    </row>
    <row r="666" spans="1:17" x14ac:dyDescent="0.25">
      <c r="A666" t="s">
        <v>19</v>
      </c>
      <c r="B666" t="s">
        <v>32</v>
      </c>
      <c r="C666" t="s">
        <v>44</v>
      </c>
      <c r="D666" t="s">
        <v>57</v>
      </c>
      <c r="E666">
        <v>288169</v>
      </c>
      <c r="F666">
        <v>52265</v>
      </c>
      <c r="G666" t="s">
        <v>66</v>
      </c>
      <c r="I666" t="s">
        <v>70</v>
      </c>
      <c r="J666" t="s">
        <v>72</v>
      </c>
      <c r="K666" t="s">
        <v>95</v>
      </c>
      <c r="L666" t="s">
        <v>120</v>
      </c>
      <c r="M666">
        <v>7</v>
      </c>
      <c r="N666">
        <v>5</v>
      </c>
      <c r="O666" t="s">
        <v>150</v>
      </c>
      <c r="P666" t="s">
        <v>154</v>
      </c>
      <c r="Q666" t="s">
        <v>173</v>
      </c>
    </row>
    <row r="667" spans="1:17" x14ac:dyDescent="0.25">
      <c r="A667" t="s">
        <v>18</v>
      </c>
      <c r="B667" t="s">
        <v>23</v>
      </c>
      <c r="C667" t="s">
        <v>41</v>
      </c>
      <c r="E667">
        <v>96927</v>
      </c>
      <c r="F667">
        <v>2138</v>
      </c>
      <c r="G667" t="s">
        <v>67</v>
      </c>
      <c r="I667" t="s">
        <v>69</v>
      </c>
      <c r="J667" t="s">
        <v>77</v>
      </c>
      <c r="K667" t="s">
        <v>87</v>
      </c>
      <c r="L667" t="s">
        <v>144</v>
      </c>
      <c r="M667">
        <v>0</v>
      </c>
      <c r="N667">
        <v>0</v>
      </c>
      <c r="O667" t="s">
        <v>149</v>
      </c>
      <c r="P667" t="s">
        <v>155</v>
      </c>
      <c r="Q667" t="s">
        <v>196</v>
      </c>
    </row>
    <row r="668" spans="1:17" x14ac:dyDescent="0.25">
      <c r="A668" t="s">
        <v>17</v>
      </c>
      <c r="B668" t="s">
        <v>23</v>
      </c>
      <c r="C668" t="s">
        <v>46</v>
      </c>
      <c r="D668" t="s">
        <v>62</v>
      </c>
      <c r="E668">
        <v>93200</v>
      </c>
      <c r="F668">
        <v>13089</v>
      </c>
      <c r="G668" t="s">
        <v>65</v>
      </c>
      <c r="I668" t="s">
        <v>69</v>
      </c>
      <c r="J668" t="s">
        <v>72</v>
      </c>
      <c r="K668" t="s">
        <v>95</v>
      </c>
      <c r="L668" t="s">
        <v>120</v>
      </c>
      <c r="M668">
        <v>15</v>
      </c>
      <c r="N668">
        <v>13</v>
      </c>
      <c r="O668" t="s">
        <v>150</v>
      </c>
      <c r="P668" t="s">
        <v>154</v>
      </c>
      <c r="Q668" t="s">
        <v>211</v>
      </c>
    </row>
    <row r="669" spans="1:17" x14ac:dyDescent="0.25">
      <c r="A669" t="s">
        <v>19</v>
      </c>
      <c r="B669" t="s">
        <v>34</v>
      </c>
      <c r="C669" t="s">
        <v>43</v>
      </c>
      <c r="D669" t="s">
        <v>60</v>
      </c>
      <c r="E669">
        <v>54073</v>
      </c>
      <c r="F669">
        <v>1846</v>
      </c>
      <c r="G669" t="s">
        <v>63</v>
      </c>
      <c r="I669" t="s">
        <v>56</v>
      </c>
      <c r="J669" t="s">
        <v>73</v>
      </c>
      <c r="K669" t="s">
        <v>102</v>
      </c>
      <c r="L669" t="s">
        <v>102</v>
      </c>
      <c r="M669">
        <v>12</v>
      </c>
      <c r="N669">
        <v>12</v>
      </c>
      <c r="O669" t="s">
        <v>149</v>
      </c>
      <c r="P669" t="s">
        <v>154</v>
      </c>
      <c r="Q669" t="s">
        <v>209</v>
      </c>
    </row>
    <row r="670" spans="1:17" x14ac:dyDescent="0.25">
      <c r="A670" t="s">
        <v>18</v>
      </c>
      <c r="B670" t="s">
        <v>29</v>
      </c>
      <c r="C670" t="s">
        <v>36</v>
      </c>
      <c r="D670" t="s">
        <v>58</v>
      </c>
      <c r="E670">
        <v>101889</v>
      </c>
      <c r="F670">
        <v>6054</v>
      </c>
      <c r="G670" t="s">
        <v>64</v>
      </c>
      <c r="I670" t="s">
        <v>56</v>
      </c>
      <c r="J670" t="s">
        <v>81</v>
      </c>
      <c r="K670" t="s">
        <v>103</v>
      </c>
      <c r="L670" t="s">
        <v>140</v>
      </c>
      <c r="M670">
        <v>0</v>
      </c>
      <c r="N670">
        <v>0</v>
      </c>
      <c r="O670" t="s">
        <v>149</v>
      </c>
      <c r="P670" t="s">
        <v>156</v>
      </c>
      <c r="Q670" t="s">
        <v>381</v>
      </c>
    </row>
    <row r="671" spans="1:17" x14ac:dyDescent="0.25">
      <c r="A671" t="s">
        <v>19</v>
      </c>
      <c r="B671" t="s">
        <v>28</v>
      </c>
      <c r="C671" t="s">
        <v>45</v>
      </c>
      <c r="D671" t="s">
        <v>61</v>
      </c>
      <c r="E671">
        <v>810754</v>
      </c>
      <c r="F671">
        <v>79691</v>
      </c>
      <c r="G671" t="s">
        <v>66</v>
      </c>
      <c r="I671" t="s">
        <v>69</v>
      </c>
      <c r="J671" t="s">
        <v>78</v>
      </c>
      <c r="K671" t="s">
        <v>88</v>
      </c>
      <c r="L671" t="s">
        <v>128</v>
      </c>
      <c r="M671">
        <v>12</v>
      </c>
      <c r="N671">
        <v>9</v>
      </c>
      <c r="O671" t="s">
        <v>151</v>
      </c>
      <c r="P671" t="s">
        <v>154</v>
      </c>
      <c r="Q671" t="s">
        <v>243</v>
      </c>
    </row>
    <row r="672" spans="1:17" x14ac:dyDescent="0.25">
      <c r="A672" t="s">
        <v>19</v>
      </c>
      <c r="B672" t="s">
        <v>28</v>
      </c>
      <c r="C672" t="s">
        <v>37</v>
      </c>
      <c r="D672" t="s">
        <v>60</v>
      </c>
      <c r="E672">
        <v>158659</v>
      </c>
      <c r="F672">
        <v>4326</v>
      </c>
      <c r="G672" t="s">
        <v>64</v>
      </c>
      <c r="I672" t="s">
        <v>71</v>
      </c>
      <c r="J672" t="s">
        <v>75</v>
      </c>
      <c r="K672" t="s">
        <v>96</v>
      </c>
      <c r="L672" t="s">
        <v>121</v>
      </c>
      <c r="M672">
        <v>18</v>
      </c>
      <c r="N672">
        <v>18</v>
      </c>
      <c r="O672" t="s">
        <v>148</v>
      </c>
      <c r="P672" t="s">
        <v>155</v>
      </c>
      <c r="Q672" t="s">
        <v>238</v>
      </c>
    </row>
    <row r="673" spans="1:17" x14ac:dyDescent="0.25">
      <c r="A673" t="s">
        <v>17</v>
      </c>
      <c r="B673" t="s">
        <v>34</v>
      </c>
      <c r="C673" t="s">
        <v>39</v>
      </c>
      <c r="D673" t="s">
        <v>55</v>
      </c>
      <c r="E673">
        <v>1257501</v>
      </c>
      <c r="F673">
        <v>54729</v>
      </c>
      <c r="G673" t="s">
        <v>66</v>
      </c>
      <c r="I673" t="s">
        <v>56</v>
      </c>
      <c r="J673" t="s">
        <v>81</v>
      </c>
      <c r="K673" t="s">
        <v>98</v>
      </c>
      <c r="L673" t="s">
        <v>123</v>
      </c>
      <c r="M673">
        <v>9</v>
      </c>
      <c r="N673">
        <v>8</v>
      </c>
      <c r="O673" t="s">
        <v>149</v>
      </c>
      <c r="P673" t="s">
        <v>156</v>
      </c>
      <c r="Q673" t="s">
        <v>188</v>
      </c>
    </row>
    <row r="674" spans="1:17" x14ac:dyDescent="0.25">
      <c r="A674" t="s">
        <v>20</v>
      </c>
      <c r="B674" t="s">
        <v>30</v>
      </c>
      <c r="C674" t="s">
        <v>46</v>
      </c>
      <c r="D674" t="s">
        <v>54</v>
      </c>
      <c r="E674">
        <v>58371</v>
      </c>
      <c r="F674">
        <v>11737</v>
      </c>
      <c r="G674" t="s">
        <v>68</v>
      </c>
      <c r="I674" t="s">
        <v>56</v>
      </c>
      <c r="J674" t="s">
        <v>76</v>
      </c>
      <c r="K674" t="s">
        <v>100</v>
      </c>
      <c r="L674" t="s">
        <v>132</v>
      </c>
      <c r="M674">
        <v>0</v>
      </c>
      <c r="N674">
        <v>0</v>
      </c>
      <c r="O674" t="s">
        <v>148</v>
      </c>
      <c r="P674" t="s">
        <v>157</v>
      </c>
      <c r="Q674" t="s">
        <v>298</v>
      </c>
    </row>
    <row r="675" spans="1:17" x14ac:dyDescent="0.25">
      <c r="A675" t="s">
        <v>20</v>
      </c>
      <c r="B675" t="s">
        <v>23</v>
      </c>
      <c r="C675" t="s">
        <v>36</v>
      </c>
      <c r="E675">
        <v>136343</v>
      </c>
      <c r="F675">
        <v>15042</v>
      </c>
      <c r="G675" t="s">
        <v>67</v>
      </c>
      <c r="I675" t="s">
        <v>56</v>
      </c>
      <c r="J675" t="s">
        <v>73</v>
      </c>
      <c r="K675" t="s">
        <v>99</v>
      </c>
      <c r="L675" t="s">
        <v>125</v>
      </c>
      <c r="M675">
        <v>0</v>
      </c>
      <c r="N675">
        <v>0</v>
      </c>
      <c r="O675" t="s">
        <v>151</v>
      </c>
      <c r="P675" t="s">
        <v>154</v>
      </c>
      <c r="Q675" t="s">
        <v>174</v>
      </c>
    </row>
    <row r="676" spans="1:17" x14ac:dyDescent="0.25">
      <c r="A676" t="s">
        <v>19</v>
      </c>
      <c r="B676" t="s">
        <v>29</v>
      </c>
      <c r="C676" t="s">
        <v>45</v>
      </c>
      <c r="D676" t="s">
        <v>55</v>
      </c>
      <c r="E676">
        <v>74509</v>
      </c>
      <c r="F676">
        <v>21994</v>
      </c>
      <c r="G676" t="s">
        <v>63</v>
      </c>
      <c r="I676" t="s">
        <v>69</v>
      </c>
      <c r="J676" t="s">
        <v>78</v>
      </c>
      <c r="K676" t="s">
        <v>104</v>
      </c>
      <c r="L676" t="s">
        <v>131</v>
      </c>
      <c r="M676">
        <v>25</v>
      </c>
      <c r="N676">
        <v>22</v>
      </c>
      <c r="O676" t="s">
        <v>152</v>
      </c>
      <c r="P676" t="s">
        <v>157</v>
      </c>
      <c r="Q676" t="s">
        <v>174</v>
      </c>
    </row>
    <row r="677" spans="1:17" x14ac:dyDescent="0.25">
      <c r="A677" t="s">
        <v>20</v>
      </c>
      <c r="B677" t="s">
        <v>34</v>
      </c>
      <c r="C677" t="s">
        <v>45</v>
      </c>
      <c r="D677" t="s">
        <v>55</v>
      </c>
      <c r="E677">
        <v>44599</v>
      </c>
      <c r="F677">
        <v>1203</v>
      </c>
      <c r="G677" t="s">
        <v>68</v>
      </c>
      <c r="I677" t="s">
        <v>69</v>
      </c>
      <c r="J677" t="s">
        <v>80</v>
      </c>
      <c r="K677" t="s">
        <v>93</v>
      </c>
      <c r="L677" t="s">
        <v>93</v>
      </c>
      <c r="M677">
        <v>1</v>
      </c>
      <c r="N677">
        <v>1</v>
      </c>
      <c r="O677" t="s">
        <v>150</v>
      </c>
      <c r="P677" t="s">
        <v>154</v>
      </c>
      <c r="Q677" t="s">
        <v>382</v>
      </c>
    </row>
    <row r="678" spans="1:17" x14ac:dyDescent="0.25">
      <c r="A678" t="s">
        <v>19</v>
      </c>
      <c r="B678" t="s">
        <v>31</v>
      </c>
      <c r="C678" t="s">
        <v>44</v>
      </c>
      <c r="D678" t="s">
        <v>54</v>
      </c>
      <c r="E678">
        <v>79783</v>
      </c>
      <c r="F678">
        <v>6795</v>
      </c>
      <c r="G678" t="s">
        <v>63</v>
      </c>
      <c r="I678" t="s">
        <v>69</v>
      </c>
      <c r="J678" t="s">
        <v>78</v>
      </c>
      <c r="K678" t="s">
        <v>109</v>
      </c>
      <c r="L678" t="s">
        <v>137</v>
      </c>
      <c r="M678">
        <v>10</v>
      </c>
      <c r="N678">
        <v>10</v>
      </c>
      <c r="O678" t="s">
        <v>148</v>
      </c>
      <c r="P678" t="s">
        <v>156</v>
      </c>
      <c r="Q678" t="s">
        <v>383</v>
      </c>
    </row>
    <row r="679" spans="1:17" x14ac:dyDescent="0.25">
      <c r="A679" t="s">
        <v>20</v>
      </c>
      <c r="B679" t="s">
        <v>22</v>
      </c>
      <c r="C679" t="s">
        <v>38</v>
      </c>
      <c r="D679" t="s">
        <v>56</v>
      </c>
      <c r="E679">
        <v>134132</v>
      </c>
      <c r="F679">
        <v>31519</v>
      </c>
      <c r="G679" t="s">
        <v>67</v>
      </c>
      <c r="I679" t="s">
        <v>56</v>
      </c>
      <c r="J679" t="s">
        <v>81</v>
      </c>
      <c r="K679" t="s">
        <v>101</v>
      </c>
      <c r="L679" t="s">
        <v>127</v>
      </c>
      <c r="M679">
        <v>0</v>
      </c>
      <c r="N679">
        <v>0</v>
      </c>
      <c r="O679" t="s">
        <v>150</v>
      </c>
      <c r="P679" t="s">
        <v>156</v>
      </c>
      <c r="Q679" t="s">
        <v>180</v>
      </c>
    </row>
    <row r="680" spans="1:17" x14ac:dyDescent="0.25">
      <c r="A680" t="s">
        <v>19</v>
      </c>
      <c r="B680" t="s">
        <v>25</v>
      </c>
      <c r="C680" t="s">
        <v>49</v>
      </c>
      <c r="D680" t="s">
        <v>56</v>
      </c>
      <c r="E680">
        <v>116965</v>
      </c>
      <c r="F680">
        <v>4136</v>
      </c>
      <c r="G680" t="s">
        <v>63</v>
      </c>
      <c r="I680" t="s">
        <v>69</v>
      </c>
      <c r="J680" t="s">
        <v>72</v>
      </c>
      <c r="K680" t="s">
        <v>95</v>
      </c>
      <c r="L680" t="s">
        <v>120</v>
      </c>
      <c r="M680">
        <v>8</v>
      </c>
      <c r="N680">
        <v>7</v>
      </c>
      <c r="O680" t="s">
        <v>150</v>
      </c>
      <c r="P680" t="s">
        <v>154</v>
      </c>
      <c r="Q680" t="s">
        <v>384</v>
      </c>
    </row>
    <row r="681" spans="1:17" x14ac:dyDescent="0.25">
      <c r="A681" t="s">
        <v>21</v>
      </c>
      <c r="B681" t="s">
        <v>26</v>
      </c>
      <c r="C681" t="s">
        <v>42</v>
      </c>
      <c r="E681">
        <v>84204</v>
      </c>
      <c r="F681">
        <v>2300</v>
      </c>
      <c r="G681" t="s">
        <v>64</v>
      </c>
      <c r="I681" t="s">
        <v>71</v>
      </c>
      <c r="J681" t="s">
        <v>75</v>
      </c>
      <c r="K681" t="s">
        <v>85</v>
      </c>
      <c r="L681" t="s">
        <v>114</v>
      </c>
      <c r="M681">
        <v>12</v>
      </c>
      <c r="N681">
        <v>11</v>
      </c>
      <c r="O681" t="s">
        <v>149</v>
      </c>
      <c r="P681" t="s">
        <v>156</v>
      </c>
      <c r="Q681" t="s">
        <v>198</v>
      </c>
    </row>
    <row r="682" spans="1:17" x14ac:dyDescent="0.25">
      <c r="A682" t="s">
        <v>19</v>
      </c>
      <c r="B682" t="s">
        <v>23</v>
      </c>
      <c r="C682" t="s">
        <v>49</v>
      </c>
      <c r="D682" t="s">
        <v>58</v>
      </c>
      <c r="E682">
        <v>825712</v>
      </c>
      <c r="F682">
        <v>61543</v>
      </c>
      <c r="G682" t="s">
        <v>66</v>
      </c>
      <c r="I682" t="s">
        <v>70</v>
      </c>
      <c r="J682" t="s">
        <v>80</v>
      </c>
      <c r="K682" t="s">
        <v>106</v>
      </c>
      <c r="L682" t="s">
        <v>106</v>
      </c>
      <c r="M682">
        <v>7</v>
      </c>
      <c r="N682">
        <v>7</v>
      </c>
      <c r="O682" t="s">
        <v>150</v>
      </c>
      <c r="P682" t="s">
        <v>157</v>
      </c>
      <c r="Q682" t="s">
        <v>172</v>
      </c>
    </row>
    <row r="683" spans="1:17" x14ac:dyDescent="0.25">
      <c r="A683" t="s">
        <v>17</v>
      </c>
      <c r="B683" t="s">
        <v>28</v>
      </c>
      <c r="C683" t="s">
        <v>37</v>
      </c>
      <c r="E683">
        <v>42746</v>
      </c>
      <c r="F683">
        <v>1674</v>
      </c>
      <c r="G683" t="s">
        <v>64</v>
      </c>
      <c r="I683" t="s">
        <v>69</v>
      </c>
      <c r="J683" t="s">
        <v>81</v>
      </c>
      <c r="K683" t="s">
        <v>103</v>
      </c>
      <c r="L683" t="s">
        <v>140</v>
      </c>
      <c r="M683">
        <v>20</v>
      </c>
      <c r="N683">
        <v>17</v>
      </c>
      <c r="O683" t="s">
        <v>152</v>
      </c>
      <c r="P683" t="s">
        <v>155</v>
      </c>
      <c r="Q683" t="s">
        <v>385</v>
      </c>
    </row>
    <row r="684" spans="1:17" x14ac:dyDescent="0.25">
      <c r="A684" t="s">
        <v>20</v>
      </c>
      <c r="B684" t="s">
        <v>35</v>
      </c>
      <c r="C684" t="s">
        <v>36</v>
      </c>
      <c r="D684" t="s">
        <v>54</v>
      </c>
      <c r="E684">
        <v>55931</v>
      </c>
      <c r="F684">
        <v>0</v>
      </c>
      <c r="G684" t="s">
        <v>65</v>
      </c>
      <c r="I684" t="s">
        <v>56</v>
      </c>
      <c r="J684" t="s">
        <v>80</v>
      </c>
      <c r="K684" t="s">
        <v>93</v>
      </c>
      <c r="L684" t="s">
        <v>93</v>
      </c>
      <c r="M684">
        <v>3</v>
      </c>
      <c r="N684">
        <v>3</v>
      </c>
      <c r="O684" t="s">
        <v>150</v>
      </c>
      <c r="P684" t="s">
        <v>154</v>
      </c>
      <c r="Q684" t="s">
        <v>386</v>
      </c>
    </row>
    <row r="685" spans="1:17" x14ac:dyDescent="0.25">
      <c r="A685" t="s">
        <v>18</v>
      </c>
      <c r="B685" t="s">
        <v>27</v>
      </c>
      <c r="C685" t="s">
        <v>45</v>
      </c>
      <c r="D685" t="s">
        <v>60</v>
      </c>
      <c r="E685">
        <v>117660</v>
      </c>
      <c r="F685">
        <v>672</v>
      </c>
      <c r="G685" t="s">
        <v>68</v>
      </c>
      <c r="I685" t="s">
        <v>71</v>
      </c>
      <c r="J685" t="s">
        <v>72</v>
      </c>
      <c r="K685" t="s">
        <v>95</v>
      </c>
      <c r="L685" t="s">
        <v>120</v>
      </c>
      <c r="M685">
        <v>1</v>
      </c>
      <c r="N685">
        <v>1</v>
      </c>
      <c r="O685" t="s">
        <v>153</v>
      </c>
      <c r="P685" t="s">
        <v>155</v>
      </c>
      <c r="Q685" t="s">
        <v>173</v>
      </c>
    </row>
    <row r="686" spans="1:17" x14ac:dyDescent="0.25">
      <c r="A686" t="s">
        <v>20</v>
      </c>
      <c r="B686" t="s">
        <v>27</v>
      </c>
      <c r="C686" t="s">
        <v>42</v>
      </c>
      <c r="D686" t="s">
        <v>58</v>
      </c>
      <c r="E686">
        <v>92700</v>
      </c>
      <c r="F686">
        <v>12180</v>
      </c>
      <c r="G686" t="s">
        <v>67</v>
      </c>
      <c r="I686" t="s">
        <v>70</v>
      </c>
      <c r="J686" t="s">
        <v>75</v>
      </c>
      <c r="K686" t="s">
        <v>96</v>
      </c>
      <c r="L686" t="s">
        <v>121</v>
      </c>
      <c r="M686">
        <v>6</v>
      </c>
      <c r="N686">
        <v>6</v>
      </c>
      <c r="O686" t="s">
        <v>150</v>
      </c>
      <c r="P686" t="s">
        <v>157</v>
      </c>
      <c r="Q686" t="s">
        <v>366</v>
      </c>
    </row>
    <row r="687" spans="1:17" x14ac:dyDescent="0.25">
      <c r="A687" t="s">
        <v>17</v>
      </c>
      <c r="B687" t="s">
        <v>22</v>
      </c>
      <c r="C687" t="s">
        <v>51</v>
      </c>
      <c r="E687">
        <v>65867</v>
      </c>
      <c r="F687">
        <v>1456</v>
      </c>
      <c r="G687" t="s">
        <v>64</v>
      </c>
      <c r="I687" t="s">
        <v>56</v>
      </c>
      <c r="J687" t="s">
        <v>72</v>
      </c>
      <c r="K687" t="s">
        <v>82</v>
      </c>
      <c r="L687" t="s">
        <v>112</v>
      </c>
      <c r="M687">
        <v>9</v>
      </c>
      <c r="N687">
        <v>6</v>
      </c>
      <c r="O687" t="s">
        <v>151</v>
      </c>
      <c r="P687" t="s">
        <v>156</v>
      </c>
      <c r="Q687" t="s">
        <v>387</v>
      </c>
    </row>
    <row r="688" spans="1:17" x14ac:dyDescent="0.25">
      <c r="A688" t="s">
        <v>19</v>
      </c>
      <c r="B688" t="s">
        <v>25</v>
      </c>
      <c r="C688" t="s">
        <v>38</v>
      </c>
      <c r="D688" t="s">
        <v>59</v>
      </c>
      <c r="E688">
        <v>71625</v>
      </c>
      <c r="F688">
        <v>1053</v>
      </c>
      <c r="G688" t="s">
        <v>67</v>
      </c>
      <c r="I688" t="s">
        <v>69</v>
      </c>
      <c r="J688" t="s">
        <v>72</v>
      </c>
      <c r="K688" t="s">
        <v>82</v>
      </c>
      <c r="L688" t="s">
        <v>112</v>
      </c>
      <c r="M688">
        <v>15</v>
      </c>
      <c r="N688">
        <v>15</v>
      </c>
      <c r="O688" t="s">
        <v>149</v>
      </c>
      <c r="P688" t="s">
        <v>157</v>
      </c>
      <c r="Q688" t="s">
        <v>388</v>
      </c>
    </row>
    <row r="689" spans="1:17" x14ac:dyDescent="0.25">
      <c r="A689" t="s">
        <v>20</v>
      </c>
      <c r="B689" t="s">
        <v>31</v>
      </c>
      <c r="C689" t="s">
        <v>37</v>
      </c>
      <c r="D689" t="s">
        <v>58</v>
      </c>
      <c r="E689">
        <v>63813</v>
      </c>
      <c r="F689">
        <v>2495</v>
      </c>
      <c r="G689" t="s">
        <v>68</v>
      </c>
      <c r="J689" t="s">
        <v>73</v>
      </c>
      <c r="K689" t="s">
        <v>102</v>
      </c>
      <c r="L689" t="s">
        <v>102</v>
      </c>
      <c r="M689">
        <v>1</v>
      </c>
      <c r="N689">
        <v>1</v>
      </c>
      <c r="O689" t="s">
        <v>149</v>
      </c>
      <c r="P689" t="s">
        <v>155</v>
      </c>
      <c r="Q689" t="s">
        <v>207</v>
      </c>
    </row>
    <row r="690" spans="1:17" x14ac:dyDescent="0.25">
      <c r="A690" t="s">
        <v>20</v>
      </c>
      <c r="B690" t="s">
        <v>27</v>
      </c>
      <c r="C690" t="s">
        <v>44</v>
      </c>
      <c r="D690" t="s">
        <v>62</v>
      </c>
      <c r="E690">
        <v>69719</v>
      </c>
      <c r="F690">
        <v>16968</v>
      </c>
      <c r="G690" t="s">
        <v>65</v>
      </c>
      <c r="I690" t="s">
        <v>69</v>
      </c>
      <c r="J690" t="s">
        <v>72</v>
      </c>
      <c r="K690" t="s">
        <v>95</v>
      </c>
      <c r="L690" t="s">
        <v>120</v>
      </c>
      <c r="M690">
        <v>7</v>
      </c>
      <c r="N690">
        <v>4</v>
      </c>
      <c r="O690" t="s">
        <v>150</v>
      </c>
      <c r="P690" t="s">
        <v>154</v>
      </c>
      <c r="Q690" t="s">
        <v>175</v>
      </c>
    </row>
    <row r="691" spans="1:17" x14ac:dyDescent="0.25">
      <c r="A691" t="s">
        <v>17</v>
      </c>
      <c r="B691" t="s">
        <v>32</v>
      </c>
      <c r="C691" t="s">
        <v>53</v>
      </c>
      <c r="D691" t="s">
        <v>60</v>
      </c>
      <c r="E691">
        <v>102557</v>
      </c>
      <c r="F691">
        <v>0</v>
      </c>
      <c r="G691" t="s">
        <v>65</v>
      </c>
      <c r="I691" t="s">
        <v>56</v>
      </c>
      <c r="J691" t="s">
        <v>80</v>
      </c>
      <c r="K691" t="s">
        <v>106</v>
      </c>
      <c r="L691" t="s">
        <v>106</v>
      </c>
      <c r="M691">
        <v>15</v>
      </c>
      <c r="N691">
        <v>12</v>
      </c>
      <c r="O691" t="s">
        <v>148</v>
      </c>
      <c r="P691" t="s">
        <v>156</v>
      </c>
      <c r="Q691" t="s">
        <v>216</v>
      </c>
    </row>
    <row r="692" spans="1:17" x14ac:dyDescent="0.25">
      <c r="A692" t="s">
        <v>17</v>
      </c>
      <c r="B692" t="s">
        <v>23</v>
      </c>
      <c r="C692" t="s">
        <v>40</v>
      </c>
      <c r="D692" t="s">
        <v>56</v>
      </c>
      <c r="E692">
        <v>1044670</v>
      </c>
      <c r="F692">
        <v>0</v>
      </c>
      <c r="G692" t="s">
        <v>66</v>
      </c>
      <c r="J692" t="s">
        <v>78</v>
      </c>
      <c r="K692" t="s">
        <v>104</v>
      </c>
      <c r="L692" t="s">
        <v>131</v>
      </c>
      <c r="M692">
        <v>9</v>
      </c>
      <c r="N692">
        <v>7</v>
      </c>
      <c r="O692" t="s">
        <v>151</v>
      </c>
      <c r="P692" t="s">
        <v>154</v>
      </c>
      <c r="Q692" t="s">
        <v>327</v>
      </c>
    </row>
    <row r="693" spans="1:17" x14ac:dyDescent="0.25">
      <c r="A693" t="s">
        <v>18</v>
      </c>
      <c r="B693" t="s">
        <v>34</v>
      </c>
      <c r="C693" t="s">
        <v>49</v>
      </c>
      <c r="E693">
        <v>95393</v>
      </c>
      <c r="F693">
        <v>8798</v>
      </c>
      <c r="G693" t="s">
        <v>64</v>
      </c>
      <c r="I693" t="s">
        <v>70</v>
      </c>
      <c r="J693" t="s">
        <v>81</v>
      </c>
      <c r="K693" t="s">
        <v>101</v>
      </c>
      <c r="L693" t="s">
        <v>127</v>
      </c>
      <c r="M693">
        <v>0</v>
      </c>
      <c r="N693">
        <v>0</v>
      </c>
      <c r="O693" t="s">
        <v>153</v>
      </c>
      <c r="P693" t="s">
        <v>157</v>
      </c>
      <c r="Q693" t="s">
        <v>180</v>
      </c>
    </row>
    <row r="694" spans="1:17" x14ac:dyDescent="0.25">
      <c r="A694" t="s">
        <v>19</v>
      </c>
      <c r="B694" t="s">
        <v>35</v>
      </c>
      <c r="C694" t="s">
        <v>36</v>
      </c>
      <c r="D694" t="s">
        <v>54</v>
      </c>
      <c r="E694">
        <v>91879</v>
      </c>
      <c r="F694">
        <v>8848</v>
      </c>
      <c r="G694" t="s">
        <v>67</v>
      </c>
      <c r="I694" t="s">
        <v>56</v>
      </c>
      <c r="J694" t="s">
        <v>80</v>
      </c>
      <c r="K694" t="s">
        <v>106</v>
      </c>
      <c r="L694" t="s">
        <v>106</v>
      </c>
      <c r="M694">
        <v>2</v>
      </c>
      <c r="N694">
        <v>2</v>
      </c>
      <c r="O694" t="s">
        <v>148</v>
      </c>
      <c r="P694" t="s">
        <v>157</v>
      </c>
      <c r="Q694" t="s">
        <v>193</v>
      </c>
    </row>
    <row r="695" spans="1:17" x14ac:dyDescent="0.25">
      <c r="A695" t="s">
        <v>20</v>
      </c>
      <c r="B695" t="s">
        <v>24</v>
      </c>
      <c r="C695" t="s">
        <v>48</v>
      </c>
      <c r="D695" t="s">
        <v>62</v>
      </c>
      <c r="E695">
        <v>1083601</v>
      </c>
      <c r="F695">
        <v>45777</v>
      </c>
      <c r="G695" t="s">
        <v>66</v>
      </c>
      <c r="J695" t="s">
        <v>79</v>
      </c>
      <c r="K695" t="s">
        <v>91</v>
      </c>
      <c r="L695" t="s">
        <v>118</v>
      </c>
      <c r="M695">
        <v>2</v>
      </c>
      <c r="N695">
        <v>1</v>
      </c>
      <c r="O695" t="s">
        <v>149</v>
      </c>
      <c r="P695" t="s">
        <v>154</v>
      </c>
      <c r="Q695" t="s">
        <v>389</v>
      </c>
    </row>
    <row r="696" spans="1:17" x14ac:dyDescent="0.25">
      <c r="A696" t="s">
        <v>21</v>
      </c>
      <c r="B696" t="s">
        <v>25</v>
      </c>
      <c r="C696" t="s">
        <v>47</v>
      </c>
      <c r="E696">
        <v>95413</v>
      </c>
      <c r="F696">
        <v>21200</v>
      </c>
      <c r="G696" t="s">
        <v>65</v>
      </c>
      <c r="I696" t="s">
        <v>71</v>
      </c>
      <c r="J696" t="s">
        <v>72</v>
      </c>
      <c r="K696" t="s">
        <v>82</v>
      </c>
      <c r="L696" t="s">
        <v>112</v>
      </c>
      <c r="M696">
        <v>18</v>
      </c>
      <c r="N696">
        <v>18</v>
      </c>
      <c r="O696" t="s">
        <v>150</v>
      </c>
      <c r="P696" t="s">
        <v>156</v>
      </c>
      <c r="Q696" t="s">
        <v>216</v>
      </c>
    </row>
    <row r="697" spans="1:17" x14ac:dyDescent="0.25">
      <c r="A697" t="s">
        <v>17</v>
      </c>
      <c r="B697" t="s">
        <v>30</v>
      </c>
      <c r="C697" t="s">
        <v>49</v>
      </c>
      <c r="D697" t="s">
        <v>60</v>
      </c>
      <c r="E697">
        <v>879233</v>
      </c>
      <c r="F697">
        <v>0</v>
      </c>
      <c r="G697" t="s">
        <v>66</v>
      </c>
      <c r="I697" t="s">
        <v>71</v>
      </c>
      <c r="J697" t="s">
        <v>75</v>
      </c>
      <c r="K697" t="s">
        <v>96</v>
      </c>
      <c r="L697" t="s">
        <v>121</v>
      </c>
      <c r="M697">
        <v>9</v>
      </c>
      <c r="N697">
        <v>9</v>
      </c>
      <c r="O697" t="s">
        <v>150</v>
      </c>
      <c r="P697" t="s">
        <v>154</v>
      </c>
      <c r="Q697" t="s">
        <v>162</v>
      </c>
    </row>
    <row r="698" spans="1:17" x14ac:dyDescent="0.25">
      <c r="A698" t="s">
        <v>20</v>
      </c>
      <c r="B698" t="s">
        <v>22</v>
      </c>
      <c r="C698" t="s">
        <v>47</v>
      </c>
      <c r="E698">
        <v>1212737</v>
      </c>
      <c r="F698">
        <v>5538</v>
      </c>
      <c r="G698" t="s">
        <v>66</v>
      </c>
      <c r="J698" t="s">
        <v>80</v>
      </c>
      <c r="K698" t="s">
        <v>106</v>
      </c>
      <c r="L698" t="s">
        <v>106</v>
      </c>
      <c r="M698">
        <v>4</v>
      </c>
      <c r="N698">
        <v>4</v>
      </c>
      <c r="O698" t="s">
        <v>148</v>
      </c>
      <c r="P698" t="s">
        <v>157</v>
      </c>
      <c r="Q698" t="s">
        <v>311</v>
      </c>
    </row>
    <row r="699" spans="1:17" x14ac:dyDescent="0.25">
      <c r="A699" t="s">
        <v>21</v>
      </c>
      <c r="B699" t="s">
        <v>30</v>
      </c>
      <c r="C699" t="s">
        <v>49</v>
      </c>
      <c r="D699" t="s">
        <v>62</v>
      </c>
      <c r="E699">
        <v>87022</v>
      </c>
      <c r="F699">
        <v>8220</v>
      </c>
      <c r="G699" t="s">
        <v>67</v>
      </c>
      <c r="I699" t="s">
        <v>71</v>
      </c>
      <c r="J699" t="s">
        <v>78</v>
      </c>
      <c r="K699" t="s">
        <v>105</v>
      </c>
      <c r="L699" t="s">
        <v>133</v>
      </c>
      <c r="M699">
        <v>20</v>
      </c>
      <c r="N699">
        <v>20</v>
      </c>
      <c r="O699" t="s">
        <v>150</v>
      </c>
      <c r="P699" t="s">
        <v>154</v>
      </c>
      <c r="Q699" t="s">
        <v>176</v>
      </c>
    </row>
    <row r="700" spans="1:17" x14ac:dyDescent="0.25">
      <c r="A700" t="s">
        <v>19</v>
      </c>
      <c r="B700" t="s">
        <v>27</v>
      </c>
      <c r="C700" t="s">
        <v>52</v>
      </c>
      <c r="D700" t="s">
        <v>55</v>
      </c>
      <c r="E700">
        <v>612210</v>
      </c>
      <c r="F700">
        <v>298</v>
      </c>
      <c r="G700" t="s">
        <v>66</v>
      </c>
      <c r="I700" t="s">
        <v>56</v>
      </c>
      <c r="J700" t="s">
        <v>75</v>
      </c>
      <c r="K700" t="s">
        <v>96</v>
      </c>
      <c r="L700" t="s">
        <v>121</v>
      </c>
      <c r="M700">
        <v>8</v>
      </c>
      <c r="N700">
        <v>6</v>
      </c>
      <c r="O700" t="s">
        <v>151</v>
      </c>
      <c r="P700" t="s">
        <v>157</v>
      </c>
      <c r="Q700" t="s">
        <v>170</v>
      </c>
    </row>
    <row r="701" spans="1:17" x14ac:dyDescent="0.25">
      <c r="A701" t="s">
        <v>18</v>
      </c>
      <c r="B701" t="s">
        <v>34</v>
      </c>
      <c r="C701" t="s">
        <v>39</v>
      </c>
      <c r="D701" t="s">
        <v>60</v>
      </c>
      <c r="E701">
        <v>56634</v>
      </c>
      <c r="F701">
        <v>7097</v>
      </c>
      <c r="G701" t="s">
        <v>63</v>
      </c>
      <c r="J701" t="s">
        <v>78</v>
      </c>
      <c r="K701" t="s">
        <v>88</v>
      </c>
      <c r="L701" t="s">
        <v>128</v>
      </c>
      <c r="M701">
        <v>0</v>
      </c>
      <c r="N701">
        <v>0</v>
      </c>
      <c r="O701" t="s">
        <v>150</v>
      </c>
      <c r="P701" t="s">
        <v>154</v>
      </c>
      <c r="Q701" t="s">
        <v>161</v>
      </c>
    </row>
    <row r="702" spans="1:17" x14ac:dyDescent="0.25">
      <c r="A702" t="s">
        <v>20</v>
      </c>
      <c r="B702" t="s">
        <v>32</v>
      </c>
      <c r="C702" t="s">
        <v>37</v>
      </c>
      <c r="D702" t="s">
        <v>55</v>
      </c>
      <c r="E702">
        <v>86265</v>
      </c>
      <c r="F702">
        <v>19011</v>
      </c>
      <c r="G702" t="s">
        <v>65</v>
      </c>
      <c r="J702" t="s">
        <v>77</v>
      </c>
      <c r="K702" t="s">
        <v>110</v>
      </c>
      <c r="L702" t="s">
        <v>145</v>
      </c>
      <c r="M702">
        <v>7</v>
      </c>
      <c r="N702">
        <v>6</v>
      </c>
      <c r="O702" t="s">
        <v>152</v>
      </c>
      <c r="P702" t="s">
        <v>156</v>
      </c>
      <c r="Q702" t="s">
        <v>372</v>
      </c>
    </row>
    <row r="703" spans="1:17" x14ac:dyDescent="0.25">
      <c r="A703" t="s">
        <v>17</v>
      </c>
      <c r="B703" t="s">
        <v>22</v>
      </c>
      <c r="C703" t="s">
        <v>38</v>
      </c>
      <c r="E703">
        <v>405709</v>
      </c>
      <c r="F703">
        <v>12178</v>
      </c>
      <c r="G703" t="s">
        <v>66</v>
      </c>
      <c r="I703" t="s">
        <v>69</v>
      </c>
      <c r="J703" t="s">
        <v>75</v>
      </c>
      <c r="K703" t="s">
        <v>108</v>
      </c>
      <c r="L703" t="s">
        <v>135</v>
      </c>
      <c r="M703">
        <v>25</v>
      </c>
      <c r="N703">
        <v>25</v>
      </c>
      <c r="O703" t="s">
        <v>149</v>
      </c>
      <c r="P703" t="s">
        <v>154</v>
      </c>
      <c r="Q703" t="s">
        <v>195</v>
      </c>
    </row>
    <row r="704" spans="1:17" x14ac:dyDescent="0.25">
      <c r="A704" t="s">
        <v>20</v>
      </c>
      <c r="B704" t="s">
        <v>24</v>
      </c>
      <c r="C704" t="s">
        <v>44</v>
      </c>
      <c r="D704" t="s">
        <v>61</v>
      </c>
      <c r="E704">
        <v>103796</v>
      </c>
      <c r="F704">
        <v>0</v>
      </c>
      <c r="G704" t="s">
        <v>63</v>
      </c>
      <c r="I704" t="s">
        <v>71</v>
      </c>
      <c r="J704" t="s">
        <v>75</v>
      </c>
      <c r="K704" t="s">
        <v>108</v>
      </c>
      <c r="L704" t="s">
        <v>135</v>
      </c>
      <c r="M704">
        <v>0</v>
      </c>
      <c r="N704">
        <v>0</v>
      </c>
      <c r="O704" t="s">
        <v>150</v>
      </c>
      <c r="P704" t="s">
        <v>154</v>
      </c>
      <c r="Q704" t="s">
        <v>290</v>
      </c>
    </row>
    <row r="705" spans="1:17" x14ac:dyDescent="0.25">
      <c r="A705" t="s">
        <v>19</v>
      </c>
      <c r="B705" t="s">
        <v>35</v>
      </c>
      <c r="C705" t="s">
        <v>46</v>
      </c>
      <c r="D705" t="s">
        <v>62</v>
      </c>
      <c r="E705">
        <v>1212986</v>
      </c>
      <c r="F705">
        <v>0</v>
      </c>
      <c r="G705" t="s">
        <v>66</v>
      </c>
      <c r="I705" t="s">
        <v>70</v>
      </c>
      <c r="J705" t="s">
        <v>76</v>
      </c>
      <c r="K705" t="s">
        <v>92</v>
      </c>
      <c r="L705" t="s">
        <v>119</v>
      </c>
      <c r="M705">
        <v>7</v>
      </c>
      <c r="N705">
        <v>7</v>
      </c>
      <c r="O705" t="s">
        <v>152</v>
      </c>
      <c r="P705" t="s">
        <v>155</v>
      </c>
      <c r="Q705" t="s">
        <v>178</v>
      </c>
    </row>
    <row r="706" spans="1:17" x14ac:dyDescent="0.25">
      <c r="A706" t="s">
        <v>21</v>
      </c>
      <c r="B706" t="s">
        <v>33</v>
      </c>
      <c r="C706" t="s">
        <v>45</v>
      </c>
      <c r="D706" t="s">
        <v>62</v>
      </c>
      <c r="E706">
        <v>83311</v>
      </c>
      <c r="F706">
        <v>3909</v>
      </c>
      <c r="G706" t="s">
        <v>68</v>
      </c>
      <c r="I706" t="s">
        <v>69</v>
      </c>
      <c r="J706" t="s">
        <v>79</v>
      </c>
      <c r="K706" t="s">
        <v>91</v>
      </c>
      <c r="L706" t="s">
        <v>118</v>
      </c>
      <c r="M706">
        <v>25</v>
      </c>
      <c r="N706">
        <v>24</v>
      </c>
      <c r="O706" t="s">
        <v>151</v>
      </c>
      <c r="P706" t="s">
        <v>157</v>
      </c>
      <c r="Q706" t="s">
        <v>390</v>
      </c>
    </row>
    <row r="707" spans="1:17" x14ac:dyDescent="0.25">
      <c r="A707" t="s">
        <v>18</v>
      </c>
      <c r="B707" t="s">
        <v>22</v>
      </c>
      <c r="C707" t="s">
        <v>44</v>
      </c>
      <c r="D707" t="s">
        <v>62</v>
      </c>
      <c r="E707">
        <v>156802</v>
      </c>
      <c r="F707">
        <v>0</v>
      </c>
      <c r="G707" t="s">
        <v>65</v>
      </c>
      <c r="I707" t="s">
        <v>69</v>
      </c>
      <c r="J707" t="s">
        <v>76</v>
      </c>
      <c r="K707" t="s">
        <v>100</v>
      </c>
      <c r="L707" t="s">
        <v>132</v>
      </c>
      <c r="M707">
        <v>0</v>
      </c>
      <c r="N707">
        <v>0</v>
      </c>
      <c r="O707" t="s">
        <v>153</v>
      </c>
      <c r="P707" t="s">
        <v>157</v>
      </c>
      <c r="Q707" t="s">
        <v>173</v>
      </c>
    </row>
    <row r="708" spans="1:17" x14ac:dyDescent="0.25">
      <c r="A708" t="s">
        <v>20</v>
      </c>
      <c r="B708" t="s">
        <v>31</v>
      </c>
      <c r="C708" t="s">
        <v>38</v>
      </c>
      <c r="D708" t="s">
        <v>60</v>
      </c>
      <c r="E708">
        <v>115293</v>
      </c>
      <c r="F708">
        <v>1531</v>
      </c>
      <c r="G708" t="s">
        <v>68</v>
      </c>
      <c r="I708" t="s">
        <v>69</v>
      </c>
      <c r="J708" t="s">
        <v>72</v>
      </c>
      <c r="K708" t="s">
        <v>82</v>
      </c>
      <c r="L708" t="s">
        <v>112</v>
      </c>
      <c r="M708">
        <v>2</v>
      </c>
      <c r="N708">
        <v>2</v>
      </c>
      <c r="O708" t="s">
        <v>152</v>
      </c>
      <c r="P708" t="s">
        <v>157</v>
      </c>
      <c r="Q708" t="s">
        <v>391</v>
      </c>
    </row>
    <row r="709" spans="1:17" x14ac:dyDescent="0.25">
      <c r="A709" t="s">
        <v>17</v>
      </c>
      <c r="B709" t="s">
        <v>25</v>
      </c>
      <c r="C709" t="s">
        <v>45</v>
      </c>
      <c r="D709" t="s">
        <v>57</v>
      </c>
      <c r="E709">
        <v>120362</v>
      </c>
      <c r="F709">
        <v>12222</v>
      </c>
      <c r="G709" t="s">
        <v>65</v>
      </c>
      <c r="J709" t="s">
        <v>78</v>
      </c>
      <c r="K709" t="s">
        <v>90</v>
      </c>
      <c r="L709" t="s">
        <v>138</v>
      </c>
      <c r="M709">
        <v>18</v>
      </c>
      <c r="N709">
        <v>18</v>
      </c>
      <c r="O709" t="s">
        <v>149</v>
      </c>
      <c r="P709" t="s">
        <v>156</v>
      </c>
      <c r="Q709" t="s">
        <v>298</v>
      </c>
    </row>
    <row r="710" spans="1:17" x14ac:dyDescent="0.25">
      <c r="A710" t="s">
        <v>18</v>
      </c>
      <c r="B710" t="s">
        <v>33</v>
      </c>
      <c r="C710" t="s">
        <v>47</v>
      </c>
      <c r="D710" t="s">
        <v>61</v>
      </c>
      <c r="E710">
        <v>48433</v>
      </c>
      <c r="F710">
        <v>13984</v>
      </c>
      <c r="G710" t="s">
        <v>68</v>
      </c>
      <c r="I710" t="s">
        <v>70</v>
      </c>
      <c r="J710" t="s">
        <v>78</v>
      </c>
      <c r="K710" t="s">
        <v>104</v>
      </c>
      <c r="L710" t="s">
        <v>131</v>
      </c>
      <c r="M710">
        <v>0</v>
      </c>
      <c r="N710">
        <v>0</v>
      </c>
      <c r="O710" t="s">
        <v>149</v>
      </c>
      <c r="P710" t="s">
        <v>156</v>
      </c>
      <c r="Q710" t="s">
        <v>392</v>
      </c>
    </row>
    <row r="711" spans="1:17" x14ac:dyDescent="0.25">
      <c r="A711" t="s">
        <v>19</v>
      </c>
      <c r="B711" t="s">
        <v>31</v>
      </c>
      <c r="C711" t="s">
        <v>48</v>
      </c>
      <c r="D711" t="s">
        <v>61</v>
      </c>
      <c r="E711">
        <v>44249</v>
      </c>
      <c r="F711">
        <v>0</v>
      </c>
      <c r="G711" t="s">
        <v>63</v>
      </c>
      <c r="I711" t="s">
        <v>56</v>
      </c>
      <c r="J711" t="s">
        <v>77</v>
      </c>
      <c r="K711" t="s">
        <v>87</v>
      </c>
      <c r="L711" t="s">
        <v>116</v>
      </c>
      <c r="M711">
        <v>10</v>
      </c>
      <c r="N711">
        <v>7</v>
      </c>
      <c r="O711" t="s">
        <v>150</v>
      </c>
      <c r="P711" t="s">
        <v>156</v>
      </c>
      <c r="Q711" t="s">
        <v>167</v>
      </c>
    </row>
    <row r="712" spans="1:17" x14ac:dyDescent="0.25">
      <c r="A712" t="s">
        <v>18</v>
      </c>
      <c r="B712" t="s">
        <v>34</v>
      </c>
      <c r="C712" t="s">
        <v>36</v>
      </c>
      <c r="D712" t="s">
        <v>55</v>
      </c>
      <c r="E712">
        <v>12238</v>
      </c>
      <c r="F712">
        <v>69</v>
      </c>
      <c r="G712" t="s">
        <v>64</v>
      </c>
      <c r="I712" t="s">
        <v>69</v>
      </c>
      <c r="J712" t="s">
        <v>72</v>
      </c>
      <c r="K712" t="s">
        <v>82</v>
      </c>
      <c r="L712" t="s">
        <v>112</v>
      </c>
      <c r="M712">
        <v>1</v>
      </c>
      <c r="N712">
        <v>1</v>
      </c>
      <c r="O712" t="s">
        <v>148</v>
      </c>
      <c r="P712" t="s">
        <v>156</v>
      </c>
      <c r="Q712" t="s">
        <v>393</v>
      </c>
    </row>
    <row r="713" spans="1:17" x14ac:dyDescent="0.25">
      <c r="A713" t="s">
        <v>19</v>
      </c>
      <c r="B713" t="s">
        <v>31</v>
      </c>
      <c r="C713" t="s">
        <v>45</v>
      </c>
      <c r="D713" t="s">
        <v>54</v>
      </c>
      <c r="E713">
        <v>89630</v>
      </c>
      <c r="F713">
        <v>0</v>
      </c>
      <c r="G713" t="s">
        <v>63</v>
      </c>
      <c r="I713" t="s">
        <v>71</v>
      </c>
      <c r="J713" t="s">
        <v>73</v>
      </c>
      <c r="K713" t="s">
        <v>83</v>
      </c>
      <c r="L713" t="s">
        <v>113</v>
      </c>
      <c r="M713">
        <v>15</v>
      </c>
      <c r="N713">
        <v>12</v>
      </c>
      <c r="O713" t="s">
        <v>153</v>
      </c>
      <c r="P713" t="s">
        <v>157</v>
      </c>
      <c r="Q713" t="s">
        <v>394</v>
      </c>
    </row>
    <row r="714" spans="1:17" x14ac:dyDescent="0.25">
      <c r="A714" t="s">
        <v>20</v>
      </c>
      <c r="B714" t="s">
        <v>24</v>
      </c>
      <c r="C714" t="s">
        <v>42</v>
      </c>
      <c r="D714" t="s">
        <v>58</v>
      </c>
      <c r="E714">
        <v>74218</v>
      </c>
      <c r="F714">
        <v>97</v>
      </c>
      <c r="G714" t="s">
        <v>68</v>
      </c>
      <c r="I714" t="s">
        <v>71</v>
      </c>
      <c r="J714" t="s">
        <v>79</v>
      </c>
      <c r="K714" t="s">
        <v>107</v>
      </c>
      <c r="L714" t="s">
        <v>134</v>
      </c>
      <c r="M714">
        <v>4</v>
      </c>
      <c r="N714">
        <v>3</v>
      </c>
      <c r="O714" t="s">
        <v>150</v>
      </c>
      <c r="P714" t="s">
        <v>157</v>
      </c>
      <c r="Q714" t="s">
        <v>250</v>
      </c>
    </row>
    <row r="715" spans="1:17" x14ac:dyDescent="0.25">
      <c r="A715" t="s">
        <v>20</v>
      </c>
      <c r="B715" t="s">
        <v>34</v>
      </c>
      <c r="C715" t="s">
        <v>46</v>
      </c>
      <c r="D715" t="s">
        <v>56</v>
      </c>
      <c r="E715">
        <v>932925</v>
      </c>
      <c r="F715">
        <v>0</v>
      </c>
      <c r="G715" t="s">
        <v>66</v>
      </c>
      <c r="I715" t="s">
        <v>71</v>
      </c>
      <c r="J715" t="s">
        <v>72</v>
      </c>
      <c r="K715" t="s">
        <v>82</v>
      </c>
      <c r="L715" t="s">
        <v>112</v>
      </c>
      <c r="M715">
        <v>1</v>
      </c>
      <c r="N715">
        <v>0</v>
      </c>
      <c r="O715" t="s">
        <v>152</v>
      </c>
      <c r="P715" t="s">
        <v>157</v>
      </c>
      <c r="Q715" t="s">
        <v>395</v>
      </c>
    </row>
    <row r="716" spans="1:17" x14ac:dyDescent="0.25">
      <c r="A716" t="s">
        <v>21</v>
      </c>
      <c r="B716" t="s">
        <v>33</v>
      </c>
      <c r="C716" t="s">
        <v>38</v>
      </c>
      <c r="E716">
        <v>77514</v>
      </c>
      <c r="F716">
        <v>7830</v>
      </c>
      <c r="G716" t="s">
        <v>63</v>
      </c>
      <c r="I716" t="s">
        <v>71</v>
      </c>
      <c r="J716" t="s">
        <v>74</v>
      </c>
      <c r="K716" t="s">
        <v>84</v>
      </c>
      <c r="L716" t="s">
        <v>74</v>
      </c>
      <c r="M716">
        <v>18</v>
      </c>
      <c r="N716">
        <v>16</v>
      </c>
      <c r="O716" t="s">
        <v>150</v>
      </c>
      <c r="P716" t="s">
        <v>155</v>
      </c>
      <c r="Q716" t="s">
        <v>396</v>
      </c>
    </row>
    <row r="717" spans="1:17" x14ac:dyDescent="0.25">
      <c r="A717" t="s">
        <v>19</v>
      </c>
      <c r="B717" t="s">
        <v>32</v>
      </c>
      <c r="C717" t="s">
        <v>36</v>
      </c>
      <c r="D717" t="s">
        <v>61</v>
      </c>
      <c r="E717">
        <v>24527</v>
      </c>
      <c r="F717">
        <v>0</v>
      </c>
      <c r="G717" t="s">
        <v>63</v>
      </c>
      <c r="I717" t="s">
        <v>71</v>
      </c>
      <c r="J717" t="s">
        <v>73</v>
      </c>
      <c r="K717" t="s">
        <v>99</v>
      </c>
      <c r="L717" t="s">
        <v>125</v>
      </c>
      <c r="M717">
        <v>2</v>
      </c>
      <c r="N717">
        <v>1</v>
      </c>
      <c r="O717" t="s">
        <v>150</v>
      </c>
      <c r="P717" t="s">
        <v>154</v>
      </c>
      <c r="Q717" t="s">
        <v>382</v>
      </c>
    </row>
    <row r="718" spans="1:17" x14ac:dyDescent="0.25">
      <c r="A718" t="s">
        <v>21</v>
      </c>
      <c r="B718" t="s">
        <v>27</v>
      </c>
      <c r="C718" t="s">
        <v>42</v>
      </c>
      <c r="D718" t="s">
        <v>60</v>
      </c>
      <c r="E718">
        <v>69926</v>
      </c>
      <c r="F718">
        <v>6660</v>
      </c>
      <c r="G718" t="s">
        <v>65</v>
      </c>
      <c r="I718" t="s">
        <v>71</v>
      </c>
      <c r="J718" t="s">
        <v>74</v>
      </c>
      <c r="K718" t="s">
        <v>84</v>
      </c>
      <c r="L718" t="s">
        <v>74</v>
      </c>
      <c r="M718">
        <v>18</v>
      </c>
      <c r="N718">
        <v>17</v>
      </c>
      <c r="O718" t="s">
        <v>150</v>
      </c>
      <c r="P718" t="s">
        <v>154</v>
      </c>
      <c r="Q718" t="s">
        <v>189</v>
      </c>
    </row>
    <row r="719" spans="1:17" x14ac:dyDescent="0.25">
      <c r="A719" t="s">
        <v>20</v>
      </c>
      <c r="B719" t="s">
        <v>32</v>
      </c>
      <c r="C719" t="s">
        <v>44</v>
      </c>
      <c r="D719" t="s">
        <v>60</v>
      </c>
      <c r="E719">
        <v>256057</v>
      </c>
      <c r="F719">
        <v>31588</v>
      </c>
      <c r="G719" t="s">
        <v>66</v>
      </c>
      <c r="I719" t="s">
        <v>56</v>
      </c>
      <c r="J719" t="s">
        <v>80</v>
      </c>
      <c r="K719" t="s">
        <v>93</v>
      </c>
      <c r="L719" t="s">
        <v>93</v>
      </c>
      <c r="M719">
        <v>7</v>
      </c>
      <c r="N719">
        <v>6</v>
      </c>
      <c r="O719" t="s">
        <v>149</v>
      </c>
      <c r="P719" t="s">
        <v>156</v>
      </c>
      <c r="Q719" t="s">
        <v>244</v>
      </c>
    </row>
    <row r="720" spans="1:17" x14ac:dyDescent="0.25">
      <c r="A720" t="s">
        <v>21</v>
      </c>
      <c r="B720" t="s">
        <v>26</v>
      </c>
      <c r="C720" t="s">
        <v>36</v>
      </c>
      <c r="D720" t="s">
        <v>59</v>
      </c>
      <c r="E720">
        <v>834635</v>
      </c>
      <c r="F720">
        <v>0</v>
      </c>
      <c r="G720" t="s">
        <v>66</v>
      </c>
      <c r="I720" t="s">
        <v>56</v>
      </c>
      <c r="J720" t="s">
        <v>72</v>
      </c>
      <c r="K720" t="s">
        <v>82</v>
      </c>
      <c r="L720" t="s">
        <v>112</v>
      </c>
      <c r="M720">
        <v>15</v>
      </c>
      <c r="N720">
        <v>15</v>
      </c>
      <c r="O720" t="s">
        <v>151</v>
      </c>
      <c r="P720" t="s">
        <v>156</v>
      </c>
      <c r="Q720" t="s">
        <v>188</v>
      </c>
    </row>
    <row r="721" spans="1:17" x14ac:dyDescent="0.25">
      <c r="A721" t="s">
        <v>19</v>
      </c>
      <c r="B721" t="s">
        <v>24</v>
      </c>
      <c r="C721" t="s">
        <v>41</v>
      </c>
      <c r="D721" t="s">
        <v>58</v>
      </c>
      <c r="E721">
        <v>65637</v>
      </c>
      <c r="F721">
        <v>11271</v>
      </c>
      <c r="G721" t="s">
        <v>65</v>
      </c>
      <c r="I721" t="s">
        <v>69</v>
      </c>
      <c r="J721" t="s">
        <v>72</v>
      </c>
      <c r="K721" t="s">
        <v>82</v>
      </c>
      <c r="L721" t="s">
        <v>112</v>
      </c>
      <c r="M721">
        <v>2</v>
      </c>
      <c r="N721">
        <v>2</v>
      </c>
      <c r="O721" t="s">
        <v>149</v>
      </c>
      <c r="P721" t="s">
        <v>157</v>
      </c>
      <c r="Q721" t="s">
        <v>316</v>
      </c>
    </row>
    <row r="722" spans="1:17" x14ac:dyDescent="0.25">
      <c r="A722" t="s">
        <v>17</v>
      </c>
      <c r="B722" t="s">
        <v>32</v>
      </c>
      <c r="C722" t="s">
        <v>44</v>
      </c>
      <c r="E722">
        <v>120614</v>
      </c>
      <c r="F722">
        <v>0</v>
      </c>
      <c r="G722" t="s">
        <v>63</v>
      </c>
      <c r="J722" t="s">
        <v>81</v>
      </c>
      <c r="K722" t="s">
        <v>98</v>
      </c>
      <c r="L722" t="s">
        <v>123</v>
      </c>
      <c r="M722">
        <v>25</v>
      </c>
      <c r="N722">
        <v>24</v>
      </c>
      <c r="O722" t="s">
        <v>148</v>
      </c>
      <c r="P722" t="s">
        <v>154</v>
      </c>
      <c r="Q722" t="s">
        <v>397</v>
      </c>
    </row>
    <row r="723" spans="1:17" x14ac:dyDescent="0.25">
      <c r="A723" t="s">
        <v>17</v>
      </c>
      <c r="B723" t="s">
        <v>32</v>
      </c>
      <c r="C723" t="s">
        <v>43</v>
      </c>
      <c r="D723" t="s">
        <v>58</v>
      </c>
      <c r="E723">
        <v>71330</v>
      </c>
      <c r="F723">
        <v>4533</v>
      </c>
      <c r="G723" t="s">
        <v>68</v>
      </c>
      <c r="I723" t="s">
        <v>69</v>
      </c>
      <c r="J723" t="s">
        <v>80</v>
      </c>
      <c r="K723" t="s">
        <v>106</v>
      </c>
      <c r="L723" t="s">
        <v>106</v>
      </c>
      <c r="M723">
        <v>8</v>
      </c>
      <c r="N723">
        <v>8</v>
      </c>
      <c r="O723" t="s">
        <v>153</v>
      </c>
      <c r="P723" t="s">
        <v>156</v>
      </c>
      <c r="Q723" t="s">
        <v>398</v>
      </c>
    </row>
    <row r="724" spans="1:17" x14ac:dyDescent="0.25">
      <c r="A724" t="s">
        <v>21</v>
      </c>
      <c r="B724" t="s">
        <v>29</v>
      </c>
      <c r="C724" t="s">
        <v>40</v>
      </c>
      <c r="D724" t="s">
        <v>62</v>
      </c>
      <c r="E724">
        <v>25386</v>
      </c>
      <c r="F724">
        <v>2147</v>
      </c>
      <c r="G724" t="s">
        <v>68</v>
      </c>
      <c r="I724" t="s">
        <v>71</v>
      </c>
      <c r="J724" t="s">
        <v>74</v>
      </c>
      <c r="K724" t="s">
        <v>84</v>
      </c>
      <c r="L724" t="s">
        <v>74</v>
      </c>
      <c r="M724">
        <v>20</v>
      </c>
      <c r="N724">
        <v>17</v>
      </c>
      <c r="O724" t="s">
        <v>149</v>
      </c>
      <c r="P724" t="s">
        <v>157</v>
      </c>
      <c r="Q724" t="s">
        <v>399</v>
      </c>
    </row>
    <row r="725" spans="1:17" x14ac:dyDescent="0.25">
      <c r="A725" t="s">
        <v>19</v>
      </c>
      <c r="B725" t="s">
        <v>35</v>
      </c>
      <c r="C725" t="s">
        <v>53</v>
      </c>
      <c r="D725" t="s">
        <v>62</v>
      </c>
      <c r="E725">
        <v>305219</v>
      </c>
      <c r="F725">
        <v>32759</v>
      </c>
      <c r="G725" t="s">
        <v>66</v>
      </c>
      <c r="J725" t="s">
        <v>78</v>
      </c>
      <c r="K725" t="s">
        <v>104</v>
      </c>
      <c r="L725" t="s">
        <v>131</v>
      </c>
      <c r="M725">
        <v>5</v>
      </c>
      <c r="N725">
        <v>5</v>
      </c>
      <c r="O725" t="s">
        <v>153</v>
      </c>
      <c r="P725" t="s">
        <v>155</v>
      </c>
      <c r="Q725" t="s">
        <v>198</v>
      </c>
    </row>
    <row r="726" spans="1:17" x14ac:dyDescent="0.25">
      <c r="A726" t="s">
        <v>20</v>
      </c>
      <c r="B726" t="s">
        <v>29</v>
      </c>
      <c r="C726" t="s">
        <v>52</v>
      </c>
      <c r="D726" t="s">
        <v>57</v>
      </c>
      <c r="E726">
        <v>77680</v>
      </c>
      <c r="F726">
        <v>0</v>
      </c>
      <c r="G726" t="s">
        <v>63</v>
      </c>
      <c r="J726" t="s">
        <v>80</v>
      </c>
      <c r="K726" t="s">
        <v>93</v>
      </c>
      <c r="L726" t="s">
        <v>93</v>
      </c>
      <c r="M726">
        <v>6</v>
      </c>
      <c r="N726">
        <v>6</v>
      </c>
      <c r="O726" t="s">
        <v>153</v>
      </c>
      <c r="P726" t="s">
        <v>156</v>
      </c>
      <c r="Q726" t="s">
        <v>188</v>
      </c>
    </row>
    <row r="727" spans="1:17" x14ac:dyDescent="0.25">
      <c r="A727" t="s">
        <v>19</v>
      </c>
      <c r="B727" t="s">
        <v>25</v>
      </c>
      <c r="C727" t="s">
        <v>52</v>
      </c>
      <c r="D727" t="s">
        <v>60</v>
      </c>
      <c r="E727">
        <v>72300</v>
      </c>
      <c r="F727">
        <v>6376</v>
      </c>
      <c r="G727" t="s">
        <v>68</v>
      </c>
      <c r="J727" t="s">
        <v>74</v>
      </c>
      <c r="K727" t="s">
        <v>84</v>
      </c>
      <c r="L727" t="s">
        <v>74</v>
      </c>
      <c r="M727">
        <v>12</v>
      </c>
      <c r="N727">
        <v>9</v>
      </c>
      <c r="O727" t="s">
        <v>148</v>
      </c>
      <c r="P727" t="s">
        <v>154</v>
      </c>
      <c r="Q727" t="s">
        <v>165</v>
      </c>
    </row>
    <row r="728" spans="1:17" x14ac:dyDescent="0.25">
      <c r="A728" t="s">
        <v>19</v>
      </c>
      <c r="B728" t="s">
        <v>33</v>
      </c>
      <c r="C728" t="s">
        <v>43</v>
      </c>
      <c r="D728" t="s">
        <v>59</v>
      </c>
      <c r="E728">
        <v>143971</v>
      </c>
      <c r="F728">
        <v>10138</v>
      </c>
      <c r="G728" t="s">
        <v>68</v>
      </c>
      <c r="I728" t="s">
        <v>56</v>
      </c>
      <c r="J728" t="s">
        <v>74</v>
      </c>
      <c r="K728" t="s">
        <v>84</v>
      </c>
      <c r="L728" t="s">
        <v>74</v>
      </c>
      <c r="M728">
        <v>4</v>
      </c>
      <c r="N728">
        <v>4</v>
      </c>
      <c r="O728" t="s">
        <v>148</v>
      </c>
      <c r="P728" t="s">
        <v>156</v>
      </c>
      <c r="Q728" t="s">
        <v>167</v>
      </c>
    </row>
    <row r="729" spans="1:17" x14ac:dyDescent="0.25">
      <c r="A729" t="s">
        <v>19</v>
      </c>
      <c r="B729" t="s">
        <v>30</v>
      </c>
      <c r="C729" t="s">
        <v>49</v>
      </c>
      <c r="E729">
        <v>80669</v>
      </c>
      <c r="F729">
        <v>5103</v>
      </c>
      <c r="G729" t="s">
        <v>64</v>
      </c>
      <c r="I729" t="s">
        <v>70</v>
      </c>
      <c r="J729" t="s">
        <v>77</v>
      </c>
      <c r="K729" t="s">
        <v>111</v>
      </c>
      <c r="L729" t="s">
        <v>141</v>
      </c>
      <c r="M729">
        <v>12</v>
      </c>
      <c r="N729">
        <v>12</v>
      </c>
      <c r="O729" t="s">
        <v>149</v>
      </c>
      <c r="P729" t="s">
        <v>154</v>
      </c>
      <c r="Q729" t="s">
        <v>162</v>
      </c>
    </row>
    <row r="730" spans="1:17" x14ac:dyDescent="0.25">
      <c r="A730" t="s">
        <v>21</v>
      </c>
      <c r="B730" t="s">
        <v>30</v>
      </c>
      <c r="C730" t="s">
        <v>37</v>
      </c>
      <c r="D730" t="s">
        <v>62</v>
      </c>
      <c r="E730">
        <v>48446</v>
      </c>
      <c r="F730">
        <v>2298</v>
      </c>
      <c r="G730" t="s">
        <v>63</v>
      </c>
      <c r="I730" t="s">
        <v>70</v>
      </c>
      <c r="J730" t="s">
        <v>78</v>
      </c>
      <c r="K730" t="s">
        <v>105</v>
      </c>
      <c r="L730" t="s">
        <v>142</v>
      </c>
      <c r="M730">
        <v>20</v>
      </c>
      <c r="N730">
        <v>20</v>
      </c>
      <c r="O730" t="s">
        <v>151</v>
      </c>
      <c r="P730" t="s">
        <v>154</v>
      </c>
      <c r="Q730" t="s">
        <v>354</v>
      </c>
    </row>
    <row r="731" spans="1:17" x14ac:dyDescent="0.25">
      <c r="A731" t="s">
        <v>20</v>
      </c>
      <c r="B731" t="s">
        <v>29</v>
      </c>
      <c r="C731" t="s">
        <v>49</v>
      </c>
      <c r="D731" t="s">
        <v>60</v>
      </c>
      <c r="E731">
        <v>76419</v>
      </c>
      <c r="F731">
        <v>4861</v>
      </c>
      <c r="G731" t="s">
        <v>63</v>
      </c>
      <c r="J731" t="s">
        <v>72</v>
      </c>
      <c r="K731" t="s">
        <v>82</v>
      </c>
      <c r="L731" t="s">
        <v>112</v>
      </c>
      <c r="M731">
        <v>7</v>
      </c>
      <c r="N731">
        <v>6</v>
      </c>
      <c r="O731" t="s">
        <v>152</v>
      </c>
      <c r="P731" t="s">
        <v>157</v>
      </c>
      <c r="Q731" t="s">
        <v>190</v>
      </c>
    </row>
    <row r="732" spans="1:17" x14ac:dyDescent="0.25">
      <c r="A732" t="s">
        <v>17</v>
      </c>
      <c r="B732" t="s">
        <v>34</v>
      </c>
      <c r="C732" t="s">
        <v>48</v>
      </c>
      <c r="D732" t="s">
        <v>59</v>
      </c>
      <c r="E732">
        <v>48574</v>
      </c>
      <c r="F732">
        <v>1976</v>
      </c>
      <c r="G732" t="s">
        <v>64</v>
      </c>
      <c r="I732" t="s">
        <v>69</v>
      </c>
      <c r="J732" t="s">
        <v>73</v>
      </c>
      <c r="K732" t="s">
        <v>83</v>
      </c>
      <c r="L732" t="s">
        <v>113</v>
      </c>
      <c r="M732">
        <v>20</v>
      </c>
      <c r="N732">
        <v>20</v>
      </c>
      <c r="O732" t="s">
        <v>151</v>
      </c>
      <c r="P732" t="s">
        <v>156</v>
      </c>
      <c r="Q732" t="s">
        <v>361</v>
      </c>
    </row>
    <row r="733" spans="1:17" x14ac:dyDescent="0.25">
      <c r="A733" t="s">
        <v>17</v>
      </c>
      <c r="B733" t="s">
        <v>33</v>
      </c>
      <c r="C733" t="s">
        <v>42</v>
      </c>
      <c r="E733">
        <v>79197</v>
      </c>
      <c r="F733">
        <v>772</v>
      </c>
      <c r="G733" t="s">
        <v>68</v>
      </c>
      <c r="I733" t="s">
        <v>70</v>
      </c>
      <c r="J733" t="s">
        <v>73</v>
      </c>
      <c r="K733" t="s">
        <v>102</v>
      </c>
      <c r="L733" t="s">
        <v>102</v>
      </c>
      <c r="M733">
        <v>15</v>
      </c>
      <c r="N733">
        <v>13</v>
      </c>
      <c r="O733" t="s">
        <v>149</v>
      </c>
      <c r="P733" t="s">
        <v>156</v>
      </c>
      <c r="Q733" t="s">
        <v>334</v>
      </c>
    </row>
    <row r="734" spans="1:17" x14ac:dyDescent="0.25">
      <c r="A734" t="s">
        <v>21</v>
      </c>
      <c r="B734" t="s">
        <v>32</v>
      </c>
      <c r="C734" t="s">
        <v>44</v>
      </c>
      <c r="D734" t="s">
        <v>59</v>
      </c>
      <c r="E734">
        <v>42944</v>
      </c>
      <c r="F734">
        <v>0</v>
      </c>
      <c r="G734" t="s">
        <v>64</v>
      </c>
      <c r="I734" t="s">
        <v>71</v>
      </c>
      <c r="J734" t="s">
        <v>75</v>
      </c>
      <c r="K734" t="s">
        <v>96</v>
      </c>
      <c r="L734" t="s">
        <v>121</v>
      </c>
      <c r="M734">
        <v>9</v>
      </c>
      <c r="N734">
        <v>6</v>
      </c>
      <c r="O734" t="s">
        <v>148</v>
      </c>
      <c r="P734" t="s">
        <v>155</v>
      </c>
      <c r="Q734" t="s">
        <v>315</v>
      </c>
    </row>
    <row r="735" spans="1:17" x14ac:dyDescent="0.25">
      <c r="A735" t="s">
        <v>19</v>
      </c>
      <c r="B735" t="s">
        <v>29</v>
      </c>
      <c r="C735" t="s">
        <v>39</v>
      </c>
      <c r="D735" t="s">
        <v>58</v>
      </c>
      <c r="E735">
        <v>729221</v>
      </c>
      <c r="F735">
        <v>0</v>
      </c>
      <c r="G735" t="s">
        <v>66</v>
      </c>
      <c r="J735" t="s">
        <v>76</v>
      </c>
      <c r="K735" t="s">
        <v>86</v>
      </c>
      <c r="L735" t="s">
        <v>115</v>
      </c>
      <c r="M735">
        <v>6</v>
      </c>
      <c r="N735">
        <v>4</v>
      </c>
      <c r="O735" t="s">
        <v>152</v>
      </c>
      <c r="P735" t="s">
        <v>157</v>
      </c>
      <c r="Q735" t="s">
        <v>400</v>
      </c>
    </row>
    <row r="736" spans="1:17" x14ac:dyDescent="0.25">
      <c r="A736" t="s">
        <v>20</v>
      </c>
      <c r="B736" t="s">
        <v>24</v>
      </c>
      <c r="C736" t="s">
        <v>38</v>
      </c>
      <c r="D736" t="s">
        <v>59</v>
      </c>
      <c r="E736">
        <v>88511</v>
      </c>
      <c r="F736">
        <v>6441</v>
      </c>
      <c r="G736" t="s">
        <v>66</v>
      </c>
      <c r="J736" t="s">
        <v>78</v>
      </c>
      <c r="K736" t="s">
        <v>90</v>
      </c>
      <c r="L736" t="s">
        <v>147</v>
      </c>
      <c r="M736">
        <v>3</v>
      </c>
      <c r="N736">
        <v>3</v>
      </c>
      <c r="O736" t="s">
        <v>152</v>
      </c>
      <c r="P736" t="s">
        <v>157</v>
      </c>
      <c r="Q736" t="s">
        <v>180</v>
      </c>
    </row>
    <row r="737" spans="1:17" x14ac:dyDescent="0.25">
      <c r="A737" t="s">
        <v>20</v>
      </c>
      <c r="B737" t="s">
        <v>29</v>
      </c>
      <c r="C737" t="s">
        <v>48</v>
      </c>
      <c r="D737" t="s">
        <v>54</v>
      </c>
      <c r="E737">
        <v>75539</v>
      </c>
      <c r="F737">
        <v>10921</v>
      </c>
      <c r="G737" t="s">
        <v>63</v>
      </c>
      <c r="J737" t="s">
        <v>75</v>
      </c>
      <c r="K737" t="s">
        <v>108</v>
      </c>
      <c r="L737" t="s">
        <v>135</v>
      </c>
      <c r="M737">
        <v>0</v>
      </c>
      <c r="N737">
        <v>0</v>
      </c>
      <c r="O737" t="s">
        <v>149</v>
      </c>
      <c r="P737" t="s">
        <v>155</v>
      </c>
      <c r="Q737" t="s">
        <v>173</v>
      </c>
    </row>
    <row r="738" spans="1:17" x14ac:dyDescent="0.25">
      <c r="A738" t="s">
        <v>19</v>
      </c>
      <c r="B738" t="s">
        <v>33</v>
      </c>
      <c r="C738" t="s">
        <v>51</v>
      </c>
      <c r="D738" t="s">
        <v>58</v>
      </c>
      <c r="E738">
        <v>32482</v>
      </c>
      <c r="F738">
        <v>4339</v>
      </c>
      <c r="G738" t="s">
        <v>65</v>
      </c>
      <c r="J738" t="s">
        <v>80</v>
      </c>
      <c r="K738" t="s">
        <v>93</v>
      </c>
      <c r="L738" t="s">
        <v>93</v>
      </c>
      <c r="M738">
        <v>10</v>
      </c>
      <c r="N738">
        <v>8</v>
      </c>
      <c r="O738" t="s">
        <v>148</v>
      </c>
      <c r="P738" t="s">
        <v>155</v>
      </c>
      <c r="Q738" t="s">
        <v>184</v>
      </c>
    </row>
    <row r="739" spans="1:17" x14ac:dyDescent="0.25">
      <c r="A739" t="s">
        <v>19</v>
      </c>
      <c r="B739" t="s">
        <v>22</v>
      </c>
      <c r="C739" t="s">
        <v>37</v>
      </c>
      <c r="D739" t="s">
        <v>57</v>
      </c>
      <c r="E739">
        <v>89611</v>
      </c>
      <c r="F739">
        <v>0</v>
      </c>
      <c r="G739" t="s">
        <v>64</v>
      </c>
      <c r="J739" t="s">
        <v>81</v>
      </c>
      <c r="K739" t="s">
        <v>98</v>
      </c>
      <c r="L739" t="s">
        <v>123</v>
      </c>
      <c r="M739">
        <v>12</v>
      </c>
      <c r="N739">
        <v>12</v>
      </c>
      <c r="O739" t="s">
        <v>148</v>
      </c>
      <c r="P739" t="s">
        <v>155</v>
      </c>
      <c r="Q739" t="s">
        <v>165</v>
      </c>
    </row>
    <row r="740" spans="1:17" x14ac:dyDescent="0.25">
      <c r="A740" t="s">
        <v>21</v>
      </c>
      <c r="B740" t="s">
        <v>31</v>
      </c>
      <c r="C740" t="s">
        <v>50</v>
      </c>
      <c r="D740" t="s">
        <v>56</v>
      </c>
      <c r="E740">
        <v>109881</v>
      </c>
      <c r="F740">
        <v>12475</v>
      </c>
      <c r="G740" t="s">
        <v>68</v>
      </c>
      <c r="I740" t="s">
        <v>69</v>
      </c>
      <c r="J740" t="s">
        <v>76</v>
      </c>
      <c r="K740" t="s">
        <v>92</v>
      </c>
      <c r="L740" t="s">
        <v>119</v>
      </c>
      <c r="M740">
        <v>18</v>
      </c>
      <c r="N740">
        <v>18</v>
      </c>
      <c r="O740" t="s">
        <v>149</v>
      </c>
      <c r="P740" t="s">
        <v>154</v>
      </c>
      <c r="Q740" t="s">
        <v>334</v>
      </c>
    </row>
    <row r="741" spans="1:17" x14ac:dyDescent="0.25">
      <c r="A741" t="s">
        <v>19</v>
      </c>
      <c r="B741" t="s">
        <v>32</v>
      </c>
      <c r="C741" t="s">
        <v>46</v>
      </c>
      <c r="D741" t="s">
        <v>62</v>
      </c>
      <c r="E741">
        <v>645874</v>
      </c>
      <c r="F741">
        <v>16812</v>
      </c>
      <c r="G741" t="s">
        <v>66</v>
      </c>
      <c r="I741" t="s">
        <v>69</v>
      </c>
      <c r="J741" t="s">
        <v>80</v>
      </c>
      <c r="K741" t="s">
        <v>106</v>
      </c>
      <c r="L741" t="s">
        <v>106</v>
      </c>
      <c r="M741">
        <v>5</v>
      </c>
      <c r="N741">
        <v>4</v>
      </c>
      <c r="O741" t="s">
        <v>153</v>
      </c>
      <c r="P741" t="s">
        <v>154</v>
      </c>
      <c r="Q741" t="s">
        <v>171</v>
      </c>
    </row>
    <row r="742" spans="1:17" x14ac:dyDescent="0.25">
      <c r="A742" t="s">
        <v>19</v>
      </c>
      <c r="B742" t="s">
        <v>31</v>
      </c>
      <c r="C742" t="s">
        <v>51</v>
      </c>
      <c r="D742" t="s">
        <v>59</v>
      </c>
      <c r="E742">
        <v>110488</v>
      </c>
      <c r="F742">
        <v>1479</v>
      </c>
      <c r="G742" t="s">
        <v>64</v>
      </c>
      <c r="I742" t="s">
        <v>56</v>
      </c>
      <c r="J742" t="s">
        <v>72</v>
      </c>
      <c r="K742" t="s">
        <v>95</v>
      </c>
      <c r="L742" t="s">
        <v>120</v>
      </c>
      <c r="M742">
        <v>2</v>
      </c>
      <c r="N742">
        <v>1</v>
      </c>
      <c r="O742" t="s">
        <v>151</v>
      </c>
      <c r="P742" t="s">
        <v>157</v>
      </c>
      <c r="Q742" t="s">
        <v>401</v>
      </c>
    </row>
    <row r="743" spans="1:17" x14ac:dyDescent="0.25">
      <c r="A743" t="s">
        <v>19</v>
      </c>
      <c r="B743" t="s">
        <v>29</v>
      </c>
      <c r="C743" t="s">
        <v>40</v>
      </c>
      <c r="D743" t="s">
        <v>61</v>
      </c>
      <c r="E743">
        <v>32167</v>
      </c>
      <c r="F743">
        <v>4069</v>
      </c>
      <c r="G743" t="s">
        <v>65</v>
      </c>
      <c r="J743" t="s">
        <v>79</v>
      </c>
      <c r="K743" t="s">
        <v>107</v>
      </c>
      <c r="L743" t="s">
        <v>134</v>
      </c>
      <c r="M743">
        <v>12</v>
      </c>
      <c r="N743">
        <v>11</v>
      </c>
      <c r="O743" t="s">
        <v>152</v>
      </c>
      <c r="P743" t="s">
        <v>155</v>
      </c>
      <c r="Q743" t="s">
        <v>162</v>
      </c>
    </row>
    <row r="744" spans="1:17" x14ac:dyDescent="0.25">
      <c r="A744" t="s">
        <v>19</v>
      </c>
      <c r="B744" t="s">
        <v>28</v>
      </c>
      <c r="C744" t="s">
        <v>40</v>
      </c>
      <c r="D744" t="s">
        <v>60</v>
      </c>
      <c r="E744">
        <v>127083</v>
      </c>
      <c r="F744">
        <v>18316</v>
      </c>
      <c r="G744" t="s">
        <v>64</v>
      </c>
      <c r="I744" t="s">
        <v>56</v>
      </c>
      <c r="J744" t="s">
        <v>80</v>
      </c>
      <c r="K744" t="s">
        <v>93</v>
      </c>
      <c r="L744" t="s">
        <v>93</v>
      </c>
      <c r="M744">
        <v>10</v>
      </c>
      <c r="N744">
        <v>8</v>
      </c>
      <c r="O744" t="s">
        <v>153</v>
      </c>
      <c r="P744" t="s">
        <v>157</v>
      </c>
      <c r="Q744" t="s">
        <v>180</v>
      </c>
    </row>
    <row r="745" spans="1:17" x14ac:dyDescent="0.25">
      <c r="A745" t="s">
        <v>19</v>
      </c>
      <c r="B745" t="s">
        <v>26</v>
      </c>
      <c r="C745" t="s">
        <v>36</v>
      </c>
      <c r="D745" t="s">
        <v>62</v>
      </c>
      <c r="E745">
        <v>99474</v>
      </c>
      <c r="F745">
        <v>5938</v>
      </c>
      <c r="G745" t="s">
        <v>64</v>
      </c>
      <c r="I745" t="s">
        <v>56</v>
      </c>
      <c r="J745" t="s">
        <v>76</v>
      </c>
      <c r="K745" t="s">
        <v>86</v>
      </c>
      <c r="L745" t="s">
        <v>115</v>
      </c>
      <c r="M745">
        <v>15</v>
      </c>
      <c r="N745">
        <v>13</v>
      </c>
      <c r="O745" t="s">
        <v>152</v>
      </c>
      <c r="P745" t="s">
        <v>154</v>
      </c>
      <c r="Q745" t="s">
        <v>319</v>
      </c>
    </row>
    <row r="746" spans="1:17" x14ac:dyDescent="0.25">
      <c r="A746" t="s">
        <v>20</v>
      </c>
      <c r="B746" t="s">
        <v>31</v>
      </c>
      <c r="C746" t="s">
        <v>37</v>
      </c>
      <c r="D746" t="s">
        <v>57</v>
      </c>
      <c r="E746">
        <v>117491</v>
      </c>
      <c r="F746">
        <v>12633</v>
      </c>
      <c r="G746" t="s">
        <v>64</v>
      </c>
      <c r="I746" t="s">
        <v>69</v>
      </c>
      <c r="J746" t="s">
        <v>74</v>
      </c>
      <c r="K746" t="s">
        <v>84</v>
      </c>
      <c r="L746" t="s">
        <v>74</v>
      </c>
      <c r="M746">
        <v>4</v>
      </c>
      <c r="N746">
        <v>4</v>
      </c>
      <c r="O746" t="s">
        <v>152</v>
      </c>
      <c r="P746" t="s">
        <v>157</v>
      </c>
      <c r="Q746" t="s">
        <v>402</v>
      </c>
    </row>
    <row r="747" spans="1:17" x14ac:dyDescent="0.25">
      <c r="A747" t="s">
        <v>19</v>
      </c>
      <c r="B747" t="s">
        <v>23</v>
      </c>
      <c r="C747" t="s">
        <v>36</v>
      </c>
      <c r="D747" t="s">
        <v>59</v>
      </c>
      <c r="E747">
        <v>33898</v>
      </c>
      <c r="F747">
        <v>1276</v>
      </c>
      <c r="G747" t="s">
        <v>64</v>
      </c>
      <c r="J747" t="s">
        <v>73</v>
      </c>
      <c r="K747" t="s">
        <v>99</v>
      </c>
      <c r="L747" t="s">
        <v>125</v>
      </c>
      <c r="M747">
        <v>7</v>
      </c>
      <c r="N747">
        <v>7</v>
      </c>
      <c r="O747" t="s">
        <v>152</v>
      </c>
      <c r="P747" t="s">
        <v>156</v>
      </c>
      <c r="Q747" t="s">
        <v>403</v>
      </c>
    </row>
    <row r="748" spans="1:17" x14ac:dyDescent="0.25">
      <c r="A748" t="s">
        <v>19</v>
      </c>
      <c r="B748" t="s">
        <v>24</v>
      </c>
      <c r="C748" t="s">
        <v>48</v>
      </c>
      <c r="D748" t="s">
        <v>54</v>
      </c>
      <c r="E748">
        <v>55751</v>
      </c>
      <c r="F748">
        <v>3657</v>
      </c>
      <c r="G748" t="s">
        <v>63</v>
      </c>
      <c r="I748" t="s">
        <v>56</v>
      </c>
      <c r="J748" t="s">
        <v>78</v>
      </c>
      <c r="K748" t="s">
        <v>109</v>
      </c>
      <c r="L748" t="s">
        <v>137</v>
      </c>
      <c r="M748">
        <v>9</v>
      </c>
      <c r="N748">
        <v>9</v>
      </c>
      <c r="O748" t="s">
        <v>151</v>
      </c>
      <c r="P748" t="s">
        <v>155</v>
      </c>
      <c r="Q748" t="s">
        <v>173</v>
      </c>
    </row>
    <row r="749" spans="1:17" x14ac:dyDescent="0.25">
      <c r="A749" t="s">
        <v>19</v>
      </c>
      <c r="B749" t="s">
        <v>29</v>
      </c>
      <c r="C749" t="s">
        <v>43</v>
      </c>
      <c r="D749" t="s">
        <v>59</v>
      </c>
      <c r="E749">
        <v>42545</v>
      </c>
      <c r="F749">
        <v>1373</v>
      </c>
      <c r="G749" t="s">
        <v>68</v>
      </c>
      <c r="I749" t="s">
        <v>71</v>
      </c>
      <c r="J749" t="s">
        <v>81</v>
      </c>
      <c r="K749" t="s">
        <v>98</v>
      </c>
      <c r="L749" t="s">
        <v>123</v>
      </c>
      <c r="M749">
        <v>3</v>
      </c>
      <c r="N749">
        <v>3</v>
      </c>
      <c r="O749" t="s">
        <v>150</v>
      </c>
      <c r="P749" t="s">
        <v>157</v>
      </c>
      <c r="Q749" t="s">
        <v>404</v>
      </c>
    </row>
    <row r="750" spans="1:17" x14ac:dyDescent="0.25">
      <c r="A750" t="s">
        <v>20</v>
      </c>
      <c r="B750" t="s">
        <v>30</v>
      </c>
      <c r="C750" t="s">
        <v>43</v>
      </c>
      <c r="E750">
        <v>73147</v>
      </c>
      <c r="F750">
        <v>0</v>
      </c>
      <c r="G750" t="s">
        <v>68</v>
      </c>
      <c r="I750" t="s">
        <v>56</v>
      </c>
      <c r="J750" t="s">
        <v>76</v>
      </c>
      <c r="K750" t="s">
        <v>92</v>
      </c>
      <c r="L750" t="s">
        <v>119</v>
      </c>
      <c r="M750">
        <v>6</v>
      </c>
      <c r="N750">
        <v>3</v>
      </c>
      <c r="O750" t="s">
        <v>153</v>
      </c>
      <c r="P750" t="s">
        <v>156</v>
      </c>
      <c r="Q750" t="s">
        <v>391</v>
      </c>
    </row>
    <row r="751" spans="1:17" x14ac:dyDescent="0.25">
      <c r="A751" t="s">
        <v>19</v>
      </c>
      <c r="B751" t="s">
        <v>31</v>
      </c>
      <c r="C751" t="s">
        <v>44</v>
      </c>
      <c r="D751" t="s">
        <v>62</v>
      </c>
      <c r="E751">
        <v>265862</v>
      </c>
      <c r="F751">
        <v>26277</v>
      </c>
      <c r="G751" t="s">
        <v>66</v>
      </c>
      <c r="I751" t="s">
        <v>70</v>
      </c>
      <c r="J751" t="s">
        <v>73</v>
      </c>
      <c r="K751" t="s">
        <v>99</v>
      </c>
      <c r="L751" t="s">
        <v>125</v>
      </c>
      <c r="M751">
        <v>6</v>
      </c>
      <c r="N751">
        <v>6</v>
      </c>
      <c r="O751" t="s">
        <v>153</v>
      </c>
      <c r="P751" t="s">
        <v>155</v>
      </c>
      <c r="Q751" t="s">
        <v>189</v>
      </c>
    </row>
    <row r="752" spans="1:17" x14ac:dyDescent="0.25">
      <c r="A752" t="s">
        <v>20</v>
      </c>
      <c r="B752" t="s">
        <v>34</v>
      </c>
      <c r="C752" t="s">
        <v>42</v>
      </c>
      <c r="D752" t="s">
        <v>62</v>
      </c>
      <c r="E752">
        <v>519951</v>
      </c>
      <c r="F752">
        <v>20990</v>
      </c>
      <c r="G752" t="s">
        <v>66</v>
      </c>
      <c r="I752" t="s">
        <v>69</v>
      </c>
      <c r="J752" t="s">
        <v>78</v>
      </c>
      <c r="K752" t="s">
        <v>104</v>
      </c>
      <c r="L752" t="s">
        <v>131</v>
      </c>
      <c r="M752">
        <v>1</v>
      </c>
      <c r="N752">
        <v>0</v>
      </c>
      <c r="O752" t="s">
        <v>148</v>
      </c>
      <c r="P752" t="s">
        <v>156</v>
      </c>
      <c r="Q752" t="s">
        <v>167</v>
      </c>
    </row>
    <row r="753" spans="1:17" x14ac:dyDescent="0.25">
      <c r="A753" t="s">
        <v>20</v>
      </c>
      <c r="B753" t="s">
        <v>32</v>
      </c>
      <c r="C753" t="s">
        <v>36</v>
      </c>
      <c r="D753" t="s">
        <v>60</v>
      </c>
      <c r="E753">
        <v>101793</v>
      </c>
      <c r="F753">
        <v>3683</v>
      </c>
      <c r="G753" t="s">
        <v>64</v>
      </c>
      <c r="I753" t="s">
        <v>70</v>
      </c>
      <c r="J753" t="s">
        <v>72</v>
      </c>
      <c r="K753" t="s">
        <v>82</v>
      </c>
      <c r="L753" t="s">
        <v>112</v>
      </c>
      <c r="M753">
        <v>2</v>
      </c>
      <c r="N753">
        <v>2</v>
      </c>
      <c r="O753" t="s">
        <v>151</v>
      </c>
      <c r="P753" t="s">
        <v>154</v>
      </c>
      <c r="Q753" t="s">
        <v>271</v>
      </c>
    </row>
    <row r="754" spans="1:17" x14ac:dyDescent="0.25">
      <c r="A754" t="s">
        <v>20</v>
      </c>
      <c r="B754" t="s">
        <v>25</v>
      </c>
      <c r="C754" t="s">
        <v>49</v>
      </c>
      <c r="D754" t="s">
        <v>60</v>
      </c>
      <c r="E754">
        <v>90732</v>
      </c>
      <c r="F754">
        <v>23380</v>
      </c>
      <c r="G754" t="s">
        <v>64</v>
      </c>
      <c r="I754" t="s">
        <v>71</v>
      </c>
      <c r="J754" t="s">
        <v>74</v>
      </c>
      <c r="K754" t="s">
        <v>84</v>
      </c>
      <c r="L754" t="s">
        <v>74</v>
      </c>
      <c r="M754">
        <v>7</v>
      </c>
      <c r="N754">
        <v>4</v>
      </c>
      <c r="O754" t="s">
        <v>151</v>
      </c>
      <c r="P754" t="s">
        <v>156</v>
      </c>
      <c r="Q754" t="s">
        <v>212</v>
      </c>
    </row>
    <row r="755" spans="1:17" x14ac:dyDescent="0.25">
      <c r="A755" t="s">
        <v>19</v>
      </c>
      <c r="B755" t="s">
        <v>25</v>
      </c>
      <c r="C755" t="s">
        <v>49</v>
      </c>
      <c r="D755" t="s">
        <v>55</v>
      </c>
      <c r="E755">
        <v>54895</v>
      </c>
      <c r="F755">
        <v>3062</v>
      </c>
      <c r="G755" t="s">
        <v>63</v>
      </c>
      <c r="J755" t="s">
        <v>74</v>
      </c>
      <c r="K755" t="s">
        <v>84</v>
      </c>
      <c r="L755" t="s">
        <v>74</v>
      </c>
      <c r="M755">
        <v>12</v>
      </c>
      <c r="N755">
        <v>12</v>
      </c>
      <c r="O755" t="s">
        <v>151</v>
      </c>
      <c r="P755" t="s">
        <v>156</v>
      </c>
      <c r="Q755" t="s">
        <v>352</v>
      </c>
    </row>
    <row r="756" spans="1:17" x14ac:dyDescent="0.25">
      <c r="A756" t="s">
        <v>19</v>
      </c>
      <c r="B756" t="s">
        <v>26</v>
      </c>
      <c r="C756" t="s">
        <v>44</v>
      </c>
      <c r="D756" t="s">
        <v>62</v>
      </c>
      <c r="E756">
        <v>87199</v>
      </c>
      <c r="F756">
        <v>1330</v>
      </c>
      <c r="G756" t="s">
        <v>64</v>
      </c>
      <c r="J756" t="s">
        <v>73</v>
      </c>
      <c r="K756" t="s">
        <v>102</v>
      </c>
      <c r="L756" t="s">
        <v>102</v>
      </c>
      <c r="M756">
        <v>2</v>
      </c>
      <c r="N756">
        <v>2</v>
      </c>
      <c r="O756" t="s">
        <v>152</v>
      </c>
      <c r="P756" t="s">
        <v>157</v>
      </c>
      <c r="Q756" t="s">
        <v>169</v>
      </c>
    </row>
    <row r="757" spans="1:17" x14ac:dyDescent="0.25">
      <c r="A757" t="s">
        <v>19</v>
      </c>
      <c r="B757" t="s">
        <v>31</v>
      </c>
      <c r="C757" t="s">
        <v>42</v>
      </c>
      <c r="D757" t="s">
        <v>61</v>
      </c>
      <c r="E757">
        <v>802097</v>
      </c>
      <c r="F757">
        <v>72738</v>
      </c>
      <c r="G757" t="s">
        <v>66</v>
      </c>
      <c r="I757" t="s">
        <v>56</v>
      </c>
      <c r="J757" t="s">
        <v>74</v>
      </c>
      <c r="K757" t="s">
        <v>84</v>
      </c>
      <c r="L757" t="s">
        <v>74</v>
      </c>
      <c r="M757">
        <v>25</v>
      </c>
      <c r="N757">
        <v>22</v>
      </c>
      <c r="O757" t="s">
        <v>149</v>
      </c>
      <c r="P757" t="s">
        <v>154</v>
      </c>
      <c r="Q757" t="s">
        <v>256</v>
      </c>
    </row>
    <row r="758" spans="1:17" x14ac:dyDescent="0.25">
      <c r="A758" t="s">
        <v>21</v>
      </c>
      <c r="B758" t="s">
        <v>35</v>
      </c>
      <c r="C758" t="s">
        <v>51</v>
      </c>
      <c r="D758" t="s">
        <v>61</v>
      </c>
      <c r="E758">
        <v>127531</v>
      </c>
      <c r="F758">
        <v>9563</v>
      </c>
      <c r="G758" t="s">
        <v>67</v>
      </c>
      <c r="J758" t="s">
        <v>81</v>
      </c>
      <c r="K758" t="s">
        <v>101</v>
      </c>
      <c r="L758" t="s">
        <v>127</v>
      </c>
      <c r="M758">
        <v>15</v>
      </c>
      <c r="N758">
        <v>12</v>
      </c>
      <c r="O758" t="s">
        <v>150</v>
      </c>
      <c r="P758" t="s">
        <v>154</v>
      </c>
      <c r="Q758" t="s">
        <v>169</v>
      </c>
    </row>
    <row r="759" spans="1:17" x14ac:dyDescent="0.25">
      <c r="A759" t="s">
        <v>21</v>
      </c>
      <c r="B759" t="s">
        <v>33</v>
      </c>
      <c r="C759" t="s">
        <v>43</v>
      </c>
      <c r="D759" t="s">
        <v>55</v>
      </c>
      <c r="E759">
        <v>105017</v>
      </c>
      <c r="F759">
        <v>6039</v>
      </c>
      <c r="G759" t="s">
        <v>65</v>
      </c>
      <c r="I759" t="s">
        <v>71</v>
      </c>
      <c r="J759" t="s">
        <v>81</v>
      </c>
      <c r="K759" t="s">
        <v>94</v>
      </c>
      <c r="L759" t="s">
        <v>129</v>
      </c>
      <c r="M759">
        <v>10</v>
      </c>
      <c r="N759">
        <v>10</v>
      </c>
      <c r="O759" t="s">
        <v>152</v>
      </c>
      <c r="P759" t="s">
        <v>155</v>
      </c>
      <c r="Q759" t="s">
        <v>189</v>
      </c>
    </row>
    <row r="760" spans="1:17" x14ac:dyDescent="0.25">
      <c r="A760" t="s">
        <v>18</v>
      </c>
      <c r="B760" t="s">
        <v>31</v>
      </c>
      <c r="C760" t="s">
        <v>41</v>
      </c>
      <c r="D760" t="s">
        <v>59</v>
      </c>
      <c r="E760">
        <v>84177</v>
      </c>
      <c r="F760">
        <v>927</v>
      </c>
      <c r="G760" t="s">
        <v>63</v>
      </c>
      <c r="I760" t="s">
        <v>71</v>
      </c>
      <c r="J760" t="s">
        <v>80</v>
      </c>
      <c r="K760" t="s">
        <v>106</v>
      </c>
      <c r="L760" t="s">
        <v>106</v>
      </c>
      <c r="M760">
        <v>0</v>
      </c>
      <c r="N760">
        <v>0</v>
      </c>
      <c r="O760" t="s">
        <v>148</v>
      </c>
      <c r="P760" t="s">
        <v>155</v>
      </c>
      <c r="Q760" t="s">
        <v>209</v>
      </c>
    </row>
    <row r="761" spans="1:17" x14ac:dyDescent="0.25">
      <c r="A761" t="s">
        <v>19</v>
      </c>
      <c r="B761" t="s">
        <v>35</v>
      </c>
      <c r="C761" t="s">
        <v>46</v>
      </c>
      <c r="D761" t="s">
        <v>55</v>
      </c>
      <c r="E761">
        <v>53344</v>
      </c>
      <c r="F761">
        <v>0</v>
      </c>
      <c r="G761" t="s">
        <v>63</v>
      </c>
      <c r="I761" t="s">
        <v>56</v>
      </c>
      <c r="J761" t="s">
        <v>77</v>
      </c>
      <c r="K761" t="s">
        <v>97</v>
      </c>
      <c r="L761" t="s">
        <v>122</v>
      </c>
      <c r="M761">
        <v>12</v>
      </c>
      <c r="N761">
        <v>12</v>
      </c>
      <c r="O761" t="s">
        <v>150</v>
      </c>
      <c r="P761" t="s">
        <v>156</v>
      </c>
      <c r="Q761" t="s">
        <v>181</v>
      </c>
    </row>
    <row r="762" spans="1:17" x14ac:dyDescent="0.25">
      <c r="A762" t="s">
        <v>20</v>
      </c>
      <c r="B762" t="s">
        <v>27</v>
      </c>
      <c r="C762" t="s">
        <v>48</v>
      </c>
      <c r="D762" t="s">
        <v>55</v>
      </c>
      <c r="E762">
        <v>832749</v>
      </c>
      <c r="F762">
        <v>24914</v>
      </c>
      <c r="G762" t="s">
        <v>66</v>
      </c>
      <c r="I762" t="s">
        <v>56</v>
      </c>
      <c r="J762" t="s">
        <v>74</v>
      </c>
      <c r="K762" t="s">
        <v>84</v>
      </c>
      <c r="L762" t="s">
        <v>74</v>
      </c>
      <c r="M762">
        <v>7</v>
      </c>
      <c r="N762">
        <v>4</v>
      </c>
      <c r="O762" t="s">
        <v>148</v>
      </c>
      <c r="P762" t="s">
        <v>154</v>
      </c>
      <c r="Q762" t="s">
        <v>405</v>
      </c>
    </row>
    <row r="763" spans="1:17" x14ac:dyDescent="0.25">
      <c r="A763" t="s">
        <v>21</v>
      </c>
      <c r="B763" t="s">
        <v>26</v>
      </c>
      <c r="C763" t="s">
        <v>52</v>
      </c>
      <c r="D763" t="s">
        <v>58</v>
      </c>
      <c r="E763">
        <v>120070</v>
      </c>
      <c r="F763">
        <v>2558</v>
      </c>
      <c r="G763" t="s">
        <v>63</v>
      </c>
      <c r="I763" t="s">
        <v>56</v>
      </c>
      <c r="J763" t="s">
        <v>76</v>
      </c>
      <c r="K763" t="s">
        <v>92</v>
      </c>
      <c r="L763" t="s">
        <v>119</v>
      </c>
      <c r="M763">
        <v>15</v>
      </c>
      <c r="N763">
        <v>15</v>
      </c>
      <c r="O763" t="s">
        <v>149</v>
      </c>
      <c r="P763" t="s">
        <v>157</v>
      </c>
      <c r="Q763" t="s">
        <v>250</v>
      </c>
    </row>
    <row r="764" spans="1:17" x14ac:dyDescent="0.25">
      <c r="A764" t="s">
        <v>19</v>
      </c>
      <c r="B764" t="s">
        <v>32</v>
      </c>
      <c r="C764" t="s">
        <v>52</v>
      </c>
      <c r="D764" t="s">
        <v>56</v>
      </c>
      <c r="E764">
        <v>32079</v>
      </c>
      <c r="F764">
        <v>2191</v>
      </c>
      <c r="G764" t="s">
        <v>67</v>
      </c>
      <c r="I764" t="s">
        <v>70</v>
      </c>
      <c r="J764" t="s">
        <v>80</v>
      </c>
      <c r="K764" t="s">
        <v>93</v>
      </c>
      <c r="L764" t="s">
        <v>93</v>
      </c>
      <c r="M764">
        <v>5</v>
      </c>
      <c r="N764">
        <v>5</v>
      </c>
      <c r="O764" t="s">
        <v>150</v>
      </c>
      <c r="P764" t="s">
        <v>155</v>
      </c>
      <c r="Q764" t="s">
        <v>233</v>
      </c>
    </row>
    <row r="765" spans="1:17" x14ac:dyDescent="0.25">
      <c r="A765" t="s">
        <v>19</v>
      </c>
      <c r="B765" t="s">
        <v>28</v>
      </c>
      <c r="C765" t="s">
        <v>49</v>
      </c>
      <c r="D765" t="s">
        <v>57</v>
      </c>
      <c r="E765">
        <v>45878</v>
      </c>
      <c r="F765">
        <v>484</v>
      </c>
      <c r="G765" t="s">
        <v>68</v>
      </c>
      <c r="I765" t="s">
        <v>56</v>
      </c>
      <c r="J765" t="s">
        <v>74</v>
      </c>
      <c r="K765" t="s">
        <v>84</v>
      </c>
      <c r="L765" t="s">
        <v>74</v>
      </c>
      <c r="M765">
        <v>3</v>
      </c>
      <c r="N765">
        <v>1</v>
      </c>
      <c r="O765" t="s">
        <v>150</v>
      </c>
      <c r="P765" t="s">
        <v>155</v>
      </c>
      <c r="Q765" t="s">
        <v>213</v>
      </c>
    </row>
    <row r="766" spans="1:17" x14ac:dyDescent="0.25">
      <c r="A766" t="s">
        <v>17</v>
      </c>
      <c r="B766" t="s">
        <v>25</v>
      </c>
      <c r="C766" t="s">
        <v>38</v>
      </c>
      <c r="D766" t="s">
        <v>56</v>
      </c>
      <c r="E766">
        <v>59114</v>
      </c>
      <c r="F766">
        <v>4146</v>
      </c>
      <c r="G766" t="s">
        <v>63</v>
      </c>
      <c r="J766" t="s">
        <v>76</v>
      </c>
      <c r="K766" t="s">
        <v>92</v>
      </c>
      <c r="L766" t="s">
        <v>119</v>
      </c>
      <c r="M766">
        <v>10</v>
      </c>
      <c r="N766">
        <v>9</v>
      </c>
      <c r="O766" t="s">
        <v>149</v>
      </c>
      <c r="P766" t="s">
        <v>157</v>
      </c>
      <c r="Q766" t="s">
        <v>351</v>
      </c>
    </row>
    <row r="767" spans="1:17" x14ac:dyDescent="0.25">
      <c r="A767" t="s">
        <v>19</v>
      </c>
      <c r="B767" t="s">
        <v>22</v>
      </c>
      <c r="C767" t="s">
        <v>42</v>
      </c>
      <c r="D767" t="s">
        <v>62</v>
      </c>
      <c r="E767">
        <v>118334</v>
      </c>
      <c r="F767">
        <v>31016</v>
      </c>
      <c r="G767" t="s">
        <v>67</v>
      </c>
      <c r="J767" t="s">
        <v>77</v>
      </c>
      <c r="K767" t="s">
        <v>110</v>
      </c>
      <c r="L767" t="s">
        <v>145</v>
      </c>
      <c r="M767">
        <v>5</v>
      </c>
      <c r="N767">
        <v>3</v>
      </c>
      <c r="O767" t="s">
        <v>149</v>
      </c>
      <c r="P767" t="s">
        <v>157</v>
      </c>
      <c r="Q767" t="s">
        <v>166</v>
      </c>
    </row>
    <row r="768" spans="1:17" x14ac:dyDescent="0.25">
      <c r="A768" t="s">
        <v>19</v>
      </c>
      <c r="B768" t="s">
        <v>29</v>
      </c>
      <c r="C768" t="s">
        <v>52</v>
      </c>
      <c r="D768" t="s">
        <v>59</v>
      </c>
      <c r="E768">
        <v>1437274</v>
      </c>
      <c r="F768">
        <v>321317</v>
      </c>
      <c r="G768" t="s">
        <v>66</v>
      </c>
      <c r="J768" t="s">
        <v>78</v>
      </c>
      <c r="K768" t="s">
        <v>105</v>
      </c>
      <c r="L768" t="s">
        <v>133</v>
      </c>
      <c r="M768">
        <v>2</v>
      </c>
      <c r="N768">
        <v>1</v>
      </c>
      <c r="O768" t="s">
        <v>152</v>
      </c>
      <c r="P768" t="s">
        <v>156</v>
      </c>
      <c r="Q768" t="s">
        <v>406</v>
      </c>
    </row>
    <row r="769" spans="1:17" x14ac:dyDescent="0.25">
      <c r="A769" t="s">
        <v>19</v>
      </c>
      <c r="B769" t="s">
        <v>22</v>
      </c>
      <c r="C769" t="s">
        <v>38</v>
      </c>
      <c r="D769" t="s">
        <v>59</v>
      </c>
      <c r="E769">
        <v>571701</v>
      </c>
      <c r="F769">
        <v>17428</v>
      </c>
      <c r="G769" t="s">
        <v>66</v>
      </c>
      <c r="I769" t="s">
        <v>69</v>
      </c>
      <c r="J769" t="s">
        <v>79</v>
      </c>
      <c r="K769" t="s">
        <v>91</v>
      </c>
      <c r="L769" t="s">
        <v>118</v>
      </c>
      <c r="M769">
        <v>2</v>
      </c>
      <c r="N769">
        <v>0</v>
      </c>
      <c r="O769" t="s">
        <v>153</v>
      </c>
      <c r="P769" t="s">
        <v>154</v>
      </c>
      <c r="Q769" t="s">
        <v>407</v>
      </c>
    </row>
    <row r="770" spans="1:17" x14ac:dyDescent="0.25">
      <c r="A770" t="s">
        <v>17</v>
      </c>
      <c r="B770" t="s">
        <v>31</v>
      </c>
      <c r="C770" t="s">
        <v>40</v>
      </c>
      <c r="D770" t="s">
        <v>54</v>
      </c>
      <c r="E770">
        <v>703505</v>
      </c>
      <c r="F770">
        <v>44441</v>
      </c>
      <c r="G770" t="s">
        <v>66</v>
      </c>
      <c r="I770" t="s">
        <v>70</v>
      </c>
      <c r="J770" t="s">
        <v>72</v>
      </c>
      <c r="K770" t="s">
        <v>82</v>
      </c>
      <c r="L770" t="s">
        <v>112</v>
      </c>
      <c r="M770">
        <v>18</v>
      </c>
      <c r="N770">
        <v>17</v>
      </c>
      <c r="O770" t="s">
        <v>148</v>
      </c>
      <c r="P770" t="s">
        <v>156</v>
      </c>
      <c r="Q770" t="s">
        <v>408</v>
      </c>
    </row>
    <row r="771" spans="1:17" x14ac:dyDescent="0.25">
      <c r="A771" t="s">
        <v>19</v>
      </c>
      <c r="B771" t="s">
        <v>25</v>
      </c>
      <c r="C771" t="s">
        <v>49</v>
      </c>
      <c r="D771" t="s">
        <v>54</v>
      </c>
      <c r="E771">
        <v>103670</v>
      </c>
      <c r="F771">
        <v>4734</v>
      </c>
      <c r="G771" t="s">
        <v>67</v>
      </c>
      <c r="I771" t="s">
        <v>71</v>
      </c>
      <c r="J771" t="s">
        <v>75</v>
      </c>
      <c r="K771" t="s">
        <v>85</v>
      </c>
      <c r="L771" t="s">
        <v>114</v>
      </c>
      <c r="M771">
        <v>20</v>
      </c>
      <c r="N771">
        <v>18</v>
      </c>
      <c r="O771" t="s">
        <v>148</v>
      </c>
      <c r="P771" t="s">
        <v>155</v>
      </c>
      <c r="Q771" t="s">
        <v>212</v>
      </c>
    </row>
    <row r="772" spans="1:17" x14ac:dyDescent="0.25">
      <c r="A772" t="s">
        <v>19</v>
      </c>
      <c r="B772" t="s">
        <v>33</v>
      </c>
      <c r="C772" t="s">
        <v>43</v>
      </c>
      <c r="D772" t="s">
        <v>59</v>
      </c>
      <c r="E772">
        <v>62584</v>
      </c>
      <c r="F772">
        <v>2902</v>
      </c>
      <c r="G772" t="s">
        <v>63</v>
      </c>
      <c r="J772" t="s">
        <v>76</v>
      </c>
      <c r="K772" t="s">
        <v>100</v>
      </c>
      <c r="L772" t="s">
        <v>126</v>
      </c>
      <c r="M772">
        <v>7</v>
      </c>
      <c r="N772">
        <v>5</v>
      </c>
      <c r="O772" t="s">
        <v>150</v>
      </c>
      <c r="P772" t="s">
        <v>157</v>
      </c>
      <c r="Q772" t="s">
        <v>409</v>
      </c>
    </row>
    <row r="773" spans="1:17" x14ac:dyDescent="0.25">
      <c r="A773" t="s">
        <v>17</v>
      </c>
      <c r="B773" t="s">
        <v>35</v>
      </c>
      <c r="C773" t="s">
        <v>50</v>
      </c>
      <c r="D773" t="s">
        <v>57</v>
      </c>
      <c r="E773">
        <v>55071</v>
      </c>
      <c r="F773">
        <v>3411</v>
      </c>
      <c r="G773" t="s">
        <v>65</v>
      </c>
      <c r="I773" t="s">
        <v>71</v>
      </c>
      <c r="J773" t="s">
        <v>77</v>
      </c>
      <c r="K773" t="s">
        <v>97</v>
      </c>
      <c r="L773" t="s">
        <v>122</v>
      </c>
      <c r="M773">
        <v>20</v>
      </c>
      <c r="N773">
        <v>17</v>
      </c>
      <c r="O773" t="s">
        <v>151</v>
      </c>
      <c r="P773" t="s">
        <v>154</v>
      </c>
      <c r="Q773" t="s">
        <v>277</v>
      </c>
    </row>
    <row r="774" spans="1:17" x14ac:dyDescent="0.25">
      <c r="A774" t="s">
        <v>17</v>
      </c>
      <c r="B774" t="s">
        <v>31</v>
      </c>
      <c r="C774" t="s">
        <v>45</v>
      </c>
      <c r="D774" t="s">
        <v>62</v>
      </c>
      <c r="E774">
        <v>37095</v>
      </c>
      <c r="F774">
        <v>0</v>
      </c>
      <c r="G774" t="s">
        <v>65</v>
      </c>
      <c r="I774" t="s">
        <v>71</v>
      </c>
      <c r="J774" t="s">
        <v>77</v>
      </c>
      <c r="K774" t="s">
        <v>87</v>
      </c>
      <c r="L774" t="s">
        <v>116</v>
      </c>
      <c r="M774">
        <v>9</v>
      </c>
      <c r="N774">
        <v>7</v>
      </c>
      <c r="O774" t="s">
        <v>150</v>
      </c>
      <c r="P774" t="s">
        <v>156</v>
      </c>
      <c r="Q774" t="s">
        <v>404</v>
      </c>
    </row>
    <row r="775" spans="1:17" x14ac:dyDescent="0.25">
      <c r="A775" t="s">
        <v>20</v>
      </c>
      <c r="B775" t="s">
        <v>28</v>
      </c>
      <c r="C775" t="s">
        <v>47</v>
      </c>
      <c r="D775" t="s">
        <v>61</v>
      </c>
      <c r="E775">
        <v>116515</v>
      </c>
      <c r="F775">
        <v>3959</v>
      </c>
      <c r="G775" t="s">
        <v>63</v>
      </c>
      <c r="I775" t="s">
        <v>70</v>
      </c>
      <c r="J775" t="s">
        <v>80</v>
      </c>
      <c r="K775" t="s">
        <v>93</v>
      </c>
      <c r="L775" t="s">
        <v>93</v>
      </c>
      <c r="M775">
        <v>0</v>
      </c>
      <c r="N775">
        <v>0</v>
      </c>
      <c r="O775" t="s">
        <v>153</v>
      </c>
      <c r="P775" t="s">
        <v>155</v>
      </c>
      <c r="Q775" t="s">
        <v>162</v>
      </c>
    </row>
    <row r="776" spans="1:17" x14ac:dyDescent="0.25">
      <c r="A776" t="s">
        <v>20</v>
      </c>
      <c r="B776" t="s">
        <v>24</v>
      </c>
      <c r="C776" t="s">
        <v>44</v>
      </c>
      <c r="D776" t="s">
        <v>58</v>
      </c>
      <c r="E776">
        <v>84019</v>
      </c>
      <c r="F776">
        <v>541</v>
      </c>
      <c r="G776" t="s">
        <v>64</v>
      </c>
      <c r="I776" t="s">
        <v>56</v>
      </c>
      <c r="J776" t="s">
        <v>74</v>
      </c>
      <c r="K776" t="s">
        <v>84</v>
      </c>
      <c r="L776" t="s">
        <v>74</v>
      </c>
      <c r="M776">
        <v>6</v>
      </c>
      <c r="N776">
        <v>6</v>
      </c>
      <c r="O776" t="s">
        <v>150</v>
      </c>
      <c r="P776" t="s">
        <v>154</v>
      </c>
      <c r="Q776" t="s">
        <v>283</v>
      </c>
    </row>
    <row r="777" spans="1:17" x14ac:dyDescent="0.25">
      <c r="A777" t="s">
        <v>17</v>
      </c>
      <c r="B777" t="s">
        <v>27</v>
      </c>
      <c r="C777" t="s">
        <v>53</v>
      </c>
      <c r="E777">
        <v>48510</v>
      </c>
      <c r="F777">
        <v>4516</v>
      </c>
      <c r="G777" t="s">
        <v>67</v>
      </c>
      <c r="I777" t="s">
        <v>71</v>
      </c>
      <c r="J777" t="s">
        <v>79</v>
      </c>
      <c r="K777" t="s">
        <v>91</v>
      </c>
      <c r="L777" t="s">
        <v>118</v>
      </c>
      <c r="M777">
        <v>25</v>
      </c>
      <c r="N777">
        <v>25</v>
      </c>
      <c r="O777" t="s">
        <v>149</v>
      </c>
      <c r="P777" t="s">
        <v>157</v>
      </c>
      <c r="Q777" t="s">
        <v>175</v>
      </c>
    </row>
    <row r="778" spans="1:17" x14ac:dyDescent="0.25">
      <c r="A778" t="s">
        <v>19</v>
      </c>
      <c r="B778" t="s">
        <v>24</v>
      </c>
      <c r="C778" t="s">
        <v>50</v>
      </c>
      <c r="D778" t="s">
        <v>56</v>
      </c>
      <c r="E778">
        <v>92409</v>
      </c>
      <c r="F778">
        <v>11768</v>
      </c>
      <c r="G778" t="s">
        <v>67</v>
      </c>
      <c r="J778" t="s">
        <v>81</v>
      </c>
      <c r="K778" t="s">
        <v>98</v>
      </c>
      <c r="L778" t="s">
        <v>123</v>
      </c>
      <c r="M778">
        <v>18</v>
      </c>
      <c r="N778">
        <v>16</v>
      </c>
      <c r="O778" t="s">
        <v>151</v>
      </c>
      <c r="P778" t="s">
        <v>154</v>
      </c>
      <c r="Q778" t="s">
        <v>294</v>
      </c>
    </row>
    <row r="779" spans="1:17" x14ac:dyDescent="0.25">
      <c r="A779" t="s">
        <v>21</v>
      </c>
      <c r="B779" t="s">
        <v>26</v>
      </c>
      <c r="C779" t="s">
        <v>48</v>
      </c>
      <c r="D779" t="s">
        <v>60</v>
      </c>
      <c r="E779">
        <v>136373</v>
      </c>
      <c r="F779">
        <v>472</v>
      </c>
      <c r="G779" t="s">
        <v>67</v>
      </c>
      <c r="I779" t="s">
        <v>56</v>
      </c>
      <c r="J779" t="s">
        <v>76</v>
      </c>
      <c r="K779" t="s">
        <v>100</v>
      </c>
      <c r="L779" t="s">
        <v>126</v>
      </c>
      <c r="M779">
        <v>15</v>
      </c>
      <c r="N779">
        <v>15</v>
      </c>
      <c r="O779" t="s">
        <v>149</v>
      </c>
      <c r="P779" t="s">
        <v>156</v>
      </c>
      <c r="Q779" t="s">
        <v>170</v>
      </c>
    </row>
    <row r="780" spans="1:17" x14ac:dyDescent="0.25">
      <c r="A780" t="s">
        <v>21</v>
      </c>
      <c r="B780" t="s">
        <v>26</v>
      </c>
      <c r="C780" t="s">
        <v>37</v>
      </c>
      <c r="D780" t="s">
        <v>58</v>
      </c>
      <c r="E780">
        <v>66367</v>
      </c>
      <c r="F780">
        <v>5276</v>
      </c>
      <c r="G780" t="s">
        <v>68</v>
      </c>
      <c r="I780" t="s">
        <v>70</v>
      </c>
      <c r="J780" t="s">
        <v>78</v>
      </c>
      <c r="K780" t="s">
        <v>109</v>
      </c>
      <c r="L780" t="s">
        <v>137</v>
      </c>
      <c r="M780">
        <v>15</v>
      </c>
      <c r="N780">
        <v>15</v>
      </c>
      <c r="O780" t="s">
        <v>148</v>
      </c>
      <c r="P780" t="s">
        <v>154</v>
      </c>
      <c r="Q780" t="s">
        <v>181</v>
      </c>
    </row>
    <row r="781" spans="1:17" x14ac:dyDescent="0.25">
      <c r="A781" t="s">
        <v>20</v>
      </c>
      <c r="B781" t="s">
        <v>23</v>
      </c>
      <c r="C781" t="s">
        <v>43</v>
      </c>
      <c r="D781" t="s">
        <v>59</v>
      </c>
      <c r="E781">
        <v>87517</v>
      </c>
      <c r="F781">
        <v>22769</v>
      </c>
      <c r="G781" t="s">
        <v>63</v>
      </c>
      <c r="J781" t="s">
        <v>73</v>
      </c>
      <c r="K781" t="s">
        <v>83</v>
      </c>
      <c r="L781" t="s">
        <v>113</v>
      </c>
      <c r="M781">
        <v>4</v>
      </c>
      <c r="N781">
        <v>4</v>
      </c>
      <c r="O781" t="s">
        <v>150</v>
      </c>
      <c r="P781" t="s">
        <v>154</v>
      </c>
      <c r="Q781" t="s">
        <v>181</v>
      </c>
    </row>
    <row r="782" spans="1:17" x14ac:dyDescent="0.25">
      <c r="A782" t="s">
        <v>20</v>
      </c>
      <c r="B782" t="s">
        <v>32</v>
      </c>
      <c r="C782" t="s">
        <v>43</v>
      </c>
      <c r="D782" t="s">
        <v>56</v>
      </c>
      <c r="E782">
        <v>27660</v>
      </c>
      <c r="F782">
        <v>2600</v>
      </c>
      <c r="G782" t="s">
        <v>68</v>
      </c>
      <c r="I782" t="s">
        <v>70</v>
      </c>
      <c r="J782" t="s">
        <v>76</v>
      </c>
      <c r="K782" t="s">
        <v>100</v>
      </c>
      <c r="L782" t="s">
        <v>132</v>
      </c>
      <c r="M782">
        <v>3</v>
      </c>
      <c r="N782">
        <v>0</v>
      </c>
      <c r="O782" t="s">
        <v>153</v>
      </c>
      <c r="P782" t="s">
        <v>154</v>
      </c>
      <c r="Q782" t="s">
        <v>169</v>
      </c>
    </row>
    <row r="783" spans="1:17" x14ac:dyDescent="0.25">
      <c r="A783" t="s">
        <v>19</v>
      </c>
      <c r="B783" t="s">
        <v>31</v>
      </c>
      <c r="C783" t="s">
        <v>36</v>
      </c>
      <c r="D783" t="s">
        <v>55</v>
      </c>
      <c r="E783">
        <v>17798</v>
      </c>
      <c r="F783">
        <v>1780</v>
      </c>
      <c r="G783" t="s">
        <v>65</v>
      </c>
      <c r="I783" t="s">
        <v>56</v>
      </c>
      <c r="J783" t="s">
        <v>73</v>
      </c>
      <c r="K783" t="s">
        <v>102</v>
      </c>
      <c r="L783" t="s">
        <v>102</v>
      </c>
      <c r="M783">
        <v>7</v>
      </c>
      <c r="N783">
        <v>6</v>
      </c>
      <c r="O783" t="s">
        <v>151</v>
      </c>
      <c r="P783" t="s">
        <v>156</v>
      </c>
      <c r="Q783" t="s">
        <v>348</v>
      </c>
    </row>
    <row r="784" spans="1:17" x14ac:dyDescent="0.25">
      <c r="A784" t="s">
        <v>19</v>
      </c>
      <c r="B784" t="s">
        <v>29</v>
      </c>
      <c r="C784" t="s">
        <v>42</v>
      </c>
      <c r="D784" t="s">
        <v>57</v>
      </c>
      <c r="E784">
        <v>108778</v>
      </c>
      <c r="F784">
        <v>12534</v>
      </c>
      <c r="G784" t="s">
        <v>65</v>
      </c>
      <c r="I784" t="s">
        <v>56</v>
      </c>
      <c r="J784" t="s">
        <v>78</v>
      </c>
      <c r="K784" t="s">
        <v>88</v>
      </c>
      <c r="L784" t="s">
        <v>136</v>
      </c>
      <c r="M784">
        <v>5</v>
      </c>
      <c r="N784">
        <v>4</v>
      </c>
      <c r="O784" t="s">
        <v>153</v>
      </c>
      <c r="P784" t="s">
        <v>155</v>
      </c>
      <c r="Q784" t="s">
        <v>410</v>
      </c>
    </row>
    <row r="785" spans="1:17" x14ac:dyDescent="0.25">
      <c r="A785" t="s">
        <v>17</v>
      </c>
      <c r="B785" t="s">
        <v>28</v>
      </c>
      <c r="C785" t="s">
        <v>41</v>
      </c>
      <c r="D785" t="s">
        <v>58</v>
      </c>
      <c r="E785">
        <v>80281</v>
      </c>
      <c r="F785">
        <v>4220</v>
      </c>
      <c r="G785" t="s">
        <v>63</v>
      </c>
      <c r="I785" t="s">
        <v>70</v>
      </c>
      <c r="J785" t="s">
        <v>73</v>
      </c>
      <c r="K785" t="s">
        <v>83</v>
      </c>
      <c r="L785" t="s">
        <v>113</v>
      </c>
      <c r="M785">
        <v>9</v>
      </c>
      <c r="N785">
        <v>9</v>
      </c>
      <c r="O785" t="s">
        <v>150</v>
      </c>
      <c r="P785" t="s">
        <v>155</v>
      </c>
      <c r="Q785" t="s">
        <v>188</v>
      </c>
    </row>
    <row r="786" spans="1:17" x14ac:dyDescent="0.25">
      <c r="A786" t="s">
        <v>20</v>
      </c>
      <c r="D786" t="s">
        <v>57</v>
      </c>
      <c r="F786">
        <v>13457</v>
      </c>
      <c r="G786" t="s">
        <v>64</v>
      </c>
      <c r="I786" t="s">
        <v>70</v>
      </c>
      <c r="J786" t="s">
        <v>79</v>
      </c>
      <c r="K786" t="s">
        <v>107</v>
      </c>
      <c r="N786">
        <v>0</v>
      </c>
      <c r="O786" t="s">
        <v>149</v>
      </c>
      <c r="Q786" t="s">
        <v>190</v>
      </c>
    </row>
    <row r="787" spans="1:17" x14ac:dyDescent="0.25">
      <c r="A787" t="s">
        <v>19</v>
      </c>
      <c r="B787" t="s">
        <v>29</v>
      </c>
      <c r="C787" t="s">
        <v>48</v>
      </c>
      <c r="D787" t="s">
        <v>61</v>
      </c>
      <c r="E787">
        <v>50451</v>
      </c>
      <c r="F787">
        <v>621</v>
      </c>
      <c r="G787" t="s">
        <v>63</v>
      </c>
      <c r="I787" t="s">
        <v>56</v>
      </c>
      <c r="J787" t="s">
        <v>77</v>
      </c>
      <c r="K787" t="s">
        <v>110</v>
      </c>
      <c r="L787" t="s">
        <v>145</v>
      </c>
      <c r="M787">
        <v>3</v>
      </c>
      <c r="N787">
        <v>3</v>
      </c>
      <c r="O787" t="s">
        <v>151</v>
      </c>
      <c r="P787" t="s">
        <v>156</v>
      </c>
      <c r="Q787" t="s">
        <v>171</v>
      </c>
    </row>
    <row r="788" spans="1:17" x14ac:dyDescent="0.25">
      <c r="A788" t="s">
        <v>17</v>
      </c>
      <c r="B788" t="s">
        <v>35</v>
      </c>
      <c r="C788" t="s">
        <v>38</v>
      </c>
      <c r="D788" t="s">
        <v>62</v>
      </c>
      <c r="E788">
        <v>64518</v>
      </c>
      <c r="F788">
        <v>308</v>
      </c>
      <c r="G788" t="s">
        <v>65</v>
      </c>
      <c r="I788" t="s">
        <v>56</v>
      </c>
      <c r="J788" t="s">
        <v>78</v>
      </c>
      <c r="K788" t="s">
        <v>104</v>
      </c>
      <c r="L788" t="s">
        <v>131</v>
      </c>
      <c r="M788">
        <v>15</v>
      </c>
      <c r="N788">
        <v>15</v>
      </c>
      <c r="O788" t="s">
        <v>152</v>
      </c>
      <c r="P788" t="s">
        <v>154</v>
      </c>
      <c r="Q788" t="s">
        <v>222</v>
      </c>
    </row>
    <row r="789" spans="1:17" x14ac:dyDescent="0.25">
      <c r="A789" t="s">
        <v>18</v>
      </c>
      <c r="B789" t="s">
        <v>29</v>
      </c>
      <c r="C789" t="s">
        <v>38</v>
      </c>
      <c r="D789" t="s">
        <v>56</v>
      </c>
      <c r="E789">
        <v>45576</v>
      </c>
      <c r="F789">
        <v>136</v>
      </c>
      <c r="G789" t="s">
        <v>67</v>
      </c>
      <c r="I789" t="s">
        <v>70</v>
      </c>
      <c r="J789" t="s">
        <v>72</v>
      </c>
      <c r="K789" t="s">
        <v>82</v>
      </c>
      <c r="L789" t="s">
        <v>112</v>
      </c>
      <c r="M789">
        <v>1</v>
      </c>
      <c r="N789">
        <v>0</v>
      </c>
      <c r="O789" t="s">
        <v>151</v>
      </c>
      <c r="P789" t="s">
        <v>155</v>
      </c>
      <c r="Q789" t="s">
        <v>175</v>
      </c>
    </row>
    <row r="790" spans="1:17" x14ac:dyDescent="0.25">
      <c r="A790" t="s">
        <v>19</v>
      </c>
      <c r="B790" t="s">
        <v>32</v>
      </c>
      <c r="C790" t="s">
        <v>50</v>
      </c>
      <c r="D790" t="s">
        <v>56</v>
      </c>
      <c r="E790">
        <v>55691</v>
      </c>
      <c r="F790">
        <v>2088</v>
      </c>
      <c r="G790" t="s">
        <v>68</v>
      </c>
      <c r="I790" t="s">
        <v>71</v>
      </c>
      <c r="J790" t="s">
        <v>75</v>
      </c>
      <c r="K790" t="s">
        <v>108</v>
      </c>
      <c r="L790" t="s">
        <v>135</v>
      </c>
      <c r="M790">
        <v>4</v>
      </c>
      <c r="N790">
        <v>4</v>
      </c>
      <c r="O790" t="s">
        <v>148</v>
      </c>
      <c r="P790" t="s">
        <v>157</v>
      </c>
      <c r="Q790" t="s">
        <v>206</v>
      </c>
    </row>
    <row r="791" spans="1:17" x14ac:dyDescent="0.25">
      <c r="A791" t="s">
        <v>19</v>
      </c>
      <c r="B791" t="s">
        <v>34</v>
      </c>
      <c r="C791" t="s">
        <v>50</v>
      </c>
      <c r="D791" t="s">
        <v>60</v>
      </c>
      <c r="E791">
        <v>707626</v>
      </c>
      <c r="F791">
        <v>54255</v>
      </c>
      <c r="G791" t="s">
        <v>66</v>
      </c>
      <c r="I791" t="s">
        <v>70</v>
      </c>
      <c r="J791" t="s">
        <v>79</v>
      </c>
      <c r="K791" t="s">
        <v>107</v>
      </c>
      <c r="L791" t="s">
        <v>134</v>
      </c>
      <c r="M791">
        <v>8</v>
      </c>
      <c r="N791">
        <v>5</v>
      </c>
      <c r="O791" t="s">
        <v>149</v>
      </c>
      <c r="P791" t="s">
        <v>156</v>
      </c>
      <c r="Q791" t="s">
        <v>212</v>
      </c>
    </row>
    <row r="792" spans="1:17" x14ac:dyDescent="0.25">
      <c r="A792" t="s">
        <v>17</v>
      </c>
      <c r="B792" t="s">
        <v>30</v>
      </c>
      <c r="C792" t="s">
        <v>45</v>
      </c>
      <c r="D792" t="s">
        <v>57</v>
      </c>
      <c r="E792">
        <v>101348</v>
      </c>
      <c r="F792">
        <v>10757</v>
      </c>
      <c r="G792" t="s">
        <v>65</v>
      </c>
      <c r="I792" t="s">
        <v>71</v>
      </c>
      <c r="J792" t="s">
        <v>72</v>
      </c>
      <c r="K792" t="s">
        <v>82</v>
      </c>
      <c r="L792" t="s">
        <v>112</v>
      </c>
      <c r="M792">
        <v>18</v>
      </c>
      <c r="N792">
        <v>16</v>
      </c>
      <c r="O792" t="s">
        <v>152</v>
      </c>
      <c r="P792" t="s">
        <v>154</v>
      </c>
      <c r="Q792" t="s">
        <v>411</v>
      </c>
    </row>
    <row r="793" spans="1:17" x14ac:dyDescent="0.25">
      <c r="A793" t="s">
        <v>21</v>
      </c>
      <c r="B793" t="s">
        <v>22</v>
      </c>
      <c r="C793" t="s">
        <v>53</v>
      </c>
      <c r="D793" t="s">
        <v>62</v>
      </c>
      <c r="E793">
        <v>93370</v>
      </c>
      <c r="F793">
        <v>6915</v>
      </c>
      <c r="G793" t="s">
        <v>64</v>
      </c>
      <c r="I793" t="s">
        <v>56</v>
      </c>
      <c r="J793" t="s">
        <v>72</v>
      </c>
      <c r="K793" t="s">
        <v>82</v>
      </c>
      <c r="L793" t="s">
        <v>112</v>
      </c>
      <c r="M793">
        <v>12</v>
      </c>
      <c r="N793">
        <v>12</v>
      </c>
      <c r="O793" t="s">
        <v>153</v>
      </c>
      <c r="P793" t="s">
        <v>154</v>
      </c>
      <c r="Q793" t="s">
        <v>412</v>
      </c>
    </row>
    <row r="794" spans="1:17" x14ac:dyDescent="0.25">
      <c r="A794" t="s">
        <v>19</v>
      </c>
      <c r="B794" t="s">
        <v>34</v>
      </c>
      <c r="C794" t="s">
        <v>36</v>
      </c>
      <c r="D794" t="s">
        <v>55</v>
      </c>
      <c r="E794">
        <v>130893</v>
      </c>
      <c r="F794">
        <v>18109</v>
      </c>
      <c r="G794" t="s">
        <v>65</v>
      </c>
      <c r="J794" t="s">
        <v>74</v>
      </c>
      <c r="K794" t="s">
        <v>84</v>
      </c>
      <c r="L794" t="s">
        <v>74</v>
      </c>
      <c r="M794">
        <v>8</v>
      </c>
      <c r="N794">
        <v>8</v>
      </c>
      <c r="O794" t="s">
        <v>149</v>
      </c>
      <c r="P794" t="s">
        <v>154</v>
      </c>
      <c r="Q794" t="s">
        <v>190</v>
      </c>
    </row>
    <row r="795" spans="1:17" x14ac:dyDescent="0.25">
      <c r="A795" t="s">
        <v>18</v>
      </c>
      <c r="B795" t="s">
        <v>23</v>
      </c>
      <c r="C795" t="s">
        <v>42</v>
      </c>
      <c r="D795" t="s">
        <v>60</v>
      </c>
      <c r="E795">
        <v>94681</v>
      </c>
      <c r="F795">
        <v>0</v>
      </c>
      <c r="G795" t="s">
        <v>64</v>
      </c>
      <c r="J795" t="s">
        <v>77</v>
      </c>
      <c r="K795" t="s">
        <v>111</v>
      </c>
      <c r="L795" t="s">
        <v>141</v>
      </c>
      <c r="M795">
        <v>1</v>
      </c>
      <c r="N795">
        <v>1</v>
      </c>
      <c r="O795" t="s">
        <v>152</v>
      </c>
      <c r="P795" t="s">
        <v>157</v>
      </c>
      <c r="Q795" t="s">
        <v>249</v>
      </c>
    </row>
    <row r="796" spans="1:17" x14ac:dyDescent="0.25">
      <c r="A796" t="s">
        <v>19</v>
      </c>
      <c r="B796" t="s">
        <v>28</v>
      </c>
      <c r="C796" t="s">
        <v>43</v>
      </c>
      <c r="D796" t="s">
        <v>56</v>
      </c>
      <c r="E796">
        <v>93314</v>
      </c>
      <c r="F796">
        <v>1669</v>
      </c>
      <c r="G796" t="s">
        <v>65</v>
      </c>
      <c r="I796" t="s">
        <v>70</v>
      </c>
      <c r="J796" t="s">
        <v>78</v>
      </c>
      <c r="K796" t="s">
        <v>109</v>
      </c>
      <c r="L796" t="s">
        <v>137</v>
      </c>
      <c r="M796">
        <v>18</v>
      </c>
      <c r="N796">
        <v>18</v>
      </c>
      <c r="O796" t="s">
        <v>153</v>
      </c>
      <c r="P796" t="s">
        <v>156</v>
      </c>
      <c r="Q796" t="s">
        <v>166</v>
      </c>
    </row>
    <row r="797" spans="1:17" x14ac:dyDescent="0.25">
      <c r="A797" t="s">
        <v>20</v>
      </c>
      <c r="B797" t="s">
        <v>27</v>
      </c>
      <c r="C797" t="s">
        <v>39</v>
      </c>
      <c r="E797">
        <v>1007063</v>
      </c>
      <c r="F797">
        <v>177222</v>
      </c>
      <c r="G797" t="s">
        <v>66</v>
      </c>
      <c r="I797" t="s">
        <v>56</v>
      </c>
      <c r="J797" t="s">
        <v>77</v>
      </c>
      <c r="K797" t="s">
        <v>89</v>
      </c>
      <c r="L797" t="s">
        <v>124</v>
      </c>
      <c r="M797">
        <v>3</v>
      </c>
      <c r="N797">
        <v>3</v>
      </c>
      <c r="O797" t="s">
        <v>153</v>
      </c>
      <c r="P797" t="s">
        <v>156</v>
      </c>
      <c r="Q797" t="s">
        <v>174</v>
      </c>
    </row>
    <row r="798" spans="1:17" x14ac:dyDescent="0.25">
      <c r="A798" t="s">
        <v>19</v>
      </c>
      <c r="B798" t="s">
        <v>23</v>
      </c>
      <c r="C798" t="s">
        <v>49</v>
      </c>
      <c r="D798" t="s">
        <v>60</v>
      </c>
      <c r="E798">
        <v>76226</v>
      </c>
      <c r="F798">
        <v>4114</v>
      </c>
      <c r="G798" t="s">
        <v>65</v>
      </c>
      <c r="I798" t="s">
        <v>69</v>
      </c>
      <c r="J798" t="s">
        <v>80</v>
      </c>
      <c r="K798" t="s">
        <v>93</v>
      </c>
      <c r="L798" t="s">
        <v>93</v>
      </c>
      <c r="M798">
        <v>20</v>
      </c>
      <c r="N798">
        <v>20</v>
      </c>
      <c r="O798" t="s">
        <v>153</v>
      </c>
      <c r="P798" t="s">
        <v>155</v>
      </c>
      <c r="Q798" t="s">
        <v>166</v>
      </c>
    </row>
    <row r="799" spans="1:17" x14ac:dyDescent="0.25">
      <c r="A799" t="s">
        <v>21</v>
      </c>
      <c r="B799" t="s">
        <v>28</v>
      </c>
      <c r="C799" t="s">
        <v>50</v>
      </c>
      <c r="D799" t="s">
        <v>59</v>
      </c>
      <c r="E799">
        <v>736796</v>
      </c>
      <c r="F799">
        <v>90799</v>
      </c>
      <c r="G799" t="s">
        <v>66</v>
      </c>
      <c r="I799" t="s">
        <v>71</v>
      </c>
      <c r="J799" t="s">
        <v>76</v>
      </c>
      <c r="K799" t="s">
        <v>92</v>
      </c>
      <c r="L799" t="s">
        <v>119</v>
      </c>
      <c r="M799">
        <v>10</v>
      </c>
      <c r="N799">
        <v>9</v>
      </c>
      <c r="O799" t="s">
        <v>153</v>
      </c>
      <c r="P799" t="s">
        <v>155</v>
      </c>
      <c r="Q799" t="s">
        <v>167</v>
      </c>
    </row>
    <row r="800" spans="1:17" x14ac:dyDescent="0.25">
      <c r="A800" t="s">
        <v>20</v>
      </c>
      <c r="B800" t="s">
        <v>27</v>
      </c>
      <c r="C800" t="s">
        <v>47</v>
      </c>
      <c r="D800" t="s">
        <v>62</v>
      </c>
      <c r="E800">
        <v>127580</v>
      </c>
      <c r="F800">
        <v>0</v>
      </c>
      <c r="G800" t="s">
        <v>65</v>
      </c>
      <c r="I800" t="s">
        <v>69</v>
      </c>
      <c r="J800" t="s">
        <v>76</v>
      </c>
      <c r="K800" t="s">
        <v>86</v>
      </c>
      <c r="L800" t="s">
        <v>115</v>
      </c>
      <c r="M800">
        <v>6</v>
      </c>
      <c r="N800">
        <v>3</v>
      </c>
      <c r="O800" t="s">
        <v>149</v>
      </c>
      <c r="P800" t="s">
        <v>156</v>
      </c>
      <c r="Q800" t="s">
        <v>178</v>
      </c>
    </row>
    <row r="801" spans="1:17" x14ac:dyDescent="0.25">
      <c r="A801" t="s">
        <v>20</v>
      </c>
      <c r="B801" t="s">
        <v>22</v>
      </c>
      <c r="C801" t="s">
        <v>53</v>
      </c>
      <c r="D801" t="s">
        <v>56</v>
      </c>
      <c r="E801">
        <v>106169</v>
      </c>
      <c r="F801">
        <v>17758</v>
      </c>
      <c r="G801" t="s">
        <v>65</v>
      </c>
      <c r="J801" t="s">
        <v>72</v>
      </c>
      <c r="K801" t="s">
        <v>95</v>
      </c>
      <c r="L801" t="s">
        <v>120</v>
      </c>
      <c r="M801">
        <v>6</v>
      </c>
      <c r="N801">
        <v>6</v>
      </c>
      <c r="O801" t="s">
        <v>150</v>
      </c>
      <c r="P801" t="s">
        <v>157</v>
      </c>
      <c r="Q801" t="s">
        <v>371</v>
      </c>
    </row>
    <row r="802" spans="1:17" x14ac:dyDescent="0.25">
      <c r="A802" t="s">
        <v>19</v>
      </c>
      <c r="B802" t="s">
        <v>28</v>
      </c>
      <c r="C802" t="s">
        <v>46</v>
      </c>
      <c r="D802" t="s">
        <v>62</v>
      </c>
      <c r="E802">
        <v>57226</v>
      </c>
      <c r="F802">
        <v>0</v>
      </c>
      <c r="G802" t="s">
        <v>65</v>
      </c>
      <c r="I802" t="s">
        <v>71</v>
      </c>
      <c r="J802" t="s">
        <v>77</v>
      </c>
      <c r="K802" t="s">
        <v>97</v>
      </c>
      <c r="L802" t="s">
        <v>122</v>
      </c>
      <c r="M802">
        <v>10</v>
      </c>
      <c r="N802">
        <v>10</v>
      </c>
      <c r="O802" t="s">
        <v>150</v>
      </c>
      <c r="P802" t="s">
        <v>154</v>
      </c>
      <c r="Q802" t="s">
        <v>174</v>
      </c>
    </row>
    <row r="803" spans="1:17" x14ac:dyDescent="0.25">
      <c r="A803" t="s">
        <v>19</v>
      </c>
      <c r="B803" t="s">
        <v>24</v>
      </c>
      <c r="C803" t="s">
        <v>37</v>
      </c>
      <c r="D803" t="s">
        <v>59</v>
      </c>
      <c r="E803">
        <v>71122</v>
      </c>
      <c r="F803">
        <v>2146</v>
      </c>
      <c r="G803" t="s">
        <v>67</v>
      </c>
      <c r="I803" t="s">
        <v>69</v>
      </c>
      <c r="J803" t="s">
        <v>74</v>
      </c>
      <c r="K803" t="s">
        <v>84</v>
      </c>
      <c r="L803" t="s">
        <v>74</v>
      </c>
      <c r="M803">
        <v>4</v>
      </c>
      <c r="N803">
        <v>4</v>
      </c>
      <c r="O803" t="s">
        <v>149</v>
      </c>
      <c r="P803" t="s">
        <v>156</v>
      </c>
      <c r="Q803" t="s">
        <v>351</v>
      </c>
    </row>
    <row r="804" spans="1:17" x14ac:dyDescent="0.25">
      <c r="A804" t="s">
        <v>19</v>
      </c>
      <c r="F804">
        <v>1021</v>
      </c>
      <c r="G804" t="s">
        <v>68</v>
      </c>
      <c r="I804" t="s">
        <v>71</v>
      </c>
      <c r="J804" t="s">
        <v>81</v>
      </c>
      <c r="K804" t="s">
        <v>94</v>
      </c>
      <c r="N804">
        <v>10</v>
      </c>
      <c r="O804" t="s">
        <v>148</v>
      </c>
      <c r="Q804" t="s">
        <v>188</v>
      </c>
    </row>
    <row r="805" spans="1:17" x14ac:dyDescent="0.25">
      <c r="A805" t="s">
        <v>20</v>
      </c>
      <c r="B805" t="s">
        <v>23</v>
      </c>
      <c r="C805" t="s">
        <v>46</v>
      </c>
      <c r="D805" t="s">
        <v>57</v>
      </c>
      <c r="E805">
        <v>123203</v>
      </c>
      <c r="F805">
        <v>0</v>
      </c>
      <c r="G805" t="s">
        <v>65</v>
      </c>
      <c r="J805" t="s">
        <v>78</v>
      </c>
      <c r="K805" t="s">
        <v>105</v>
      </c>
      <c r="L805" t="s">
        <v>133</v>
      </c>
      <c r="M805">
        <v>4</v>
      </c>
      <c r="N805">
        <v>4</v>
      </c>
      <c r="O805" t="s">
        <v>150</v>
      </c>
      <c r="P805" t="s">
        <v>157</v>
      </c>
      <c r="Q805" t="s">
        <v>169</v>
      </c>
    </row>
    <row r="806" spans="1:17" x14ac:dyDescent="0.25">
      <c r="A806" t="s">
        <v>17</v>
      </c>
      <c r="B806" t="s">
        <v>30</v>
      </c>
      <c r="C806" t="s">
        <v>45</v>
      </c>
      <c r="D806" t="s">
        <v>55</v>
      </c>
      <c r="E806">
        <v>24544</v>
      </c>
      <c r="F806">
        <v>2175</v>
      </c>
      <c r="G806" t="s">
        <v>63</v>
      </c>
      <c r="J806" t="s">
        <v>72</v>
      </c>
      <c r="K806" t="s">
        <v>82</v>
      </c>
      <c r="L806" t="s">
        <v>112</v>
      </c>
      <c r="M806">
        <v>15</v>
      </c>
      <c r="N806">
        <v>13</v>
      </c>
      <c r="O806" t="s">
        <v>152</v>
      </c>
      <c r="P806" t="s">
        <v>154</v>
      </c>
      <c r="Q806" t="s">
        <v>249</v>
      </c>
    </row>
    <row r="807" spans="1:17" x14ac:dyDescent="0.25">
      <c r="A807" t="s">
        <v>19</v>
      </c>
      <c r="B807" t="s">
        <v>22</v>
      </c>
      <c r="C807" t="s">
        <v>50</v>
      </c>
      <c r="D807" t="s">
        <v>61</v>
      </c>
      <c r="E807">
        <v>37776</v>
      </c>
      <c r="F807">
        <v>10737</v>
      </c>
      <c r="G807" t="s">
        <v>65</v>
      </c>
      <c r="I807" t="s">
        <v>70</v>
      </c>
      <c r="J807" t="s">
        <v>74</v>
      </c>
      <c r="K807" t="s">
        <v>84</v>
      </c>
      <c r="L807" t="s">
        <v>74</v>
      </c>
      <c r="M807">
        <v>18</v>
      </c>
      <c r="N807">
        <v>15</v>
      </c>
      <c r="O807" t="s">
        <v>149</v>
      </c>
      <c r="P807" t="s">
        <v>154</v>
      </c>
      <c r="Q807" t="s">
        <v>194</v>
      </c>
    </row>
    <row r="808" spans="1:17" x14ac:dyDescent="0.25">
      <c r="A808" t="s">
        <v>19</v>
      </c>
      <c r="B808" t="s">
        <v>25</v>
      </c>
      <c r="C808" t="s">
        <v>37</v>
      </c>
      <c r="D808" t="s">
        <v>55</v>
      </c>
      <c r="E808">
        <v>55386</v>
      </c>
      <c r="F808">
        <v>12504</v>
      </c>
      <c r="G808" t="s">
        <v>63</v>
      </c>
      <c r="I808" t="s">
        <v>56</v>
      </c>
      <c r="J808" t="s">
        <v>78</v>
      </c>
      <c r="K808" t="s">
        <v>88</v>
      </c>
      <c r="L808" t="s">
        <v>128</v>
      </c>
      <c r="M808">
        <v>4</v>
      </c>
      <c r="N808">
        <v>4</v>
      </c>
      <c r="O808" t="s">
        <v>148</v>
      </c>
      <c r="P808" t="s">
        <v>156</v>
      </c>
      <c r="Q808" t="s">
        <v>256</v>
      </c>
    </row>
    <row r="809" spans="1:17" x14ac:dyDescent="0.25">
      <c r="A809" t="s">
        <v>17</v>
      </c>
      <c r="B809" t="s">
        <v>35</v>
      </c>
      <c r="C809" t="s">
        <v>43</v>
      </c>
      <c r="E809">
        <v>46147</v>
      </c>
      <c r="F809">
        <v>4863</v>
      </c>
      <c r="G809" t="s">
        <v>64</v>
      </c>
      <c r="I809" t="s">
        <v>69</v>
      </c>
      <c r="J809" t="s">
        <v>74</v>
      </c>
      <c r="K809" t="s">
        <v>84</v>
      </c>
      <c r="L809" t="s">
        <v>74</v>
      </c>
      <c r="M809">
        <v>12</v>
      </c>
      <c r="N809">
        <v>12</v>
      </c>
      <c r="O809" t="s">
        <v>149</v>
      </c>
      <c r="P809" t="s">
        <v>157</v>
      </c>
      <c r="Q809" t="s">
        <v>413</v>
      </c>
    </row>
    <row r="810" spans="1:17" x14ac:dyDescent="0.25">
      <c r="A810" t="s">
        <v>21</v>
      </c>
      <c r="B810" t="s">
        <v>35</v>
      </c>
      <c r="C810" t="s">
        <v>49</v>
      </c>
      <c r="D810" t="s">
        <v>54</v>
      </c>
      <c r="E810">
        <v>507853</v>
      </c>
      <c r="F810">
        <v>10392</v>
      </c>
      <c r="G810" t="s">
        <v>66</v>
      </c>
      <c r="J810" t="s">
        <v>80</v>
      </c>
      <c r="K810" t="s">
        <v>106</v>
      </c>
      <c r="L810" t="s">
        <v>106</v>
      </c>
      <c r="M810">
        <v>8</v>
      </c>
      <c r="N810">
        <v>5</v>
      </c>
      <c r="O810" t="s">
        <v>152</v>
      </c>
      <c r="P810" t="s">
        <v>155</v>
      </c>
      <c r="Q810" t="s">
        <v>178</v>
      </c>
    </row>
    <row r="811" spans="1:17" x14ac:dyDescent="0.25">
      <c r="A811" t="s">
        <v>17</v>
      </c>
      <c r="B811" t="s">
        <v>22</v>
      </c>
      <c r="C811" t="s">
        <v>47</v>
      </c>
      <c r="D811" t="s">
        <v>62</v>
      </c>
      <c r="E811">
        <v>1072600</v>
      </c>
      <c r="F811">
        <v>35497</v>
      </c>
      <c r="G811" t="s">
        <v>66</v>
      </c>
      <c r="I811" t="s">
        <v>70</v>
      </c>
      <c r="J811" t="s">
        <v>75</v>
      </c>
      <c r="K811" t="s">
        <v>108</v>
      </c>
      <c r="L811" t="s">
        <v>135</v>
      </c>
      <c r="M811">
        <v>10</v>
      </c>
      <c r="N811">
        <v>10</v>
      </c>
      <c r="O811" t="s">
        <v>151</v>
      </c>
      <c r="P811" t="s">
        <v>157</v>
      </c>
      <c r="Q811" t="s">
        <v>174</v>
      </c>
    </row>
    <row r="812" spans="1:17" x14ac:dyDescent="0.25">
      <c r="A812" t="s">
        <v>17</v>
      </c>
      <c r="B812" t="s">
        <v>25</v>
      </c>
      <c r="C812" t="s">
        <v>53</v>
      </c>
      <c r="D812" t="s">
        <v>54</v>
      </c>
      <c r="E812">
        <v>28978</v>
      </c>
      <c r="F812">
        <v>0</v>
      </c>
      <c r="G812" t="s">
        <v>67</v>
      </c>
      <c r="I812" t="s">
        <v>71</v>
      </c>
      <c r="J812" t="s">
        <v>80</v>
      </c>
      <c r="K812" t="s">
        <v>106</v>
      </c>
      <c r="L812" t="s">
        <v>106</v>
      </c>
      <c r="M812">
        <v>18</v>
      </c>
      <c r="N812">
        <v>16</v>
      </c>
      <c r="O812" t="s">
        <v>153</v>
      </c>
      <c r="P812" t="s">
        <v>155</v>
      </c>
      <c r="Q812" t="s">
        <v>193</v>
      </c>
    </row>
    <row r="813" spans="1:17" x14ac:dyDescent="0.25">
      <c r="A813" t="s">
        <v>20</v>
      </c>
      <c r="B813" t="s">
        <v>24</v>
      </c>
      <c r="C813" t="s">
        <v>53</v>
      </c>
      <c r="D813" t="s">
        <v>54</v>
      </c>
      <c r="E813">
        <v>95318</v>
      </c>
      <c r="F813">
        <v>3845</v>
      </c>
      <c r="G813" t="s">
        <v>67</v>
      </c>
      <c r="I813" t="s">
        <v>71</v>
      </c>
      <c r="J813" t="s">
        <v>73</v>
      </c>
      <c r="K813" t="s">
        <v>102</v>
      </c>
      <c r="L813" t="s">
        <v>102</v>
      </c>
      <c r="M813">
        <v>7</v>
      </c>
      <c r="N813">
        <v>5</v>
      </c>
      <c r="O813" t="s">
        <v>153</v>
      </c>
      <c r="P813" t="s">
        <v>156</v>
      </c>
      <c r="Q813" t="s">
        <v>256</v>
      </c>
    </row>
    <row r="814" spans="1:17" x14ac:dyDescent="0.25">
      <c r="A814" t="s">
        <v>21</v>
      </c>
      <c r="B814" t="s">
        <v>33</v>
      </c>
      <c r="C814" t="s">
        <v>36</v>
      </c>
      <c r="D814" t="s">
        <v>61</v>
      </c>
      <c r="E814">
        <v>71716</v>
      </c>
      <c r="F814">
        <v>5049</v>
      </c>
      <c r="G814" t="s">
        <v>68</v>
      </c>
      <c r="J814" t="s">
        <v>74</v>
      </c>
      <c r="K814" t="s">
        <v>84</v>
      </c>
      <c r="L814" t="s">
        <v>74</v>
      </c>
      <c r="M814">
        <v>15</v>
      </c>
      <c r="N814">
        <v>15</v>
      </c>
      <c r="O814" t="s">
        <v>150</v>
      </c>
      <c r="P814" t="s">
        <v>155</v>
      </c>
      <c r="Q814" t="s">
        <v>171</v>
      </c>
    </row>
    <row r="815" spans="1:17" x14ac:dyDescent="0.25">
      <c r="A815" t="s">
        <v>20</v>
      </c>
      <c r="B815" t="s">
        <v>26</v>
      </c>
      <c r="C815" t="s">
        <v>53</v>
      </c>
      <c r="D815" t="s">
        <v>62</v>
      </c>
      <c r="E815">
        <v>28620</v>
      </c>
      <c r="F815">
        <v>3778</v>
      </c>
      <c r="G815" t="s">
        <v>63</v>
      </c>
      <c r="I815" t="s">
        <v>69</v>
      </c>
      <c r="J815" t="s">
        <v>74</v>
      </c>
      <c r="K815" t="s">
        <v>84</v>
      </c>
      <c r="L815" t="s">
        <v>74</v>
      </c>
      <c r="M815">
        <v>5</v>
      </c>
      <c r="N815">
        <v>4</v>
      </c>
      <c r="O815" t="s">
        <v>152</v>
      </c>
      <c r="P815" t="s">
        <v>156</v>
      </c>
      <c r="Q815" t="s">
        <v>299</v>
      </c>
    </row>
    <row r="816" spans="1:17" x14ac:dyDescent="0.25">
      <c r="A816" t="s">
        <v>20</v>
      </c>
      <c r="B816" t="s">
        <v>24</v>
      </c>
      <c r="C816" t="s">
        <v>38</v>
      </c>
      <c r="D816" t="s">
        <v>59</v>
      </c>
      <c r="E816">
        <v>69481</v>
      </c>
      <c r="F816">
        <v>2451</v>
      </c>
      <c r="G816" t="s">
        <v>64</v>
      </c>
      <c r="I816" t="s">
        <v>70</v>
      </c>
      <c r="J816" t="s">
        <v>72</v>
      </c>
      <c r="K816" t="s">
        <v>95</v>
      </c>
      <c r="L816" t="s">
        <v>120</v>
      </c>
      <c r="M816">
        <v>5</v>
      </c>
      <c r="N816">
        <v>5</v>
      </c>
      <c r="O816" t="s">
        <v>148</v>
      </c>
      <c r="P816" t="s">
        <v>157</v>
      </c>
      <c r="Q816" t="s">
        <v>173</v>
      </c>
    </row>
    <row r="817" spans="1:17" x14ac:dyDescent="0.25">
      <c r="A817" t="s">
        <v>19</v>
      </c>
      <c r="B817" t="s">
        <v>27</v>
      </c>
      <c r="C817" t="s">
        <v>43</v>
      </c>
      <c r="D817" t="s">
        <v>56</v>
      </c>
      <c r="E817">
        <v>79091</v>
      </c>
      <c r="F817">
        <v>1560</v>
      </c>
      <c r="G817" t="s">
        <v>67</v>
      </c>
      <c r="I817" t="s">
        <v>71</v>
      </c>
      <c r="J817" t="s">
        <v>77</v>
      </c>
      <c r="K817" t="s">
        <v>110</v>
      </c>
      <c r="L817" t="s">
        <v>139</v>
      </c>
      <c r="M817">
        <v>10</v>
      </c>
      <c r="N817">
        <v>10</v>
      </c>
      <c r="O817" t="s">
        <v>149</v>
      </c>
      <c r="P817" t="s">
        <v>155</v>
      </c>
      <c r="Q817" t="s">
        <v>313</v>
      </c>
    </row>
    <row r="818" spans="1:17" x14ac:dyDescent="0.25">
      <c r="A818" t="s">
        <v>21</v>
      </c>
      <c r="B818" t="s">
        <v>26</v>
      </c>
      <c r="C818" t="s">
        <v>47</v>
      </c>
      <c r="D818" t="s">
        <v>59</v>
      </c>
      <c r="E818">
        <v>138876</v>
      </c>
      <c r="F818">
        <v>6600</v>
      </c>
      <c r="G818" t="s">
        <v>64</v>
      </c>
      <c r="I818" t="s">
        <v>56</v>
      </c>
      <c r="J818" t="s">
        <v>73</v>
      </c>
      <c r="K818" t="s">
        <v>83</v>
      </c>
      <c r="L818" t="s">
        <v>113</v>
      </c>
      <c r="M818">
        <v>20</v>
      </c>
      <c r="N818">
        <v>17</v>
      </c>
      <c r="O818" t="s">
        <v>150</v>
      </c>
      <c r="P818" t="s">
        <v>155</v>
      </c>
      <c r="Q818" t="s">
        <v>165</v>
      </c>
    </row>
    <row r="819" spans="1:17" x14ac:dyDescent="0.25">
      <c r="A819" t="s">
        <v>19</v>
      </c>
      <c r="B819" t="s">
        <v>33</v>
      </c>
      <c r="C819" t="s">
        <v>39</v>
      </c>
      <c r="D819" t="s">
        <v>60</v>
      </c>
      <c r="E819">
        <v>70495</v>
      </c>
      <c r="F819">
        <v>579</v>
      </c>
      <c r="G819" t="s">
        <v>67</v>
      </c>
      <c r="I819" t="s">
        <v>71</v>
      </c>
      <c r="J819" t="s">
        <v>77</v>
      </c>
      <c r="K819" t="s">
        <v>89</v>
      </c>
      <c r="L819" t="s">
        <v>124</v>
      </c>
      <c r="M819">
        <v>18</v>
      </c>
      <c r="N819">
        <v>18</v>
      </c>
      <c r="O819" t="s">
        <v>149</v>
      </c>
      <c r="P819" t="s">
        <v>157</v>
      </c>
      <c r="Q819" t="s">
        <v>173</v>
      </c>
    </row>
    <row r="820" spans="1:17" x14ac:dyDescent="0.25">
      <c r="A820" t="s">
        <v>21</v>
      </c>
      <c r="B820" t="s">
        <v>24</v>
      </c>
      <c r="C820" t="s">
        <v>51</v>
      </c>
      <c r="D820" t="s">
        <v>54</v>
      </c>
      <c r="E820">
        <v>12283</v>
      </c>
      <c r="F820">
        <v>1449</v>
      </c>
      <c r="G820" t="s">
        <v>64</v>
      </c>
      <c r="I820" t="s">
        <v>71</v>
      </c>
      <c r="J820" t="s">
        <v>79</v>
      </c>
      <c r="K820" t="s">
        <v>107</v>
      </c>
      <c r="L820" t="s">
        <v>134</v>
      </c>
      <c r="M820">
        <v>10</v>
      </c>
      <c r="N820">
        <v>8</v>
      </c>
      <c r="O820" t="s">
        <v>149</v>
      </c>
      <c r="P820" t="s">
        <v>155</v>
      </c>
      <c r="Q820" t="s">
        <v>162</v>
      </c>
    </row>
    <row r="821" spans="1:17" x14ac:dyDescent="0.25">
      <c r="A821" t="s">
        <v>19</v>
      </c>
      <c r="B821" t="s">
        <v>24</v>
      </c>
      <c r="C821" t="s">
        <v>41</v>
      </c>
      <c r="D821" t="s">
        <v>56</v>
      </c>
      <c r="E821">
        <v>120834</v>
      </c>
      <c r="F821">
        <v>630</v>
      </c>
      <c r="G821" t="s">
        <v>67</v>
      </c>
      <c r="J821" t="s">
        <v>76</v>
      </c>
      <c r="K821" t="s">
        <v>86</v>
      </c>
      <c r="L821" t="s">
        <v>115</v>
      </c>
      <c r="M821">
        <v>5</v>
      </c>
      <c r="N821">
        <v>5</v>
      </c>
      <c r="O821" t="s">
        <v>153</v>
      </c>
      <c r="P821" t="s">
        <v>155</v>
      </c>
      <c r="Q821" t="s">
        <v>212</v>
      </c>
    </row>
    <row r="822" spans="1:17" x14ac:dyDescent="0.25">
      <c r="A822" t="s">
        <v>17</v>
      </c>
      <c r="B822" t="s">
        <v>33</v>
      </c>
      <c r="C822" t="s">
        <v>36</v>
      </c>
      <c r="D822" t="s">
        <v>59</v>
      </c>
      <c r="E822">
        <v>96594</v>
      </c>
      <c r="F822">
        <v>6805</v>
      </c>
      <c r="G822" t="s">
        <v>68</v>
      </c>
      <c r="I822" t="s">
        <v>56</v>
      </c>
      <c r="J822" t="s">
        <v>79</v>
      </c>
      <c r="K822" t="s">
        <v>107</v>
      </c>
      <c r="L822" t="s">
        <v>134</v>
      </c>
      <c r="M822">
        <v>9</v>
      </c>
      <c r="N822">
        <v>9</v>
      </c>
      <c r="O822" t="s">
        <v>150</v>
      </c>
      <c r="P822" t="s">
        <v>156</v>
      </c>
      <c r="Q822" t="s">
        <v>173</v>
      </c>
    </row>
    <row r="823" spans="1:17" x14ac:dyDescent="0.25">
      <c r="A823" t="s">
        <v>20</v>
      </c>
      <c r="B823" t="s">
        <v>33</v>
      </c>
      <c r="C823" t="s">
        <v>53</v>
      </c>
      <c r="D823" t="s">
        <v>59</v>
      </c>
      <c r="E823">
        <v>64947</v>
      </c>
      <c r="F823">
        <v>12522</v>
      </c>
      <c r="G823" t="s">
        <v>65</v>
      </c>
      <c r="I823" t="s">
        <v>71</v>
      </c>
      <c r="J823" t="s">
        <v>80</v>
      </c>
      <c r="K823" t="s">
        <v>93</v>
      </c>
      <c r="L823" t="s">
        <v>93</v>
      </c>
      <c r="M823">
        <v>0</v>
      </c>
      <c r="N823">
        <v>0</v>
      </c>
      <c r="O823" t="s">
        <v>153</v>
      </c>
      <c r="P823" t="s">
        <v>155</v>
      </c>
      <c r="Q823" t="s">
        <v>414</v>
      </c>
    </row>
    <row r="824" spans="1:17" x14ac:dyDescent="0.25">
      <c r="A824" t="s">
        <v>17</v>
      </c>
      <c r="B824" t="s">
        <v>22</v>
      </c>
      <c r="C824" t="s">
        <v>42</v>
      </c>
      <c r="D824" t="s">
        <v>58</v>
      </c>
      <c r="E824">
        <v>95149</v>
      </c>
      <c r="F824">
        <v>2534</v>
      </c>
      <c r="G824" t="s">
        <v>65</v>
      </c>
      <c r="I824" t="s">
        <v>71</v>
      </c>
      <c r="J824" t="s">
        <v>79</v>
      </c>
      <c r="K824" t="s">
        <v>107</v>
      </c>
      <c r="L824" t="s">
        <v>134</v>
      </c>
      <c r="M824">
        <v>25</v>
      </c>
      <c r="N824">
        <v>23</v>
      </c>
      <c r="O824" t="s">
        <v>152</v>
      </c>
      <c r="P824" t="s">
        <v>154</v>
      </c>
      <c r="Q824" t="s">
        <v>188</v>
      </c>
    </row>
    <row r="825" spans="1:17" x14ac:dyDescent="0.25">
      <c r="A825" t="s">
        <v>21</v>
      </c>
      <c r="B825" t="s">
        <v>30</v>
      </c>
      <c r="C825" t="s">
        <v>45</v>
      </c>
      <c r="D825" t="s">
        <v>56</v>
      </c>
      <c r="E825">
        <v>92720</v>
      </c>
      <c r="F825">
        <v>1033</v>
      </c>
      <c r="G825" t="s">
        <v>68</v>
      </c>
      <c r="J825" t="s">
        <v>72</v>
      </c>
      <c r="K825" t="s">
        <v>95</v>
      </c>
      <c r="L825" t="s">
        <v>120</v>
      </c>
      <c r="M825">
        <v>20</v>
      </c>
      <c r="N825">
        <v>18</v>
      </c>
      <c r="O825" t="s">
        <v>153</v>
      </c>
      <c r="P825" t="s">
        <v>155</v>
      </c>
      <c r="Q825" t="s">
        <v>244</v>
      </c>
    </row>
    <row r="826" spans="1:17" x14ac:dyDescent="0.25">
      <c r="A826" t="s">
        <v>19</v>
      </c>
      <c r="B826" t="s">
        <v>35</v>
      </c>
      <c r="C826" t="s">
        <v>48</v>
      </c>
      <c r="D826" t="s">
        <v>62</v>
      </c>
      <c r="E826">
        <v>99696</v>
      </c>
      <c r="F826">
        <v>14356</v>
      </c>
      <c r="G826" t="s">
        <v>65</v>
      </c>
      <c r="I826" t="s">
        <v>56</v>
      </c>
      <c r="J826" t="s">
        <v>80</v>
      </c>
      <c r="K826" t="s">
        <v>93</v>
      </c>
      <c r="L826" t="s">
        <v>93</v>
      </c>
      <c r="M826">
        <v>9</v>
      </c>
      <c r="N826">
        <v>9</v>
      </c>
      <c r="O826" t="s">
        <v>152</v>
      </c>
      <c r="P826" t="s">
        <v>155</v>
      </c>
      <c r="Q826" t="s">
        <v>271</v>
      </c>
    </row>
    <row r="827" spans="1:17" x14ac:dyDescent="0.25">
      <c r="A827" t="s">
        <v>21</v>
      </c>
      <c r="B827" t="s">
        <v>25</v>
      </c>
      <c r="C827" t="s">
        <v>44</v>
      </c>
      <c r="D827" t="s">
        <v>55</v>
      </c>
      <c r="E827">
        <v>42102</v>
      </c>
      <c r="F827">
        <v>6011</v>
      </c>
      <c r="G827" t="s">
        <v>68</v>
      </c>
      <c r="J827" t="s">
        <v>74</v>
      </c>
      <c r="K827" t="s">
        <v>84</v>
      </c>
      <c r="L827" t="s">
        <v>74</v>
      </c>
      <c r="M827">
        <v>12</v>
      </c>
      <c r="N827">
        <v>12</v>
      </c>
      <c r="O827" t="s">
        <v>150</v>
      </c>
      <c r="P827" t="s">
        <v>157</v>
      </c>
      <c r="Q827" t="s">
        <v>168</v>
      </c>
    </row>
    <row r="828" spans="1:17" x14ac:dyDescent="0.25">
      <c r="A828" t="s">
        <v>17</v>
      </c>
      <c r="B828" t="s">
        <v>24</v>
      </c>
      <c r="C828" t="s">
        <v>53</v>
      </c>
      <c r="D828" t="s">
        <v>58</v>
      </c>
      <c r="E828">
        <v>28374</v>
      </c>
      <c r="F828">
        <v>0</v>
      </c>
      <c r="G828" t="s">
        <v>68</v>
      </c>
      <c r="I828" t="s">
        <v>70</v>
      </c>
      <c r="J828" t="s">
        <v>78</v>
      </c>
      <c r="K828" t="s">
        <v>109</v>
      </c>
      <c r="L828" t="s">
        <v>137</v>
      </c>
      <c r="M828">
        <v>18</v>
      </c>
      <c r="N828">
        <v>17</v>
      </c>
      <c r="O828" t="s">
        <v>149</v>
      </c>
      <c r="P828" t="s">
        <v>157</v>
      </c>
      <c r="Q828" t="s">
        <v>415</v>
      </c>
    </row>
    <row r="829" spans="1:17" x14ac:dyDescent="0.25">
      <c r="A829" t="s">
        <v>19</v>
      </c>
      <c r="B829" t="s">
        <v>25</v>
      </c>
      <c r="C829" t="s">
        <v>48</v>
      </c>
      <c r="D829" t="s">
        <v>57</v>
      </c>
      <c r="E829">
        <v>1134276</v>
      </c>
      <c r="F829">
        <v>108001</v>
      </c>
      <c r="G829" t="s">
        <v>66</v>
      </c>
      <c r="I829" t="s">
        <v>71</v>
      </c>
      <c r="J829" t="s">
        <v>81</v>
      </c>
      <c r="K829" t="s">
        <v>101</v>
      </c>
      <c r="L829" t="s">
        <v>127</v>
      </c>
      <c r="M829">
        <v>5</v>
      </c>
      <c r="N829">
        <v>5</v>
      </c>
      <c r="O829" t="s">
        <v>150</v>
      </c>
      <c r="P829" t="s">
        <v>157</v>
      </c>
      <c r="Q829" t="s">
        <v>173</v>
      </c>
    </row>
    <row r="830" spans="1:17" x14ac:dyDescent="0.25">
      <c r="A830" t="s">
        <v>20</v>
      </c>
      <c r="B830" t="s">
        <v>29</v>
      </c>
      <c r="C830" t="s">
        <v>53</v>
      </c>
      <c r="D830" t="s">
        <v>62</v>
      </c>
      <c r="E830">
        <v>53314</v>
      </c>
      <c r="F830">
        <v>826</v>
      </c>
      <c r="G830" t="s">
        <v>65</v>
      </c>
      <c r="J830" t="s">
        <v>78</v>
      </c>
      <c r="K830" t="s">
        <v>105</v>
      </c>
      <c r="L830" t="s">
        <v>133</v>
      </c>
      <c r="M830">
        <v>2</v>
      </c>
      <c r="N830">
        <v>2</v>
      </c>
      <c r="O830" t="s">
        <v>151</v>
      </c>
      <c r="P830" t="s">
        <v>154</v>
      </c>
      <c r="Q830" t="s">
        <v>191</v>
      </c>
    </row>
    <row r="831" spans="1:17" x14ac:dyDescent="0.25">
      <c r="A831" t="s">
        <v>20</v>
      </c>
      <c r="B831" t="s">
        <v>28</v>
      </c>
      <c r="C831" t="s">
        <v>46</v>
      </c>
      <c r="D831" t="s">
        <v>56</v>
      </c>
      <c r="E831">
        <v>162200</v>
      </c>
      <c r="F831">
        <v>24078</v>
      </c>
      <c r="G831" t="s">
        <v>64</v>
      </c>
      <c r="I831" t="s">
        <v>70</v>
      </c>
      <c r="J831" t="s">
        <v>78</v>
      </c>
      <c r="K831" t="s">
        <v>88</v>
      </c>
      <c r="L831" t="s">
        <v>136</v>
      </c>
      <c r="M831">
        <v>6</v>
      </c>
      <c r="N831">
        <v>4</v>
      </c>
      <c r="O831" t="s">
        <v>153</v>
      </c>
      <c r="P831" t="s">
        <v>155</v>
      </c>
      <c r="Q831" t="s">
        <v>212</v>
      </c>
    </row>
    <row r="832" spans="1:17" x14ac:dyDescent="0.25">
      <c r="A832" t="s">
        <v>19</v>
      </c>
      <c r="B832" t="s">
        <v>27</v>
      </c>
      <c r="C832" t="s">
        <v>51</v>
      </c>
      <c r="D832" t="s">
        <v>56</v>
      </c>
      <c r="E832">
        <v>1098501</v>
      </c>
      <c r="F832">
        <v>20345</v>
      </c>
      <c r="G832" t="s">
        <v>66</v>
      </c>
      <c r="J832" t="s">
        <v>76</v>
      </c>
      <c r="K832" t="s">
        <v>100</v>
      </c>
      <c r="L832" t="s">
        <v>126</v>
      </c>
      <c r="M832">
        <v>4</v>
      </c>
      <c r="N832">
        <v>4</v>
      </c>
      <c r="O832" t="s">
        <v>150</v>
      </c>
      <c r="P832" t="s">
        <v>154</v>
      </c>
      <c r="Q832" t="s">
        <v>416</v>
      </c>
    </row>
    <row r="833" spans="1:17" x14ac:dyDescent="0.25">
      <c r="A833" t="s">
        <v>19</v>
      </c>
      <c r="B833" t="s">
        <v>27</v>
      </c>
      <c r="C833" t="s">
        <v>52</v>
      </c>
      <c r="D833" t="s">
        <v>59</v>
      </c>
      <c r="E833">
        <v>786749</v>
      </c>
      <c r="F833">
        <v>105721</v>
      </c>
      <c r="G833" t="s">
        <v>66</v>
      </c>
      <c r="I833" t="s">
        <v>56</v>
      </c>
      <c r="J833" t="s">
        <v>75</v>
      </c>
      <c r="K833" t="s">
        <v>108</v>
      </c>
      <c r="L833" t="s">
        <v>135</v>
      </c>
      <c r="M833">
        <v>10</v>
      </c>
      <c r="N833">
        <v>10</v>
      </c>
      <c r="O833" t="s">
        <v>148</v>
      </c>
      <c r="P833" t="s">
        <v>155</v>
      </c>
      <c r="Q833" t="s">
        <v>188</v>
      </c>
    </row>
    <row r="834" spans="1:17" x14ac:dyDescent="0.25">
      <c r="A834" t="s">
        <v>20</v>
      </c>
      <c r="B834" t="s">
        <v>23</v>
      </c>
      <c r="C834" t="s">
        <v>51</v>
      </c>
      <c r="E834">
        <v>554884</v>
      </c>
      <c r="F834">
        <v>33621</v>
      </c>
      <c r="G834" t="s">
        <v>66</v>
      </c>
      <c r="I834" t="s">
        <v>56</v>
      </c>
      <c r="J834" t="s">
        <v>75</v>
      </c>
      <c r="K834" t="s">
        <v>108</v>
      </c>
      <c r="L834" t="s">
        <v>135</v>
      </c>
      <c r="M834">
        <v>0</v>
      </c>
      <c r="N834">
        <v>0</v>
      </c>
      <c r="O834" t="s">
        <v>149</v>
      </c>
      <c r="P834" t="s">
        <v>156</v>
      </c>
      <c r="Q834" t="s">
        <v>271</v>
      </c>
    </row>
    <row r="835" spans="1:17" x14ac:dyDescent="0.25">
      <c r="A835" t="s">
        <v>21</v>
      </c>
      <c r="B835" t="s">
        <v>26</v>
      </c>
      <c r="C835" t="s">
        <v>37</v>
      </c>
      <c r="D835" t="s">
        <v>61</v>
      </c>
      <c r="E835">
        <v>70895</v>
      </c>
      <c r="F835">
        <v>4130</v>
      </c>
      <c r="G835" t="s">
        <v>68</v>
      </c>
      <c r="I835" t="s">
        <v>70</v>
      </c>
      <c r="J835" t="s">
        <v>77</v>
      </c>
      <c r="K835" t="s">
        <v>97</v>
      </c>
      <c r="L835" t="s">
        <v>122</v>
      </c>
      <c r="M835">
        <v>8</v>
      </c>
      <c r="N835">
        <v>5</v>
      </c>
      <c r="O835" t="s">
        <v>152</v>
      </c>
      <c r="P835" t="s">
        <v>154</v>
      </c>
      <c r="Q835" t="s">
        <v>417</v>
      </c>
    </row>
    <row r="836" spans="1:17" x14ac:dyDescent="0.25">
      <c r="A836" t="s">
        <v>19</v>
      </c>
      <c r="B836" t="s">
        <v>24</v>
      </c>
      <c r="C836" t="s">
        <v>36</v>
      </c>
      <c r="E836">
        <v>118966</v>
      </c>
      <c r="F836">
        <v>17631</v>
      </c>
      <c r="G836" t="s">
        <v>66</v>
      </c>
      <c r="I836" t="s">
        <v>70</v>
      </c>
      <c r="J836" t="s">
        <v>76</v>
      </c>
      <c r="K836" t="s">
        <v>92</v>
      </c>
      <c r="L836" t="s">
        <v>119</v>
      </c>
      <c r="M836">
        <v>18</v>
      </c>
      <c r="N836">
        <v>18</v>
      </c>
      <c r="O836" t="s">
        <v>149</v>
      </c>
      <c r="P836" t="s">
        <v>157</v>
      </c>
      <c r="Q836" t="s">
        <v>212</v>
      </c>
    </row>
    <row r="837" spans="1:17" x14ac:dyDescent="0.25">
      <c r="A837" t="s">
        <v>18</v>
      </c>
      <c r="B837" t="s">
        <v>28</v>
      </c>
      <c r="C837" t="s">
        <v>50</v>
      </c>
      <c r="D837" t="s">
        <v>55</v>
      </c>
      <c r="E837">
        <v>21094</v>
      </c>
      <c r="F837">
        <v>2338</v>
      </c>
      <c r="G837" t="s">
        <v>68</v>
      </c>
      <c r="I837" t="s">
        <v>69</v>
      </c>
      <c r="J837" t="s">
        <v>75</v>
      </c>
      <c r="K837" t="s">
        <v>85</v>
      </c>
      <c r="L837" t="s">
        <v>114</v>
      </c>
      <c r="M837">
        <v>1</v>
      </c>
      <c r="N837">
        <v>0</v>
      </c>
      <c r="O837" t="s">
        <v>152</v>
      </c>
      <c r="P837" t="s">
        <v>156</v>
      </c>
      <c r="Q837" t="s">
        <v>346</v>
      </c>
    </row>
    <row r="838" spans="1:17" x14ac:dyDescent="0.25">
      <c r="A838" t="s">
        <v>19</v>
      </c>
      <c r="B838" t="s">
        <v>33</v>
      </c>
      <c r="C838" t="s">
        <v>38</v>
      </c>
      <c r="D838" t="s">
        <v>54</v>
      </c>
      <c r="E838">
        <v>76959</v>
      </c>
      <c r="F838">
        <v>0</v>
      </c>
      <c r="G838" t="s">
        <v>67</v>
      </c>
      <c r="J838" t="s">
        <v>76</v>
      </c>
      <c r="K838" t="s">
        <v>86</v>
      </c>
      <c r="L838" t="s">
        <v>115</v>
      </c>
      <c r="M838">
        <v>3</v>
      </c>
      <c r="N838">
        <v>3</v>
      </c>
      <c r="O838" t="s">
        <v>148</v>
      </c>
      <c r="P838" t="s">
        <v>155</v>
      </c>
      <c r="Q838" t="s">
        <v>373</v>
      </c>
    </row>
    <row r="839" spans="1:17" x14ac:dyDescent="0.25">
      <c r="A839" t="s">
        <v>19</v>
      </c>
      <c r="B839" t="s">
        <v>34</v>
      </c>
      <c r="C839" t="s">
        <v>36</v>
      </c>
      <c r="D839" t="s">
        <v>62</v>
      </c>
      <c r="E839">
        <v>46224</v>
      </c>
      <c r="F839">
        <v>0</v>
      </c>
      <c r="G839" t="s">
        <v>63</v>
      </c>
      <c r="I839" t="s">
        <v>56</v>
      </c>
      <c r="J839" t="s">
        <v>72</v>
      </c>
      <c r="K839" t="s">
        <v>95</v>
      </c>
      <c r="L839" t="s">
        <v>120</v>
      </c>
      <c r="M839">
        <v>5</v>
      </c>
      <c r="N839">
        <v>5</v>
      </c>
      <c r="O839" t="s">
        <v>149</v>
      </c>
      <c r="P839" t="s">
        <v>156</v>
      </c>
      <c r="Q839" t="s">
        <v>162</v>
      </c>
    </row>
    <row r="840" spans="1:17" x14ac:dyDescent="0.25">
      <c r="A840" t="s">
        <v>20</v>
      </c>
      <c r="B840" t="s">
        <v>29</v>
      </c>
      <c r="C840" t="s">
        <v>50</v>
      </c>
      <c r="D840" t="s">
        <v>58</v>
      </c>
      <c r="E840">
        <v>65007</v>
      </c>
      <c r="F840">
        <v>0</v>
      </c>
      <c r="G840" t="s">
        <v>67</v>
      </c>
      <c r="J840" t="s">
        <v>81</v>
      </c>
      <c r="K840" t="s">
        <v>98</v>
      </c>
      <c r="L840" t="s">
        <v>123</v>
      </c>
      <c r="M840">
        <v>3</v>
      </c>
      <c r="N840">
        <v>3</v>
      </c>
      <c r="O840" t="s">
        <v>152</v>
      </c>
      <c r="P840" t="s">
        <v>156</v>
      </c>
      <c r="Q840" t="s">
        <v>418</v>
      </c>
    </row>
    <row r="841" spans="1:17" x14ac:dyDescent="0.25">
      <c r="A841" t="s">
        <v>21</v>
      </c>
      <c r="B841" t="s">
        <v>34</v>
      </c>
      <c r="C841" t="s">
        <v>41</v>
      </c>
      <c r="D841" t="s">
        <v>54</v>
      </c>
      <c r="E841">
        <v>123176</v>
      </c>
      <c r="F841">
        <v>10418</v>
      </c>
      <c r="G841" t="s">
        <v>67</v>
      </c>
      <c r="I841" t="s">
        <v>56</v>
      </c>
      <c r="J841" t="s">
        <v>72</v>
      </c>
      <c r="K841" t="s">
        <v>95</v>
      </c>
      <c r="L841" t="s">
        <v>120</v>
      </c>
      <c r="M841">
        <v>18</v>
      </c>
      <c r="N841">
        <v>15</v>
      </c>
      <c r="O841" t="s">
        <v>150</v>
      </c>
      <c r="P841" t="s">
        <v>156</v>
      </c>
      <c r="Q841" t="s">
        <v>234</v>
      </c>
    </row>
    <row r="842" spans="1:17" x14ac:dyDescent="0.25">
      <c r="A842" t="s">
        <v>21</v>
      </c>
      <c r="B842" t="s">
        <v>29</v>
      </c>
      <c r="C842" t="s">
        <v>40</v>
      </c>
      <c r="D842" t="s">
        <v>61</v>
      </c>
      <c r="E842">
        <v>59171</v>
      </c>
      <c r="F842">
        <v>370</v>
      </c>
      <c r="G842" t="s">
        <v>63</v>
      </c>
      <c r="J842" t="s">
        <v>72</v>
      </c>
      <c r="K842" t="s">
        <v>95</v>
      </c>
      <c r="L842" t="s">
        <v>120</v>
      </c>
      <c r="M842">
        <v>15</v>
      </c>
      <c r="N842">
        <v>15</v>
      </c>
      <c r="O842" t="s">
        <v>148</v>
      </c>
      <c r="P842" t="s">
        <v>156</v>
      </c>
      <c r="Q842" t="s">
        <v>166</v>
      </c>
    </row>
    <row r="843" spans="1:17" x14ac:dyDescent="0.25">
      <c r="A843" t="s">
        <v>19</v>
      </c>
      <c r="B843" t="s">
        <v>30</v>
      </c>
      <c r="C843" t="s">
        <v>45</v>
      </c>
      <c r="D843" t="s">
        <v>58</v>
      </c>
      <c r="E843">
        <v>168589</v>
      </c>
      <c r="F843">
        <v>729</v>
      </c>
      <c r="G843" t="s">
        <v>67</v>
      </c>
      <c r="I843" t="s">
        <v>56</v>
      </c>
      <c r="J843" t="s">
        <v>78</v>
      </c>
      <c r="K843" t="s">
        <v>88</v>
      </c>
      <c r="L843" t="s">
        <v>136</v>
      </c>
      <c r="M843">
        <v>9</v>
      </c>
      <c r="N843">
        <v>6</v>
      </c>
      <c r="O843" t="s">
        <v>153</v>
      </c>
      <c r="P843" t="s">
        <v>157</v>
      </c>
      <c r="Q843" t="s">
        <v>166</v>
      </c>
    </row>
    <row r="844" spans="1:17" x14ac:dyDescent="0.25">
      <c r="A844" t="s">
        <v>21</v>
      </c>
      <c r="B844" t="s">
        <v>35</v>
      </c>
      <c r="C844" t="s">
        <v>48</v>
      </c>
      <c r="D844" t="s">
        <v>55</v>
      </c>
      <c r="E844">
        <v>87632</v>
      </c>
      <c r="F844">
        <v>4156</v>
      </c>
      <c r="G844" t="s">
        <v>65</v>
      </c>
      <c r="I844" t="s">
        <v>70</v>
      </c>
      <c r="J844" t="s">
        <v>74</v>
      </c>
      <c r="K844" t="s">
        <v>84</v>
      </c>
      <c r="L844" t="s">
        <v>74</v>
      </c>
      <c r="M844">
        <v>15</v>
      </c>
      <c r="N844">
        <v>15</v>
      </c>
      <c r="O844" t="s">
        <v>153</v>
      </c>
      <c r="P844" t="s">
        <v>157</v>
      </c>
      <c r="Q844" t="s">
        <v>171</v>
      </c>
    </row>
    <row r="845" spans="1:17" x14ac:dyDescent="0.25">
      <c r="A845" t="s">
        <v>19</v>
      </c>
      <c r="B845" t="s">
        <v>32</v>
      </c>
      <c r="C845" t="s">
        <v>50</v>
      </c>
      <c r="D845" t="s">
        <v>60</v>
      </c>
      <c r="E845">
        <v>1059483</v>
      </c>
      <c r="F845">
        <v>0</v>
      </c>
      <c r="G845" t="s">
        <v>66</v>
      </c>
      <c r="I845" t="s">
        <v>70</v>
      </c>
      <c r="J845" t="s">
        <v>77</v>
      </c>
      <c r="K845" t="s">
        <v>97</v>
      </c>
      <c r="L845" t="s">
        <v>122</v>
      </c>
      <c r="M845">
        <v>7</v>
      </c>
      <c r="N845">
        <v>7</v>
      </c>
      <c r="O845" t="s">
        <v>153</v>
      </c>
      <c r="P845" t="s">
        <v>157</v>
      </c>
      <c r="Q845" t="s">
        <v>273</v>
      </c>
    </row>
    <row r="846" spans="1:17" x14ac:dyDescent="0.25">
      <c r="A846" t="s">
        <v>20</v>
      </c>
      <c r="B846" t="s">
        <v>29</v>
      </c>
      <c r="C846" t="s">
        <v>47</v>
      </c>
      <c r="D846" t="s">
        <v>54</v>
      </c>
      <c r="E846">
        <v>1006014</v>
      </c>
      <c r="F846">
        <v>77797</v>
      </c>
      <c r="G846" t="s">
        <v>66</v>
      </c>
      <c r="J846" t="s">
        <v>74</v>
      </c>
      <c r="K846" t="s">
        <v>84</v>
      </c>
      <c r="L846" t="s">
        <v>74</v>
      </c>
      <c r="M846">
        <v>3</v>
      </c>
      <c r="N846">
        <v>3</v>
      </c>
      <c r="O846" t="s">
        <v>153</v>
      </c>
      <c r="P846" t="s">
        <v>157</v>
      </c>
      <c r="Q846" t="s">
        <v>224</v>
      </c>
    </row>
    <row r="847" spans="1:17" x14ac:dyDescent="0.25">
      <c r="A847" t="s">
        <v>19</v>
      </c>
      <c r="B847" t="s">
        <v>27</v>
      </c>
      <c r="C847" t="s">
        <v>41</v>
      </c>
      <c r="D847" t="s">
        <v>57</v>
      </c>
      <c r="E847">
        <v>25393</v>
      </c>
      <c r="F847">
        <v>1738</v>
      </c>
      <c r="G847" t="s">
        <v>68</v>
      </c>
      <c r="I847" t="s">
        <v>71</v>
      </c>
      <c r="J847" t="s">
        <v>78</v>
      </c>
      <c r="K847" t="s">
        <v>109</v>
      </c>
      <c r="L847" t="s">
        <v>137</v>
      </c>
      <c r="M847">
        <v>20</v>
      </c>
      <c r="N847">
        <v>19</v>
      </c>
      <c r="O847" t="s">
        <v>150</v>
      </c>
      <c r="P847" t="s">
        <v>155</v>
      </c>
      <c r="Q847" t="s">
        <v>292</v>
      </c>
    </row>
    <row r="848" spans="1:17" x14ac:dyDescent="0.25">
      <c r="A848" t="s">
        <v>19</v>
      </c>
      <c r="B848" t="s">
        <v>27</v>
      </c>
      <c r="C848" t="s">
        <v>52</v>
      </c>
      <c r="D848" t="s">
        <v>55</v>
      </c>
      <c r="E848">
        <v>32568</v>
      </c>
      <c r="F848">
        <v>805</v>
      </c>
      <c r="G848" t="s">
        <v>68</v>
      </c>
      <c r="I848" t="s">
        <v>71</v>
      </c>
      <c r="J848" t="s">
        <v>75</v>
      </c>
      <c r="K848" t="s">
        <v>85</v>
      </c>
      <c r="L848" t="s">
        <v>114</v>
      </c>
      <c r="M848">
        <v>18</v>
      </c>
      <c r="N848">
        <v>18</v>
      </c>
      <c r="O848" t="s">
        <v>148</v>
      </c>
      <c r="P848" t="s">
        <v>154</v>
      </c>
      <c r="Q848" t="s">
        <v>189</v>
      </c>
    </row>
    <row r="849" spans="1:17" x14ac:dyDescent="0.25">
      <c r="A849" t="s">
        <v>19</v>
      </c>
      <c r="B849" t="s">
        <v>22</v>
      </c>
      <c r="C849" t="s">
        <v>40</v>
      </c>
      <c r="D849" t="s">
        <v>59</v>
      </c>
      <c r="E849">
        <v>125616</v>
      </c>
      <c r="F849">
        <v>0</v>
      </c>
      <c r="G849" t="s">
        <v>64</v>
      </c>
      <c r="I849" t="s">
        <v>69</v>
      </c>
      <c r="J849" t="s">
        <v>72</v>
      </c>
      <c r="K849" t="s">
        <v>95</v>
      </c>
      <c r="L849" t="s">
        <v>120</v>
      </c>
      <c r="M849">
        <v>4</v>
      </c>
      <c r="N849">
        <v>3</v>
      </c>
      <c r="O849" t="s">
        <v>148</v>
      </c>
      <c r="P849" t="s">
        <v>156</v>
      </c>
      <c r="Q849" t="s">
        <v>212</v>
      </c>
    </row>
    <row r="850" spans="1:17" x14ac:dyDescent="0.25">
      <c r="A850" t="s">
        <v>19</v>
      </c>
      <c r="B850" t="s">
        <v>34</v>
      </c>
      <c r="C850" t="s">
        <v>40</v>
      </c>
      <c r="E850">
        <v>786004</v>
      </c>
      <c r="F850">
        <v>103817</v>
      </c>
      <c r="G850" t="s">
        <v>66</v>
      </c>
      <c r="I850" t="s">
        <v>71</v>
      </c>
      <c r="J850" t="s">
        <v>76</v>
      </c>
      <c r="K850" t="s">
        <v>100</v>
      </c>
      <c r="L850" t="s">
        <v>126</v>
      </c>
      <c r="M850">
        <v>20</v>
      </c>
      <c r="N850">
        <v>20</v>
      </c>
      <c r="O850" t="s">
        <v>148</v>
      </c>
      <c r="P850" t="s">
        <v>157</v>
      </c>
      <c r="Q850" t="s">
        <v>190</v>
      </c>
    </row>
    <row r="851" spans="1:17" x14ac:dyDescent="0.25">
      <c r="A851" t="s">
        <v>19</v>
      </c>
      <c r="B851" t="s">
        <v>28</v>
      </c>
      <c r="C851" t="s">
        <v>50</v>
      </c>
      <c r="D851" t="s">
        <v>54</v>
      </c>
      <c r="E851">
        <v>68368</v>
      </c>
      <c r="F851">
        <v>2584</v>
      </c>
      <c r="G851" t="s">
        <v>65</v>
      </c>
      <c r="I851" t="s">
        <v>70</v>
      </c>
      <c r="J851" t="s">
        <v>81</v>
      </c>
      <c r="K851" t="s">
        <v>101</v>
      </c>
      <c r="L851" t="s">
        <v>127</v>
      </c>
      <c r="M851">
        <v>25</v>
      </c>
      <c r="N851">
        <v>22</v>
      </c>
      <c r="O851" t="s">
        <v>151</v>
      </c>
      <c r="P851" t="s">
        <v>156</v>
      </c>
      <c r="Q851" t="s">
        <v>181</v>
      </c>
    </row>
    <row r="852" spans="1:17" x14ac:dyDescent="0.25">
      <c r="A852" t="s">
        <v>19</v>
      </c>
      <c r="B852" t="s">
        <v>23</v>
      </c>
      <c r="C852" t="s">
        <v>41</v>
      </c>
      <c r="D852" t="s">
        <v>60</v>
      </c>
      <c r="E852">
        <v>80527</v>
      </c>
      <c r="F852">
        <v>986</v>
      </c>
      <c r="G852" t="s">
        <v>67</v>
      </c>
      <c r="I852" t="s">
        <v>70</v>
      </c>
      <c r="J852" t="s">
        <v>77</v>
      </c>
      <c r="K852" t="s">
        <v>87</v>
      </c>
      <c r="L852" t="s">
        <v>144</v>
      </c>
      <c r="M852">
        <v>20</v>
      </c>
      <c r="N852">
        <v>20</v>
      </c>
      <c r="O852" t="s">
        <v>151</v>
      </c>
      <c r="P852" t="s">
        <v>156</v>
      </c>
      <c r="Q852" t="s">
        <v>419</v>
      </c>
    </row>
    <row r="853" spans="1:17" x14ac:dyDescent="0.25">
      <c r="A853" t="s">
        <v>20</v>
      </c>
      <c r="B853" t="s">
        <v>24</v>
      </c>
      <c r="C853" t="s">
        <v>43</v>
      </c>
      <c r="D853" t="s">
        <v>56</v>
      </c>
      <c r="E853">
        <v>77975</v>
      </c>
      <c r="F853">
        <v>15159</v>
      </c>
      <c r="G853" t="s">
        <v>64</v>
      </c>
      <c r="I853" t="s">
        <v>71</v>
      </c>
      <c r="J853" t="s">
        <v>73</v>
      </c>
      <c r="K853" t="s">
        <v>99</v>
      </c>
      <c r="L853" t="s">
        <v>125</v>
      </c>
      <c r="M853">
        <v>5</v>
      </c>
      <c r="N853">
        <v>3</v>
      </c>
      <c r="O853" t="s">
        <v>150</v>
      </c>
      <c r="P853" t="s">
        <v>156</v>
      </c>
      <c r="Q853" t="s">
        <v>335</v>
      </c>
    </row>
    <row r="854" spans="1:17" x14ac:dyDescent="0.25">
      <c r="A854" t="s">
        <v>20</v>
      </c>
      <c r="B854" t="s">
        <v>30</v>
      </c>
      <c r="C854" t="s">
        <v>45</v>
      </c>
      <c r="D854" t="s">
        <v>56</v>
      </c>
      <c r="E854">
        <v>64921</v>
      </c>
      <c r="F854">
        <v>9906</v>
      </c>
      <c r="G854" t="s">
        <v>67</v>
      </c>
      <c r="I854" t="s">
        <v>71</v>
      </c>
      <c r="J854" t="s">
        <v>79</v>
      </c>
      <c r="K854" t="s">
        <v>107</v>
      </c>
      <c r="L854" t="s">
        <v>134</v>
      </c>
      <c r="M854">
        <v>0</v>
      </c>
      <c r="N854">
        <v>0</v>
      </c>
      <c r="O854" t="s">
        <v>152</v>
      </c>
      <c r="P854" t="s">
        <v>155</v>
      </c>
      <c r="Q854" t="s">
        <v>174</v>
      </c>
    </row>
    <row r="855" spans="1:17" x14ac:dyDescent="0.25">
      <c r="A855" t="s">
        <v>19</v>
      </c>
      <c r="B855" t="s">
        <v>35</v>
      </c>
      <c r="C855" t="s">
        <v>41</v>
      </c>
      <c r="D855" t="s">
        <v>54</v>
      </c>
      <c r="E855">
        <v>62212</v>
      </c>
      <c r="F855">
        <v>666</v>
      </c>
      <c r="G855" t="s">
        <v>63</v>
      </c>
      <c r="J855" t="s">
        <v>72</v>
      </c>
      <c r="K855" t="s">
        <v>95</v>
      </c>
      <c r="L855" t="s">
        <v>120</v>
      </c>
      <c r="M855">
        <v>12</v>
      </c>
      <c r="N855">
        <v>9</v>
      </c>
      <c r="O855" t="s">
        <v>148</v>
      </c>
      <c r="P855" t="s">
        <v>154</v>
      </c>
      <c r="Q855" t="s">
        <v>175</v>
      </c>
    </row>
    <row r="856" spans="1:17" x14ac:dyDescent="0.25">
      <c r="A856" t="s">
        <v>19</v>
      </c>
      <c r="B856" t="s">
        <v>32</v>
      </c>
      <c r="C856" t="s">
        <v>38</v>
      </c>
      <c r="D856" t="s">
        <v>58</v>
      </c>
      <c r="E856">
        <v>67141</v>
      </c>
      <c r="F856">
        <v>5494</v>
      </c>
      <c r="G856" t="s">
        <v>63</v>
      </c>
      <c r="I856" t="s">
        <v>71</v>
      </c>
      <c r="J856" t="s">
        <v>78</v>
      </c>
      <c r="K856" t="s">
        <v>90</v>
      </c>
      <c r="L856" t="s">
        <v>138</v>
      </c>
      <c r="M856">
        <v>12</v>
      </c>
      <c r="N856">
        <v>12</v>
      </c>
      <c r="O856" t="s">
        <v>152</v>
      </c>
      <c r="P856" t="s">
        <v>156</v>
      </c>
      <c r="Q856" t="s">
        <v>173</v>
      </c>
    </row>
    <row r="857" spans="1:17" x14ac:dyDescent="0.25">
      <c r="A857" t="s">
        <v>19</v>
      </c>
      <c r="B857" t="s">
        <v>31</v>
      </c>
      <c r="C857" t="s">
        <v>39</v>
      </c>
      <c r="D857" t="s">
        <v>54</v>
      </c>
      <c r="E857">
        <v>73399</v>
      </c>
      <c r="F857">
        <v>10865</v>
      </c>
      <c r="G857" t="s">
        <v>68</v>
      </c>
      <c r="I857" t="s">
        <v>56</v>
      </c>
      <c r="J857" t="s">
        <v>76</v>
      </c>
      <c r="K857" t="s">
        <v>92</v>
      </c>
      <c r="L857" t="s">
        <v>119</v>
      </c>
      <c r="M857">
        <v>3</v>
      </c>
      <c r="N857">
        <v>0</v>
      </c>
      <c r="O857" t="s">
        <v>152</v>
      </c>
      <c r="P857" t="s">
        <v>155</v>
      </c>
      <c r="Q857" t="s">
        <v>165</v>
      </c>
    </row>
    <row r="858" spans="1:17" x14ac:dyDescent="0.25">
      <c r="A858" t="s">
        <v>19</v>
      </c>
      <c r="B858" t="s">
        <v>35</v>
      </c>
      <c r="C858" t="s">
        <v>36</v>
      </c>
      <c r="D858" t="s">
        <v>54</v>
      </c>
      <c r="E858">
        <v>1466189</v>
      </c>
      <c r="F858">
        <v>280208</v>
      </c>
      <c r="G858" t="s">
        <v>66</v>
      </c>
      <c r="I858" t="s">
        <v>69</v>
      </c>
      <c r="J858" t="s">
        <v>78</v>
      </c>
      <c r="K858" t="s">
        <v>90</v>
      </c>
      <c r="L858" t="s">
        <v>147</v>
      </c>
      <c r="M858">
        <v>18</v>
      </c>
      <c r="N858">
        <v>17</v>
      </c>
      <c r="O858" t="s">
        <v>152</v>
      </c>
      <c r="P858" t="s">
        <v>154</v>
      </c>
      <c r="Q858" t="s">
        <v>219</v>
      </c>
    </row>
    <row r="859" spans="1:17" x14ac:dyDescent="0.25">
      <c r="A859" t="s">
        <v>19</v>
      </c>
      <c r="B859" t="s">
        <v>28</v>
      </c>
      <c r="C859" t="s">
        <v>50</v>
      </c>
      <c r="D859" t="s">
        <v>54</v>
      </c>
      <c r="E859">
        <v>102312</v>
      </c>
      <c r="F859">
        <v>6498</v>
      </c>
      <c r="G859" t="s">
        <v>64</v>
      </c>
      <c r="I859" t="s">
        <v>69</v>
      </c>
      <c r="J859" t="s">
        <v>75</v>
      </c>
      <c r="K859" t="s">
        <v>108</v>
      </c>
      <c r="L859" t="s">
        <v>135</v>
      </c>
      <c r="M859">
        <v>20</v>
      </c>
      <c r="N859">
        <v>20</v>
      </c>
      <c r="O859" t="s">
        <v>149</v>
      </c>
      <c r="P859" t="s">
        <v>154</v>
      </c>
      <c r="Q859" t="s">
        <v>420</v>
      </c>
    </row>
    <row r="860" spans="1:17" x14ac:dyDescent="0.25">
      <c r="A860" t="s">
        <v>21</v>
      </c>
      <c r="B860" t="s">
        <v>24</v>
      </c>
      <c r="C860" t="s">
        <v>44</v>
      </c>
      <c r="D860" t="s">
        <v>61</v>
      </c>
      <c r="E860">
        <v>726406</v>
      </c>
      <c r="F860">
        <v>54719</v>
      </c>
      <c r="G860" t="s">
        <v>66</v>
      </c>
      <c r="J860" t="s">
        <v>78</v>
      </c>
      <c r="K860" t="s">
        <v>104</v>
      </c>
      <c r="L860" t="s">
        <v>131</v>
      </c>
      <c r="M860">
        <v>10</v>
      </c>
      <c r="N860">
        <v>10</v>
      </c>
      <c r="O860" t="s">
        <v>152</v>
      </c>
      <c r="P860" t="s">
        <v>154</v>
      </c>
      <c r="Q860" t="s">
        <v>178</v>
      </c>
    </row>
    <row r="861" spans="1:17" x14ac:dyDescent="0.25">
      <c r="A861" t="s">
        <v>17</v>
      </c>
      <c r="B861" t="s">
        <v>29</v>
      </c>
      <c r="C861" t="s">
        <v>40</v>
      </c>
      <c r="D861" t="s">
        <v>54</v>
      </c>
      <c r="E861">
        <v>84681</v>
      </c>
      <c r="F861">
        <v>5279</v>
      </c>
      <c r="G861" t="s">
        <v>63</v>
      </c>
      <c r="I861" t="s">
        <v>69</v>
      </c>
      <c r="J861" t="s">
        <v>81</v>
      </c>
      <c r="K861" t="s">
        <v>94</v>
      </c>
      <c r="L861" t="s">
        <v>129</v>
      </c>
      <c r="M861">
        <v>18</v>
      </c>
      <c r="N861">
        <v>18</v>
      </c>
      <c r="O861" t="s">
        <v>149</v>
      </c>
      <c r="P861" t="s">
        <v>156</v>
      </c>
      <c r="Q861" t="s">
        <v>208</v>
      </c>
    </row>
    <row r="862" spans="1:17" x14ac:dyDescent="0.25">
      <c r="A862" t="s">
        <v>17</v>
      </c>
      <c r="B862" t="s">
        <v>27</v>
      </c>
      <c r="C862" t="s">
        <v>40</v>
      </c>
      <c r="D862" t="s">
        <v>54</v>
      </c>
      <c r="E862">
        <v>70153</v>
      </c>
      <c r="F862">
        <v>14700</v>
      </c>
      <c r="G862" t="s">
        <v>63</v>
      </c>
      <c r="I862" t="s">
        <v>56</v>
      </c>
      <c r="J862" t="s">
        <v>80</v>
      </c>
      <c r="K862" t="s">
        <v>93</v>
      </c>
      <c r="L862" t="s">
        <v>93</v>
      </c>
      <c r="M862">
        <v>15</v>
      </c>
      <c r="N862">
        <v>15</v>
      </c>
      <c r="O862" t="s">
        <v>149</v>
      </c>
      <c r="P862" t="s">
        <v>157</v>
      </c>
      <c r="Q862" t="s">
        <v>421</v>
      </c>
    </row>
    <row r="863" spans="1:17" x14ac:dyDescent="0.25">
      <c r="A863" t="s">
        <v>19</v>
      </c>
      <c r="B863" t="s">
        <v>32</v>
      </c>
      <c r="C863" t="s">
        <v>51</v>
      </c>
      <c r="D863" t="s">
        <v>58</v>
      </c>
      <c r="E863">
        <v>56965</v>
      </c>
      <c r="F863">
        <v>4812</v>
      </c>
      <c r="G863" t="s">
        <v>63</v>
      </c>
      <c r="I863" t="s">
        <v>56</v>
      </c>
      <c r="J863" t="s">
        <v>80</v>
      </c>
      <c r="K863" t="s">
        <v>93</v>
      </c>
      <c r="L863" t="s">
        <v>93</v>
      </c>
      <c r="M863">
        <v>9</v>
      </c>
      <c r="N863">
        <v>9</v>
      </c>
      <c r="O863" t="s">
        <v>149</v>
      </c>
      <c r="P863" t="s">
        <v>157</v>
      </c>
      <c r="Q863" t="s">
        <v>178</v>
      </c>
    </row>
    <row r="864" spans="1:17" x14ac:dyDescent="0.25">
      <c r="A864" t="s">
        <v>19</v>
      </c>
      <c r="B864" t="s">
        <v>35</v>
      </c>
      <c r="C864" t="s">
        <v>48</v>
      </c>
      <c r="D864" t="s">
        <v>61</v>
      </c>
      <c r="E864">
        <v>103903</v>
      </c>
      <c r="F864">
        <v>2099</v>
      </c>
      <c r="G864" t="s">
        <v>67</v>
      </c>
      <c r="I864" t="s">
        <v>69</v>
      </c>
      <c r="J864" t="s">
        <v>76</v>
      </c>
      <c r="K864" t="s">
        <v>100</v>
      </c>
      <c r="L864" t="s">
        <v>132</v>
      </c>
      <c r="M864">
        <v>7</v>
      </c>
      <c r="N864">
        <v>5</v>
      </c>
      <c r="O864" t="s">
        <v>148</v>
      </c>
      <c r="P864" t="s">
        <v>156</v>
      </c>
      <c r="Q864" t="s">
        <v>178</v>
      </c>
    </row>
    <row r="865" spans="1:17" x14ac:dyDescent="0.25">
      <c r="A865" t="s">
        <v>18</v>
      </c>
      <c r="B865" t="s">
        <v>32</v>
      </c>
      <c r="C865" t="s">
        <v>52</v>
      </c>
      <c r="D865" t="s">
        <v>56</v>
      </c>
      <c r="E865">
        <v>63426</v>
      </c>
      <c r="F865">
        <v>8998</v>
      </c>
      <c r="G865" t="s">
        <v>63</v>
      </c>
      <c r="I865" t="s">
        <v>69</v>
      </c>
      <c r="J865" t="s">
        <v>81</v>
      </c>
      <c r="K865" t="s">
        <v>101</v>
      </c>
      <c r="L865" t="s">
        <v>127</v>
      </c>
      <c r="M865">
        <v>0</v>
      </c>
      <c r="N865">
        <v>0</v>
      </c>
      <c r="O865" t="s">
        <v>148</v>
      </c>
      <c r="P865" t="s">
        <v>155</v>
      </c>
      <c r="Q865" t="s">
        <v>171</v>
      </c>
    </row>
    <row r="866" spans="1:17" x14ac:dyDescent="0.25">
      <c r="A866" t="s">
        <v>19</v>
      </c>
      <c r="B866" t="s">
        <v>32</v>
      </c>
      <c r="C866" t="s">
        <v>38</v>
      </c>
      <c r="D866" t="s">
        <v>56</v>
      </c>
      <c r="E866">
        <v>32971</v>
      </c>
      <c r="F866">
        <v>0</v>
      </c>
      <c r="G866" t="s">
        <v>68</v>
      </c>
      <c r="I866" t="s">
        <v>71</v>
      </c>
      <c r="J866" t="s">
        <v>81</v>
      </c>
      <c r="K866" t="s">
        <v>103</v>
      </c>
      <c r="L866" t="s">
        <v>130</v>
      </c>
      <c r="M866">
        <v>2</v>
      </c>
      <c r="N866">
        <v>2</v>
      </c>
      <c r="O866" t="s">
        <v>150</v>
      </c>
      <c r="P866" t="s">
        <v>154</v>
      </c>
      <c r="Q866" t="s">
        <v>372</v>
      </c>
    </row>
    <row r="867" spans="1:17" x14ac:dyDescent="0.25">
      <c r="A867" t="s">
        <v>18</v>
      </c>
      <c r="B867" t="s">
        <v>27</v>
      </c>
      <c r="C867" t="s">
        <v>51</v>
      </c>
      <c r="D867" t="s">
        <v>58</v>
      </c>
      <c r="E867">
        <v>43042</v>
      </c>
      <c r="F867">
        <v>0</v>
      </c>
      <c r="G867" t="s">
        <v>64</v>
      </c>
      <c r="I867" t="s">
        <v>71</v>
      </c>
      <c r="J867" t="s">
        <v>80</v>
      </c>
      <c r="K867" t="s">
        <v>93</v>
      </c>
      <c r="L867" t="s">
        <v>93</v>
      </c>
      <c r="M867">
        <v>0</v>
      </c>
      <c r="N867">
        <v>0</v>
      </c>
      <c r="O867" t="s">
        <v>148</v>
      </c>
      <c r="P867" t="s">
        <v>154</v>
      </c>
      <c r="Q867" t="s">
        <v>178</v>
      </c>
    </row>
    <row r="868" spans="1:17" x14ac:dyDescent="0.25">
      <c r="A868" t="s">
        <v>19</v>
      </c>
      <c r="B868" t="s">
        <v>22</v>
      </c>
      <c r="C868" t="s">
        <v>36</v>
      </c>
      <c r="D868" t="s">
        <v>56</v>
      </c>
      <c r="E868">
        <v>116713</v>
      </c>
      <c r="F868">
        <v>22796</v>
      </c>
      <c r="G868" t="s">
        <v>64</v>
      </c>
      <c r="I868" t="s">
        <v>69</v>
      </c>
      <c r="J868" t="s">
        <v>74</v>
      </c>
      <c r="K868" t="s">
        <v>84</v>
      </c>
      <c r="L868" t="s">
        <v>74</v>
      </c>
      <c r="M868">
        <v>9</v>
      </c>
      <c r="N868">
        <v>9</v>
      </c>
      <c r="O868" t="s">
        <v>152</v>
      </c>
      <c r="P868" t="s">
        <v>155</v>
      </c>
      <c r="Q868" t="s">
        <v>287</v>
      </c>
    </row>
    <row r="869" spans="1:17" x14ac:dyDescent="0.25">
      <c r="A869" t="s">
        <v>17</v>
      </c>
      <c r="B869" t="s">
        <v>23</v>
      </c>
      <c r="C869" t="s">
        <v>38</v>
      </c>
      <c r="D869" t="s">
        <v>57</v>
      </c>
      <c r="E869">
        <v>64595</v>
      </c>
      <c r="F869">
        <v>568</v>
      </c>
      <c r="G869" t="s">
        <v>68</v>
      </c>
      <c r="I869" t="s">
        <v>69</v>
      </c>
      <c r="J869" t="s">
        <v>79</v>
      </c>
      <c r="K869" t="s">
        <v>107</v>
      </c>
      <c r="L869" t="s">
        <v>134</v>
      </c>
      <c r="M869">
        <v>20</v>
      </c>
      <c r="N869">
        <v>20</v>
      </c>
      <c r="O869" t="s">
        <v>150</v>
      </c>
      <c r="P869" t="s">
        <v>157</v>
      </c>
      <c r="Q869" t="s">
        <v>422</v>
      </c>
    </row>
    <row r="870" spans="1:17" x14ac:dyDescent="0.25">
      <c r="A870" t="s">
        <v>19</v>
      </c>
      <c r="B870" t="s">
        <v>29</v>
      </c>
      <c r="C870" t="s">
        <v>46</v>
      </c>
      <c r="D870" t="s">
        <v>57</v>
      </c>
      <c r="E870">
        <v>103620</v>
      </c>
      <c r="F870">
        <v>2305</v>
      </c>
      <c r="G870" t="s">
        <v>64</v>
      </c>
      <c r="I870" t="s">
        <v>70</v>
      </c>
      <c r="J870" t="s">
        <v>76</v>
      </c>
      <c r="K870" t="s">
        <v>86</v>
      </c>
      <c r="L870" t="s">
        <v>115</v>
      </c>
      <c r="M870">
        <v>18</v>
      </c>
      <c r="N870">
        <v>18</v>
      </c>
      <c r="O870" t="s">
        <v>152</v>
      </c>
      <c r="P870" t="s">
        <v>157</v>
      </c>
      <c r="Q870" t="s">
        <v>374</v>
      </c>
    </row>
    <row r="871" spans="1:17" x14ac:dyDescent="0.25">
      <c r="A871" t="s">
        <v>19</v>
      </c>
      <c r="B871" t="s">
        <v>23</v>
      </c>
      <c r="C871" t="s">
        <v>41</v>
      </c>
      <c r="E871">
        <v>58580</v>
      </c>
      <c r="F871">
        <v>16869</v>
      </c>
      <c r="G871" t="s">
        <v>68</v>
      </c>
      <c r="J871" t="s">
        <v>73</v>
      </c>
      <c r="K871" t="s">
        <v>99</v>
      </c>
      <c r="L871" t="s">
        <v>125</v>
      </c>
      <c r="M871">
        <v>15</v>
      </c>
      <c r="N871">
        <v>14</v>
      </c>
      <c r="O871" t="s">
        <v>152</v>
      </c>
      <c r="P871" t="s">
        <v>156</v>
      </c>
      <c r="Q871" t="s">
        <v>296</v>
      </c>
    </row>
    <row r="872" spans="1:17" x14ac:dyDescent="0.25">
      <c r="A872" t="s">
        <v>17</v>
      </c>
      <c r="B872" t="s">
        <v>26</v>
      </c>
      <c r="C872" t="s">
        <v>45</v>
      </c>
      <c r="D872" t="s">
        <v>61</v>
      </c>
      <c r="E872">
        <v>75733</v>
      </c>
      <c r="F872">
        <v>1280</v>
      </c>
      <c r="G872" t="s">
        <v>68</v>
      </c>
      <c r="I872" t="s">
        <v>71</v>
      </c>
      <c r="J872" t="s">
        <v>74</v>
      </c>
      <c r="K872" t="s">
        <v>84</v>
      </c>
      <c r="L872" t="s">
        <v>74</v>
      </c>
      <c r="M872">
        <v>25</v>
      </c>
      <c r="N872">
        <v>22</v>
      </c>
      <c r="O872" t="s">
        <v>153</v>
      </c>
      <c r="P872" t="s">
        <v>157</v>
      </c>
      <c r="Q872" t="s">
        <v>159</v>
      </c>
    </row>
    <row r="873" spans="1:17" x14ac:dyDescent="0.25">
      <c r="A873" t="s">
        <v>21</v>
      </c>
      <c r="B873" t="s">
        <v>30</v>
      </c>
      <c r="C873" t="s">
        <v>37</v>
      </c>
      <c r="D873" t="s">
        <v>54</v>
      </c>
      <c r="E873">
        <v>432230</v>
      </c>
      <c r="F873">
        <v>59137</v>
      </c>
      <c r="G873" t="s">
        <v>66</v>
      </c>
      <c r="I873" t="s">
        <v>69</v>
      </c>
      <c r="J873" t="s">
        <v>74</v>
      </c>
      <c r="K873" t="s">
        <v>84</v>
      </c>
      <c r="L873" t="s">
        <v>74</v>
      </c>
      <c r="M873">
        <v>10</v>
      </c>
      <c r="N873">
        <v>8</v>
      </c>
      <c r="O873" t="s">
        <v>149</v>
      </c>
      <c r="P873" t="s">
        <v>154</v>
      </c>
      <c r="Q873" t="s">
        <v>209</v>
      </c>
    </row>
    <row r="874" spans="1:17" x14ac:dyDescent="0.25">
      <c r="A874" t="s">
        <v>20</v>
      </c>
      <c r="B874" t="s">
        <v>34</v>
      </c>
      <c r="C874" t="s">
        <v>46</v>
      </c>
      <c r="D874" t="s">
        <v>55</v>
      </c>
      <c r="E874">
        <v>91270</v>
      </c>
      <c r="F874">
        <v>2110</v>
      </c>
      <c r="G874" t="s">
        <v>65</v>
      </c>
      <c r="I874" t="s">
        <v>56</v>
      </c>
      <c r="J874" t="s">
        <v>80</v>
      </c>
      <c r="K874" t="s">
        <v>106</v>
      </c>
      <c r="L874" t="s">
        <v>106</v>
      </c>
      <c r="M874">
        <v>6</v>
      </c>
      <c r="N874">
        <v>6</v>
      </c>
      <c r="O874" t="s">
        <v>149</v>
      </c>
      <c r="P874" t="s">
        <v>156</v>
      </c>
      <c r="Q874" t="s">
        <v>175</v>
      </c>
    </row>
    <row r="875" spans="1:17" x14ac:dyDescent="0.25">
      <c r="A875" t="s">
        <v>19</v>
      </c>
      <c r="F875">
        <v>0</v>
      </c>
      <c r="G875" t="s">
        <v>68</v>
      </c>
      <c r="J875" t="s">
        <v>77</v>
      </c>
      <c r="K875" t="s">
        <v>111</v>
      </c>
      <c r="N875">
        <v>13</v>
      </c>
      <c r="O875" t="s">
        <v>150</v>
      </c>
      <c r="Q875" t="s">
        <v>423</v>
      </c>
    </row>
    <row r="876" spans="1:17" x14ac:dyDescent="0.25">
      <c r="A876" t="s">
        <v>21</v>
      </c>
      <c r="B876" t="s">
        <v>35</v>
      </c>
      <c r="C876" t="s">
        <v>49</v>
      </c>
      <c r="D876" t="s">
        <v>54</v>
      </c>
      <c r="E876">
        <v>507853</v>
      </c>
      <c r="F876">
        <v>10392</v>
      </c>
      <c r="G876" t="s">
        <v>66</v>
      </c>
      <c r="J876" t="s">
        <v>80</v>
      </c>
      <c r="K876" t="s">
        <v>106</v>
      </c>
      <c r="L876" t="s">
        <v>106</v>
      </c>
      <c r="M876">
        <v>8</v>
      </c>
      <c r="N876">
        <v>5</v>
      </c>
      <c r="O876" t="s">
        <v>152</v>
      </c>
      <c r="P876" t="s">
        <v>155</v>
      </c>
      <c r="Q876" t="s">
        <v>178</v>
      </c>
    </row>
    <row r="877" spans="1:17" x14ac:dyDescent="0.25">
      <c r="A877" t="s">
        <v>19</v>
      </c>
      <c r="B877" t="s">
        <v>24</v>
      </c>
      <c r="C877" t="s">
        <v>44</v>
      </c>
      <c r="D877" t="s">
        <v>59</v>
      </c>
      <c r="E877">
        <v>111449</v>
      </c>
      <c r="F877">
        <v>16445</v>
      </c>
      <c r="G877" t="s">
        <v>64</v>
      </c>
      <c r="I877" t="s">
        <v>69</v>
      </c>
      <c r="J877" t="s">
        <v>81</v>
      </c>
      <c r="K877" t="s">
        <v>101</v>
      </c>
      <c r="L877" t="s">
        <v>127</v>
      </c>
      <c r="M877">
        <v>20</v>
      </c>
      <c r="N877">
        <v>17</v>
      </c>
      <c r="O877" t="s">
        <v>153</v>
      </c>
      <c r="P877" t="s">
        <v>155</v>
      </c>
      <c r="Q877" t="s">
        <v>424</v>
      </c>
    </row>
    <row r="878" spans="1:17" x14ac:dyDescent="0.25">
      <c r="A878" t="s">
        <v>19</v>
      </c>
      <c r="B878" t="s">
        <v>29</v>
      </c>
      <c r="C878" t="s">
        <v>53</v>
      </c>
      <c r="D878" t="s">
        <v>61</v>
      </c>
      <c r="E878">
        <v>83972</v>
      </c>
      <c r="F878">
        <v>0</v>
      </c>
      <c r="G878" t="s">
        <v>68</v>
      </c>
      <c r="I878" t="s">
        <v>71</v>
      </c>
      <c r="J878" t="s">
        <v>72</v>
      </c>
      <c r="K878" t="s">
        <v>95</v>
      </c>
      <c r="L878" t="s">
        <v>120</v>
      </c>
      <c r="M878">
        <v>2</v>
      </c>
      <c r="N878">
        <v>2</v>
      </c>
      <c r="O878" t="s">
        <v>153</v>
      </c>
      <c r="P878" t="s">
        <v>156</v>
      </c>
      <c r="Q878" t="s">
        <v>181</v>
      </c>
    </row>
    <row r="879" spans="1:17" x14ac:dyDescent="0.25">
      <c r="A879" t="s">
        <v>19</v>
      </c>
      <c r="B879" t="s">
        <v>32</v>
      </c>
      <c r="C879" t="s">
        <v>52</v>
      </c>
      <c r="D879" t="s">
        <v>54</v>
      </c>
      <c r="E879">
        <v>135694</v>
      </c>
      <c r="F879">
        <v>16695</v>
      </c>
      <c r="G879" t="s">
        <v>63</v>
      </c>
      <c r="J879" t="s">
        <v>73</v>
      </c>
      <c r="K879" t="s">
        <v>99</v>
      </c>
      <c r="L879" t="s">
        <v>125</v>
      </c>
      <c r="M879">
        <v>18</v>
      </c>
      <c r="N879">
        <v>16</v>
      </c>
      <c r="O879" t="s">
        <v>152</v>
      </c>
      <c r="P879" t="s">
        <v>156</v>
      </c>
      <c r="Q879" t="s">
        <v>162</v>
      </c>
    </row>
    <row r="880" spans="1:17" x14ac:dyDescent="0.25">
      <c r="A880" t="s">
        <v>17</v>
      </c>
      <c r="B880" t="s">
        <v>22</v>
      </c>
      <c r="C880" t="s">
        <v>49</v>
      </c>
      <c r="D880" t="s">
        <v>60</v>
      </c>
      <c r="E880">
        <v>93429</v>
      </c>
      <c r="F880">
        <v>15924</v>
      </c>
      <c r="G880" t="s">
        <v>64</v>
      </c>
      <c r="I880" t="s">
        <v>71</v>
      </c>
      <c r="J880" t="s">
        <v>76</v>
      </c>
      <c r="K880" t="s">
        <v>92</v>
      </c>
      <c r="L880" t="s">
        <v>119</v>
      </c>
      <c r="M880">
        <v>20</v>
      </c>
      <c r="N880">
        <v>17</v>
      </c>
      <c r="O880" t="s">
        <v>153</v>
      </c>
      <c r="P880" t="s">
        <v>154</v>
      </c>
      <c r="Q880" t="s">
        <v>167</v>
      </c>
    </row>
    <row r="881" spans="1:17" x14ac:dyDescent="0.25">
      <c r="A881" t="s">
        <v>19</v>
      </c>
      <c r="B881" t="s">
        <v>24</v>
      </c>
      <c r="C881" t="s">
        <v>53</v>
      </c>
      <c r="D881" t="s">
        <v>54</v>
      </c>
      <c r="E881">
        <v>137171</v>
      </c>
      <c r="F881">
        <v>15646</v>
      </c>
      <c r="G881" t="s">
        <v>67</v>
      </c>
      <c r="I881" t="s">
        <v>69</v>
      </c>
      <c r="J881" t="s">
        <v>79</v>
      </c>
      <c r="K881" t="s">
        <v>107</v>
      </c>
      <c r="L881" t="s">
        <v>134</v>
      </c>
      <c r="M881">
        <v>9</v>
      </c>
      <c r="N881">
        <v>6</v>
      </c>
      <c r="O881" t="s">
        <v>150</v>
      </c>
      <c r="P881" t="s">
        <v>157</v>
      </c>
      <c r="Q881" t="s">
        <v>402</v>
      </c>
    </row>
    <row r="882" spans="1:17" x14ac:dyDescent="0.25">
      <c r="A882" t="s">
        <v>19</v>
      </c>
      <c r="B882" t="s">
        <v>27</v>
      </c>
      <c r="C882" t="s">
        <v>40</v>
      </c>
      <c r="D882" t="s">
        <v>55</v>
      </c>
      <c r="E882">
        <v>927740</v>
      </c>
      <c r="F882">
        <v>0</v>
      </c>
      <c r="G882" t="s">
        <v>64</v>
      </c>
      <c r="I882" t="s">
        <v>70</v>
      </c>
      <c r="J882" t="s">
        <v>76</v>
      </c>
      <c r="K882" t="s">
        <v>100</v>
      </c>
      <c r="L882" t="s">
        <v>132</v>
      </c>
      <c r="M882">
        <v>18</v>
      </c>
      <c r="N882">
        <v>18</v>
      </c>
      <c r="O882" t="s">
        <v>149</v>
      </c>
      <c r="P882" t="s">
        <v>157</v>
      </c>
      <c r="Q882" t="s">
        <v>167</v>
      </c>
    </row>
    <row r="883" spans="1:17" x14ac:dyDescent="0.25">
      <c r="A883" t="s">
        <v>21</v>
      </c>
      <c r="B883" t="s">
        <v>27</v>
      </c>
      <c r="C883" t="s">
        <v>37</v>
      </c>
      <c r="E883">
        <v>109676</v>
      </c>
      <c r="F883">
        <v>6447</v>
      </c>
      <c r="G883" t="s">
        <v>67</v>
      </c>
      <c r="I883" t="s">
        <v>56</v>
      </c>
      <c r="J883" t="s">
        <v>77</v>
      </c>
      <c r="K883" t="s">
        <v>89</v>
      </c>
      <c r="L883" t="s">
        <v>124</v>
      </c>
      <c r="M883">
        <v>20</v>
      </c>
      <c r="N883">
        <v>18</v>
      </c>
      <c r="O883" t="s">
        <v>152</v>
      </c>
      <c r="P883" t="s">
        <v>154</v>
      </c>
      <c r="Q883" t="s">
        <v>212</v>
      </c>
    </row>
    <row r="884" spans="1:17" x14ac:dyDescent="0.25">
      <c r="A884" t="s">
        <v>17</v>
      </c>
      <c r="B884" t="s">
        <v>23</v>
      </c>
      <c r="C884" t="s">
        <v>46</v>
      </c>
      <c r="D884" t="s">
        <v>58</v>
      </c>
      <c r="E884">
        <v>109159</v>
      </c>
      <c r="F884">
        <v>192</v>
      </c>
      <c r="G884" t="s">
        <v>67</v>
      </c>
      <c r="I884" t="s">
        <v>56</v>
      </c>
      <c r="J884" t="s">
        <v>81</v>
      </c>
      <c r="K884" t="s">
        <v>101</v>
      </c>
      <c r="L884" t="s">
        <v>127</v>
      </c>
      <c r="M884">
        <v>20</v>
      </c>
      <c r="N884">
        <v>19</v>
      </c>
      <c r="O884" t="s">
        <v>149</v>
      </c>
      <c r="P884" t="s">
        <v>155</v>
      </c>
      <c r="Q884" t="s">
        <v>383</v>
      </c>
    </row>
    <row r="885" spans="1:17" x14ac:dyDescent="0.25">
      <c r="A885" t="s">
        <v>17</v>
      </c>
      <c r="B885" t="s">
        <v>25</v>
      </c>
      <c r="C885" t="s">
        <v>48</v>
      </c>
      <c r="D885" t="s">
        <v>57</v>
      </c>
      <c r="E885">
        <v>43731</v>
      </c>
      <c r="F885">
        <v>0</v>
      </c>
      <c r="G885" t="s">
        <v>63</v>
      </c>
      <c r="I885" t="s">
        <v>71</v>
      </c>
      <c r="J885" t="s">
        <v>78</v>
      </c>
      <c r="K885" t="s">
        <v>90</v>
      </c>
      <c r="L885" t="s">
        <v>138</v>
      </c>
      <c r="M885">
        <v>25</v>
      </c>
      <c r="N885">
        <v>25</v>
      </c>
      <c r="O885" t="s">
        <v>152</v>
      </c>
      <c r="P885" t="s">
        <v>156</v>
      </c>
      <c r="Q885" t="s">
        <v>334</v>
      </c>
    </row>
    <row r="886" spans="1:17" x14ac:dyDescent="0.25">
      <c r="A886" t="s">
        <v>19</v>
      </c>
      <c r="B886" t="s">
        <v>34</v>
      </c>
      <c r="C886" t="s">
        <v>36</v>
      </c>
      <c r="D886" t="s">
        <v>57</v>
      </c>
      <c r="E886">
        <v>109405</v>
      </c>
      <c r="F886">
        <v>28</v>
      </c>
      <c r="G886" t="s">
        <v>64</v>
      </c>
      <c r="I886" t="s">
        <v>71</v>
      </c>
      <c r="J886" t="s">
        <v>78</v>
      </c>
      <c r="K886" t="s">
        <v>109</v>
      </c>
      <c r="L886" t="s">
        <v>137</v>
      </c>
      <c r="M886">
        <v>5</v>
      </c>
      <c r="N886">
        <v>4</v>
      </c>
      <c r="O886" t="s">
        <v>148</v>
      </c>
      <c r="P886" t="s">
        <v>155</v>
      </c>
      <c r="Q886" t="s">
        <v>425</v>
      </c>
    </row>
    <row r="887" spans="1:17" x14ac:dyDescent="0.25">
      <c r="A887" t="s">
        <v>17</v>
      </c>
      <c r="B887" t="s">
        <v>22</v>
      </c>
      <c r="C887" t="s">
        <v>44</v>
      </c>
      <c r="E887">
        <v>36809</v>
      </c>
      <c r="F887">
        <v>5222</v>
      </c>
      <c r="G887" t="s">
        <v>63</v>
      </c>
      <c r="J887" t="s">
        <v>76</v>
      </c>
      <c r="K887" t="s">
        <v>92</v>
      </c>
      <c r="L887" t="s">
        <v>119</v>
      </c>
      <c r="M887">
        <v>15</v>
      </c>
      <c r="N887">
        <v>14</v>
      </c>
      <c r="O887" t="s">
        <v>149</v>
      </c>
      <c r="P887" t="s">
        <v>155</v>
      </c>
      <c r="Q887" t="s">
        <v>244</v>
      </c>
    </row>
    <row r="888" spans="1:17" x14ac:dyDescent="0.25">
      <c r="A888" t="s">
        <v>19</v>
      </c>
      <c r="B888" t="s">
        <v>30</v>
      </c>
      <c r="C888" t="s">
        <v>52</v>
      </c>
      <c r="D888" t="s">
        <v>60</v>
      </c>
      <c r="E888">
        <v>5000</v>
      </c>
      <c r="F888">
        <v>100</v>
      </c>
      <c r="G888" t="s">
        <v>68</v>
      </c>
      <c r="I888" t="s">
        <v>56</v>
      </c>
      <c r="J888" t="s">
        <v>77</v>
      </c>
      <c r="K888" t="s">
        <v>87</v>
      </c>
      <c r="L888" t="s">
        <v>144</v>
      </c>
      <c r="M888">
        <v>15</v>
      </c>
      <c r="N888">
        <v>14</v>
      </c>
      <c r="O888" t="s">
        <v>151</v>
      </c>
      <c r="P888" t="s">
        <v>156</v>
      </c>
      <c r="Q888" t="s">
        <v>426</v>
      </c>
    </row>
    <row r="889" spans="1:17" x14ac:dyDescent="0.25">
      <c r="A889" t="s">
        <v>20</v>
      </c>
      <c r="B889" t="s">
        <v>32</v>
      </c>
      <c r="C889" t="s">
        <v>51</v>
      </c>
      <c r="E889">
        <v>83371</v>
      </c>
      <c r="F889">
        <v>3582</v>
      </c>
      <c r="G889" t="s">
        <v>64</v>
      </c>
      <c r="J889" t="s">
        <v>73</v>
      </c>
      <c r="K889" t="s">
        <v>83</v>
      </c>
      <c r="L889" t="s">
        <v>113</v>
      </c>
      <c r="M889">
        <v>0</v>
      </c>
      <c r="N889">
        <v>0</v>
      </c>
      <c r="O889" t="s">
        <v>152</v>
      </c>
      <c r="P889" t="s">
        <v>154</v>
      </c>
      <c r="Q889" t="s">
        <v>239</v>
      </c>
    </row>
    <row r="890" spans="1:17" x14ac:dyDescent="0.25">
      <c r="A890" t="s">
        <v>19</v>
      </c>
      <c r="B890" t="s">
        <v>32</v>
      </c>
      <c r="C890" t="s">
        <v>37</v>
      </c>
      <c r="D890" t="s">
        <v>54</v>
      </c>
      <c r="E890">
        <v>93986</v>
      </c>
      <c r="F890">
        <v>721</v>
      </c>
      <c r="G890" t="s">
        <v>67</v>
      </c>
      <c r="I890" t="s">
        <v>70</v>
      </c>
      <c r="J890" t="s">
        <v>75</v>
      </c>
      <c r="K890" t="s">
        <v>96</v>
      </c>
      <c r="L890" t="s">
        <v>121</v>
      </c>
      <c r="M890">
        <v>6</v>
      </c>
      <c r="N890">
        <v>6</v>
      </c>
      <c r="O890" t="s">
        <v>153</v>
      </c>
      <c r="P890" t="s">
        <v>156</v>
      </c>
      <c r="Q890" t="s">
        <v>209</v>
      </c>
    </row>
    <row r="891" spans="1:17" x14ac:dyDescent="0.25">
      <c r="A891" t="s">
        <v>17</v>
      </c>
      <c r="B891" t="s">
        <v>29</v>
      </c>
      <c r="C891" t="s">
        <v>47</v>
      </c>
      <c r="E891">
        <v>161907</v>
      </c>
      <c r="F891">
        <v>0</v>
      </c>
      <c r="G891" t="s">
        <v>67</v>
      </c>
      <c r="J891" t="s">
        <v>76</v>
      </c>
      <c r="K891" t="s">
        <v>100</v>
      </c>
      <c r="L891" t="s">
        <v>132</v>
      </c>
      <c r="M891">
        <v>20</v>
      </c>
      <c r="N891">
        <v>18</v>
      </c>
      <c r="O891" t="s">
        <v>151</v>
      </c>
      <c r="P891" t="s">
        <v>154</v>
      </c>
      <c r="Q891" t="s">
        <v>200</v>
      </c>
    </row>
    <row r="892" spans="1:17" x14ac:dyDescent="0.25">
      <c r="A892" t="s">
        <v>19</v>
      </c>
      <c r="B892" t="s">
        <v>24</v>
      </c>
      <c r="C892" t="s">
        <v>44</v>
      </c>
      <c r="D892" t="s">
        <v>57</v>
      </c>
      <c r="E892">
        <v>29917</v>
      </c>
      <c r="F892">
        <v>180</v>
      </c>
      <c r="G892" t="s">
        <v>65</v>
      </c>
      <c r="I892" t="s">
        <v>56</v>
      </c>
      <c r="J892" t="s">
        <v>74</v>
      </c>
      <c r="K892" t="s">
        <v>84</v>
      </c>
      <c r="L892" t="s">
        <v>74</v>
      </c>
      <c r="M892">
        <v>7</v>
      </c>
      <c r="N892">
        <v>6</v>
      </c>
      <c r="O892" t="s">
        <v>152</v>
      </c>
      <c r="P892" t="s">
        <v>154</v>
      </c>
      <c r="Q892" t="s">
        <v>180</v>
      </c>
    </row>
    <row r="893" spans="1:17" x14ac:dyDescent="0.25">
      <c r="A893" t="s">
        <v>17</v>
      </c>
      <c r="B893" t="s">
        <v>25</v>
      </c>
      <c r="C893" t="s">
        <v>37</v>
      </c>
      <c r="D893" t="s">
        <v>62</v>
      </c>
      <c r="E893">
        <v>129372</v>
      </c>
      <c r="F893">
        <v>15645</v>
      </c>
      <c r="G893" t="s">
        <v>67</v>
      </c>
      <c r="I893" t="s">
        <v>69</v>
      </c>
      <c r="J893" t="s">
        <v>75</v>
      </c>
      <c r="K893" t="s">
        <v>108</v>
      </c>
      <c r="L893" t="s">
        <v>135</v>
      </c>
      <c r="M893">
        <v>12</v>
      </c>
      <c r="N893">
        <v>9</v>
      </c>
      <c r="O893" t="s">
        <v>153</v>
      </c>
      <c r="P893" t="s">
        <v>156</v>
      </c>
      <c r="Q893" t="s">
        <v>175</v>
      </c>
    </row>
    <row r="894" spans="1:17" x14ac:dyDescent="0.25">
      <c r="A894" t="s">
        <v>19</v>
      </c>
      <c r="B894" t="s">
        <v>35</v>
      </c>
      <c r="C894" t="s">
        <v>44</v>
      </c>
      <c r="D894" t="s">
        <v>57</v>
      </c>
      <c r="E894">
        <v>40990</v>
      </c>
      <c r="F894">
        <v>4769</v>
      </c>
      <c r="G894" t="s">
        <v>63</v>
      </c>
      <c r="I894" t="s">
        <v>71</v>
      </c>
      <c r="J894" t="s">
        <v>81</v>
      </c>
      <c r="K894" t="s">
        <v>101</v>
      </c>
      <c r="L894" t="s">
        <v>127</v>
      </c>
      <c r="M894">
        <v>4</v>
      </c>
      <c r="N894">
        <v>3</v>
      </c>
      <c r="O894" t="s">
        <v>151</v>
      </c>
      <c r="P894" t="s">
        <v>155</v>
      </c>
      <c r="Q894" t="s">
        <v>255</v>
      </c>
    </row>
    <row r="895" spans="1:17" x14ac:dyDescent="0.25">
      <c r="A895" t="s">
        <v>19</v>
      </c>
      <c r="B895" t="s">
        <v>33</v>
      </c>
      <c r="C895" t="s">
        <v>46</v>
      </c>
      <c r="D895" t="s">
        <v>62</v>
      </c>
      <c r="E895">
        <v>89375</v>
      </c>
      <c r="F895">
        <v>5602</v>
      </c>
      <c r="G895" t="s">
        <v>68</v>
      </c>
      <c r="I895" t="s">
        <v>71</v>
      </c>
      <c r="J895" t="s">
        <v>80</v>
      </c>
      <c r="K895" t="s">
        <v>106</v>
      </c>
      <c r="L895" t="s">
        <v>106</v>
      </c>
      <c r="M895">
        <v>25</v>
      </c>
      <c r="N895">
        <v>23</v>
      </c>
      <c r="O895" t="s">
        <v>151</v>
      </c>
      <c r="P895" t="s">
        <v>157</v>
      </c>
      <c r="Q895" t="s">
        <v>182</v>
      </c>
    </row>
    <row r="896" spans="1:17" x14ac:dyDescent="0.25">
      <c r="A896" t="s">
        <v>19</v>
      </c>
      <c r="B896" t="s">
        <v>24</v>
      </c>
      <c r="C896" t="s">
        <v>53</v>
      </c>
      <c r="D896" t="s">
        <v>61</v>
      </c>
      <c r="E896">
        <v>113409</v>
      </c>
      <c r="F896">
        <v>480</v>
      </c>
      <c r="G896" t="s">
        <v>63</v>
      </c>
      <c r="I896" t="s">
        <v>56</v>
      </c>
      <c r="J896" t="s">
        <v>72</v>
      </c>
      <c r="K896" t="s">
        <v>95</v>
      </c>
      <c r="L896" t="s">
        <v>120</v>
      </c>
      <c r="M896">
        <v>6</v>
      </c>
      <c r="N896">
        <v>6</v>
      </c>
      <c r="O896" t="s">
        <v>148</v>
      </c>
      <c r="P896" t="s">
        <v>154</v>
      </c>
      <c r="Q896" t="s">
        <v>427</v>
      </c>
    </row>
    <row r="897" spans="1:17" x14ac:dyDescent="0.25">
      <c r="A897" t="s">
        <v>19</v>
      </c>
      <c r="B897" t="s">
        <v>30</v>
      </c>
      <c r="C897" t="s">
        <v>41</v>
      </c>
      <c r="D897" t="s">
        <v>60</v>
      </c>
      <c r="E897">
        <v>13252</v>
      </c>
      <c r="F897">
        <v>184</v>
      </c>
      <c r="G897" t="s">
        <v>68</v>
      </c>
      <c r="I897" t="s">
        <v>56</v>
      </c>
      <c r="J897" t="s">
        <v>76</v>
      </c>
      <c r="K897" t="s">
        <v>100</v>
      </c>
      <c r="L897" t="s">
        <v>132</v>
      </c>
      <c r="M897">
        <v>7</v>
      </c>
      <c r="N897">
        <v>7</v>
      </c>
      <c r="O897" t="s">
        <v>151</v>
      </c>
      <c r="P897" t="s">
        <v>157</v>
      </c>
      <c r="Q897" t="s">
        <v>173</v>
      </c>
    </row>
    <row r="898" spans="1:17" x14ac:dyDescent="0.25">
      <c r="A898" t="s">
        <v>20</v>
      </c>
      <c r="B898" t="s">
        <v>31</v>
      </c>
      <c r="C898" t="s">
        <v>45</v>
      </c>
      <c r="D898" t="s">
        <v>57</v>
      </c>
      <c r="E898">
        <v>1546309</v>
      </c>
      <c r="F898">
        <v>223999</v>
      </c>
      <c r="G898" t="s">
        <v>66</v>
      </c>
      <c r="I898" t="s">
        <v>69</v>
      </c>
      <c r="J898" t="s">
        <v>76</v>
      </c>
      <c r="K898" t="s">
        <v>100</v>
      </c>
      <c r="L898" t="s">
        <v>126</v>
      </c>
      <c r="M898">
        <v>6</v>
      </c>
      <c r="N898">
        <v>5</v>
      </c>
      <c r="O898" t="s">
        <v>152</v>
      </c>
      <c r="P898" t="s">
        <v>154</v>
      </c>
      <c r="Q898" t="s">
        <v>175</v>
      </c>
    </row>
    <row r="899" spans="1:17" x14ac:dyDescent="0.25">
      <c r="A899" t="s">
        <v>19</v>
      </c>
      <c r="B899" t="s">
        <v>29</v>
      </c>
      <c r="C899" t="s">
        <v>48</v>
      </c>
      <c r="D899" t="s">
        <v>54</v>
      </c>
      <c r="E899">
        <v>1095386</v>
      </c>
      <c r="F899">
        <v>133034</v>
      </c>
      <c r="G899" t="s">
        <v>66</v>
      </c>
      <c r="I899" t="s">
        <v>56</v>
      </c>
      <c r="J899" t="s">
        <v>72</v>
      </c>
      <c r="K899" t="s">
        <v>95</v>
      </c>
      <c r="L899" t="s">
        <v>120</v>
      </c>
      <c r="M899">
        <v>3</v>
      </c>
      <c r="N899">
        <v>3</v>
      </c>
      <c r="O899" t="s">
        <v>153</v>
      </c>
      <c r="P899" t="s">
        <v>157</v>
      </c>
      <c r="Q899" t="s">
        <v>165</v>
      </c>
    </row>
    <row r="900" spans="1:17" x14ac:dyDescent="0.25">
      <c r="A900" t="s">
        <v>21</v>
      </c>
      <c r="B900" t="s">
        <v>29</v>
      </c>
      <c r="C900" t="s">
        <v>43</v>
      </c>
      <c r="D900" t="s">
        <v>56</v>
      </c>
      <c r="E900">
        <v>87321</v>
      </c>
      <c r="F900">
        <v>217</v>
      </c>
      <c r="G900" t="s">
        <v>64</v>
      </c>
      <c r="I900" t="s">
        <v>69</v>
      </c>
      <c r="J900" t="s">
        <v>74</v>
      </c>
      <c r="K900" t="s">
        <v>84</v>
      </c>
      <c r="L900" t="s">
        <v>74</v>
      </c>
      <c r="M900">
        <v>18</v>
      </c>
      <c r="N900">
        <v>16</v>
      </c>
      <c r="O900" t="s">
        <v>150</v>
      </c>
      <c r="P900" t="s">
        <v>157</v>
      </c>
      <c r="Q900" t="s">
        <v>199</v>
      </c>
    </row>
    <row r="901" spans="1:17" x14ac:dyDescent="0.25">
      <c r="A901" t="s">
        <v>19</v>
      </c>
      <c r="B901" t="s">
        <v>30</v>
      </c>
      <c r="C901" t="s">
        <v>43</v>
      </c>
      <c r="D901" t="s">
        <v>61</v>
      </c>
      <c r="E901">
        <v>55751</v>
      </c>
      <c r="F901">
        <v>0</v>
      </c>
      <c r="G901" t="s">
        <v>65</v>
      </c>
      <c r="I901" t="s">
        <v>56</v>
      </c>
      <c r="J901" t="s">
        <v>75</v>
      </c>
      <c r="K901" t="s">
        <v>108</v>
      </c>
      <c r="L901" t="s">
        <v>135</v>
      </c>
      <c r="M901">
        <v>2</v>
      </c>
      <c r="N901">
        <v>1</v>
      </c>
      <c r="O901" t="s">
        <v>148</v>
      </c>
      <c r="P901" t="s">
        <v>154</v>
      </c>
      <c r="Q901" t="s">
        <v>265</v>
      </c>
    </row>
    <row r="902" spans="1:17" x14ac:dyDescent="0.25">
      <c r="A902" t="s">
        <v>17</v>
      </c>
      <c r="B902" t="s">
        <v>25</v>
      </c>
      <c r="C902" t="s">
        <v>39</v>
      </c>
      <c r="D902" t="s">
        <v>59</v>
      </c>
      <c r="E902">
        <v>87086</v>
      </c>
      <c r="F902">
        <v>1271</v>
      </c>
      <c r="G902" t="s">
        <v>67</v>
      </c>
      <c r="I902" t="s">
        <v>56</v>
      </c>
      <c r="J902" t="s">
        <v>79</v>
      </c>
      <c r="K902" t="s">
        <v>91</v>
      </c>
      <c r="L902" t="s">
        <v>118</v>
      </c>
      <c r="M902">
        <v>8</v>
      </c>
      <c r="N902">
        <v>8</v>
      </c>
      <c r="O902" t="s">
        <v>152</v>
      </c>
      <c r="P902" t="s">
        <v>155</v>
      </c>
      <c r="Q902" t="s">
        <v>299</v>
      </c>
    </row>
    <row r="903" spans="1:17" x14ac:dyDescent="0.25">
      <c r="A903" t="s">
        <v>17</v>
      </c>
      <c r="B903" t="s">
        <v>35</v>
      </c>
      <c r="C903" t="s">
        <v>46</v>
      </c>
      <c r="D903" t="s">
        <v>54</v>
      </c>
      <c r="E903">
        <v>77118</v>
      </c>
      <c r="F903">
        <v>20600</v>
      </c>
      <c r="G903" t="s">
        <v>65</v>
      </c>
      <c r="J903" t="s">
        <v>72</v>
      </c>
      <c r="K903" t="s">
        <v>95</v>
      </c>
      <c r="L903" t="s">
        <v>120</v>
      </c>
      <c r="M903">
        <v>9</v>
      </c>
      <c r="N903">
        <v>9</v>
      </c>
      <c r="O903" t="s">
        <v>148</v>
      </c>
      <c r="P903" t="s">
        <v>156</v>
      </c>
      <c r="Q903" t="s">
        <v>189</v>
      </c>
    </row>
    <row r="904" spans="1:17" x14ac:dyDescent="0.25">
      <c r="A904" t="s">
        <v>17</v>
      </c>
      <c r="B904" t="s">
        <v>35</v>
      </c>
      <c r="C904" t="s">
        <v>45</v>
      </c>
      <c r="D904" t="s">
        <v>61</v>
      </c>
      <c r="E904">
        <v>490869</v>
      </c>
      <c r="F904">
        <v>20215</v>
      </c>
      <c r="G904" t="s">
        <v>66</v>
      </c>
      <c r="J904" t="s">
        <v>78</v>
      </c>
      <c r="K904" t="s">
        <v>105</v>
      </c>
      <c r="L904" t="s">
        <v>142</v>
      </c>
      <c r="M904">
        <v>12</v>
      </c>
      <c r="N904">
        <v>9</v>
      </c>
      <c r="O904" t="s">
        <v>149</v>
      </c>
      <c r="P904" t="s">
        <v>157</v>
      </c>
      <c r="Q904" t="s">
        <v>219</v>
      </c>
    </row>
    <row r="905" spans="1:17" x14ac:dyDescent="0.25">
      <c r="A905" t="s">
        <v>20</v>
      </c>
      <c r="B905" t="s">
        <v>25</v>
      </c>
      <c r="C905" t="s">
        <v>37</v>
      </c>
      <c r="D905" t="s">
        <v>61</v>
      </c>
      <c r="E905">
        <v>91230</v>
      </c>
      <c r="F905">
        <v>1210</v>
      </c>
      <c r="G905" t="s">
        <v>64</v>
      </c>
      <c r="I905" t="s">
        <v>69</v>
      </c>
      <c r="J905" t="s">
        <v>77</v>
      </c>
      <c r="K905" t="s">
        <v>87</v>
      </c>
      <c r="L905" t="s">
        <v>144</v>
      </c>
      <c r="M905">
        <v>4</v>
      </c>
      <c r="N905">
        <v>3</v>
      </c>
      <c r="O905" t="s">
        <v>149</v>
      </c>
      <c r="P905" t="s">
        <v>156</v>
      </c>
      <c r="Q905" t="s">
        <v>296</v>
      </c>
    </row>
    <row r="906" spans="1:17" x14ac:dyDescent="0.25">
      <c r="A906" t="s">
        <v>17</v>
      </c>
      <c r="B906" t="s">
        <v>26</v>
      </c>
      <c r="C906" t="s">
        <v>45</v>
      </c>
      <c r="D906" t="s">
        <v>61</v>
      </c>
      <c r="E906">
        <v>49692</v>
      </c>
      <c r="F906">
        <v>4214</v>
      </c>
      <c r="G906" t="s">
        <v>63</v>
      </c>
      <c r="I906" t="s">
        <v>70</v>
      </c>
      <c r="J906" t="s">
        <v>79</v>
      </c>
      <c r="K906" t="s">
        <v>91</v>
      </c>
      <c r="L906" t="s">
        <v>118</v>
      </c>
      <c r="M906">
        <v>20</v>
      </c>
      <c r="N906">
        <v>20</v>
      </c>
      <c r="O906" t="s">
        <v>150</v>
      </c>
      <c r="P906" t="s">
        <v>154</v>
      </c>
      <c r="Q906" t="s">
        <v>212</v>
      </c>
    </row>
    <row r="907" spans="1:17" x14ac:dyDescent="0.25">
      <c r="A907" t="s">
        <v>17</v>
      </c>
      <c r="B907" t="s">
        <v>27</v>
      </c>
      <c r="C907" t="s">
        <v>39</v>
      </c>
      <c r="D907" t="s">
        <v>61</v>
      </c>
      <c r="E907">
        <v>793430</v>
      </c>
      <c r="F907">
        <v>57353</v>
      </c>
      <c r="G907" t="s">
        <v>66</v>
      </c>
      <c r="I907" t="s">
        <v>71</v>
      </c>
      <c r="J907" t="s">
        <v>74</v>
      </c>
      <c r="K907" t="s">
        <v>84</v>
      </c>
      <c r="L907" t="s">
        <v>74</v>
      </c>
      <c r="M907">
        <v>25</v>
      </c>
      <c r="N907">
        <v>25</v>
      </c>
      <c r="O907" t="s">
        <v>148</v>
      </c>
      <c r="P907" t="s">
        <v>156</v>
      </c>
      <c r="Q907" t="s">
        <v>165</v>
      </c>
    </row>
    <row r="908" spans="1:17" x14ac:dyDescent="0.25">
      <c r="A908" t="s">
        <v>19</v>
      </c>
      <c r="B908" t="s">
        <v>31</v>
      </c>
      <c r="C908" t="s">
        <v>52</v>
      </c>
      <c r="D908" t="s">
        <v>54</v>
      </c>
      <c r="E908">
        <v>671445</v>
      </c>
      <c r="F908">
        <v>146691</v>
      </c>
      <c r="G908" t="s">
        <v>66</v>
      </c>
      <c r="I908" t="s">
        <v>71</v>
      </c>
      <c r="J908" t="s">
        <v>74</v>
      </c>
      <c r="K908" t="s">
        <v>84</v>
      </c>
      <c r="L908" t="s">
        <v>74</v>
      </c>
      <c r="M908">
        <v>3</v>
      </c>
      <c r="N908">
        <v>3</v>
      </c>
      <c r="O908" t="s">
        <v>149</v>
      </c>
      <c r="P908" t="s">
        <v>154</v>
      </c>
      <c r="Q908" t="s">
        <v>212</v>
      </c>
    </row>
    <row r="909" spans="1:17" x14ac:dyDescent="0.25">
      <c r="A909" t="s">
        <v>19</v>
      </c>
      <c r="B909" t="s">
        <v>23</v>
      </c>
      <c r="C909" t="s">
        <v>41</v>
      </c>
      <c r="E909">
        <v>51654</v>
      </c>
      <c r="F909">
        <v>1208</v>
      </c>
      <c r="G909" t="s">
        <v>63</v>
      </c>
      <c r="I909" t="s">
        <v>56</v>
      </c>
      <c r="J909" t="s">
        <v>80</v>
      </c>
      <c r="K909" t="s">
        <v>106</v>
      </c>
      <c r="L909" t="s">
        <v>106</v>
      </c>
      <c r="M909">
        <v>20</v>
      </c>
      <c r="N909">
        <v>20</v>
      </c>
      <c r="O909" t="s">
        <v>150</v>
      </c>
      <c r="P909" t="s">
        <v>154</v>
      </c>
      <c r="Q909" t="s">
        <v>265</v>
      </c>
    </row>
    <row r="910" spans="1:17" x14ac:dyDescent="0.25">
      <c r="A910" t="s">
        <v>17</v>
      </c>
      <c r="B910" t="s">
        <v>27</v>
      </c>
      <c r="C910" t="s">
        <v>48</v>
      </c>
      <c r="D910" t="s">
        <v>54</v>
      </c>
      <c r="E910">
        <v>83291</v>
      </c>
      <c r="F910">
        <v>13187</v>
      </c>
      <c r="G910" t="s">
        <v>64</v>
      </c>
      <c r="J910" t="s">
        <v>78</v>
      </c>
      <c r="K910" t="s">
        <v>88</v>
      </c>
      <c r="L910" t="s">
        <v>117</v>
      </c>
      <c r="M910">
        <v>15</v>
      </c>
      <c r="N910">
        <v>15</v>
      </c>
      <c r="O910" t="s">
        <v>150</v>
      </c>
      <c r="P910" t="s">
        <v>155</v>
      </c>
      <c r="Q910" t="s">
        <v>399</v>
      </c>
    </row>
    <row r="911" spans="1:17" x14ac:dyDescent="0.25">
      <c r="A911" t="s">
        <v>20</v>
      </c>
      <c r="B911" t="s">
        <v>29</v>
      </c>
      <c r="C911" t="s">
        <v>49</v>
      </c>
      <c r="D911" t="s">
        <v>57</v>
      </c>
      <c r="E911">
        <v>868346</v>
      </c>
      <c r="F911">
        <v>0</v>
      </c>
      <c r="G911" t="s">
        <v>66</v>
      </c>
      <c r="I911" t="s">
        <v>71</v>
      </c>
      <c r="J911" t="s">
        <v>80</v>
      </c>
      <c r="K911" t="s">
        <v>93</v>
      </c>
      <c r="L911" t="s">
        <v>93</v>
      </c>
      <c r="M911">
        <v>5</v>
      </c>
      <c r="N911">
        <v>5</v>
      </c>
      <c r="O911" t="s">
        <v>148</v>
      </c>
      <c r="P911" t="s">
        <v>156</v>
      </c>
      <c r="Q911" t="s">
        <v>428</v>
      </c>
    </row>
    <row r="912" spans="1:17" x14ac:dyDescent="0.25">
      <c r="A912" t="s">
        <v>21</v>
      </c>
      <c r="B912" t="s">
        <v>24</v>
      </c>
      <c r="C912" t="s">
        <v>51</v>
      </c>
      <c r="E912">
        <v>64212</v>
      </c>
      <c r="F912">
        <v>1662</v>
      </c>
      <c r="G912" t="s">
        <v>64</v>
      </c>
      <c r="I912" t="s">
        <v>71</v>
      </c>
      <c r="J912" t="s">
        <v>76</v>
      </c>
      <c r="K912" t="s">
        <v>100</v>
      </c>
      <c r="L912" t="s">
        <v>126</v>
      </c>
      <c r="M912">
        <v>12</v>
      </c>
      <c r="N912">
        <v>11</v>
      </c>
      <c r="O912" t="s">
        <v>148</v>
      </c>
      <c r="P912" t="s">
        <v>157</v>
      </c>
      <c r="Q912" t="s">
        <v>180</v>
      </c>
    </row>
    <row r="913" spans="1:17" x14ac:dyDescent="0.25">
      <c r="A913" t="s">
        <v>19</v>
      </c>
      <c r="B913" t="s">
        <v>32</v>
      </c>
      <c r="C913" t="s">
        <v>44</v>
      </c>
      <c r="D913" t="s">
        <v>60</v>
      </c>
      <c r="E913">
        <v>116470</v>
      </c>
      <c r="F913">
        <v>17074</v>
      </c>
      <c r="G913" t="s">
        <v>64</v>
      </c>
      <c r="I913" t="s">
        <v>69</v>
      </c>
      <c r="J913" t="s">
        <v>80</v>
      </c>
      <c r="K913" t="s">
        <v>106</v>
      </c>
      <c r="L913" t="s">
        <v>106</v>
      </c>
      <c r="M913">
        <v>5</v>
      </c>
      <c r="N913">
        <v>4</v>
      </c>
      <c r="O913" t="s">
        <v>151</v>
      </c>
      <c r="P913" t="s">
        <v>155</v>
      </c>
      <c r="Q913" t="s">
        <v>429</v>
      </c>
    </row>
    <row r="914" spans="1:17" x14ac:dyDescent="0.25">
      <c r="A914" t="s">
        <v>19</v>
      </c>
      <c r="B914" t="s">
        <v>32</v>
      </c>
      <c r="C914" t="s">
        <v>39</v>
      </c>
      <c r="D914" t="s">
        <v>58</v>
      </c>
      <c r="E914">
        <v>97535</v>
      </c>
      <c r="F914">
        <v>28869</v>
      </c>
      <c r="G914" t="s">
        <v>63</v>
      </c>
      <c r="I914" t="s">
        <v>69</v>
      </c>
      <c r="J914" t="s">
        <v>73</v>
      </c>
      <c r="K914" t="s">
        <v>83</v>
      </c>
      <c r="L914" t="s">
        <v>113</v>
      </c>
      <c r="M914">
        <v>10</v>
      </c>
      <c r="N914">
        <v>7</v>
      </c>
      <c r="O914" t="s">
        <v>153</v>
      </c>
      <c r="P914" t="s">
        <v>156</v>
      </c>
      <c r="Q914" t="s">
        <v>283</v>
      </c>
    </row>
    <row r="915" spans="1:17" x14ac:dyDescent="0.25">
      <c r="A915" t="s">
        <v>21</v>
      </c>
      <c r="B915" t="s">
        <v>26</v>
      </c>
      <c r="C915" t="s">
        <v>43</v>
      </c>
      <c r="D915" t="s">
        <v>55</v>
      </c>
      <c r="E915">
        <v>807373</v>
      </c>
      <c r="F915">
        <v>44554</v>
      </c>
      <c r="G915" t="s">
        <v>66</v>
      </c>
      <c r="J915" t="s">
        <v>79</v>
      </c>
      <c r="K915" t="s">
        <v>91</v>
      </c>
      <c r="L915" t="s">
        <v>118</v>
      </c>
      <c r="M915">
        <v>25</v>
      </c>
      <c r="N915">
        <v>23</v>
      </c>
      <c r="O915" t="s">
        <v>153</v>
      </c>
      <c r="P915" t="s">
        <v>157</v>
      </c>
      <c r="Q915" t="s">
        <v>288</v>
      </c>
    </row>
    <row r="916" spans="1:17" x14ac:dyDescent="0.25">
      <c r="A916" t="s">
        <v>19</v>
      </c>
      <c r="B916" t="s">
        <v>35</v>
      </c>
      <c r="C916" t="s">
        <v>39</v>
      </c>
      <c r="D916" t="s">
        <v>60</v>
      </c>
      <c r="E916">
        <v>86057</v>
      </c>
      <c r="F916">
        <v>8165</v>
      </c>
      <c r="G916" t="s">
        <v>64</v>
      </c>
      <c r="I916" t="s">
        <v>56</v>
      </c>
      <c r="J916" t="s">
        <v>76</v>
      </c>
      <c r="K916" t="s">
        <v>100</v>
      </c>
      <c r="L916" t="s">
        <v>126</v>
      </c>
      <c r="M916">
        <v>12</v>
      </c>
      <c r="N916">
        <v>12</v>
      </c>
      <c r="O916" t="s">
        <v>151</v>
      </c>
      <c r="P916" t="s">
        <v>155</v>
      </c>
      <c r="Q916" t="s">
        <v>185</v>
      </c>
    </row>
    <row r="917" spans="1:17" x14ac:dyDescent="0.25">
      <c r="A917" t="s">
        <v>20</v>
      </c>
      <c r="B917" t="s">
        <v>26</v>
      </c>
      <c r="C917" t="s">
        <v>50</v>
      </c>
      <c r="D917" t="s">
        <v>57</v>
      </c>
      <c r="E917">
        <v>56213</v>
      </c>
      <c r="F917">
        <v>2154</v>
      </c>
      <c r="G917" t="s">
        <v>65</v>
      </c>
      <c r="I917" t="s">
        <v>71</v>
      </c>
      <c r="J917" t="s">
        <v>73</v>
      </c>
      <c r="K917" t="s">
        <v>99</v>
      </c>
      <c r="L917" t="s">
        <v>125</v>
      </c>
      <c r="M917">
        <v>5</v>
      </c>
      <c r="N917">
        <v>5</v>
      </c>
      <c r="O917" t="s">
        <v>151</v>
      </c>
      <c r="P917" t="s">
        <v>154</v>
      </c>
      <c r="Q917" t="s">
        <v>362</v>
      </c>
    </row>
    <row r="918" spans="1:17" x14ac:dyDescent="0.25">
      <c r="A918" t="s">
        <v>19</v>
      </c>
      <c r="B918" t="s">
        <v>30</v>
      </c>
      <c r="C918" t="s">
        <v>39</v>
      </c>
      <c r="D918" t="s">
        <v>54</v>
      </c>
      <c r="E918">
        <v>99773</v>
      </c>
      <c r="F918">
        <v>9039</v>
      </c>
      <c r="G918" t="s">
        <v>64</v>
      </c>
      <c r="I918" t="s">
        <v>70</v>
      </c>
      <c r="J918" t="s">
        <v>80</v>
      </c>
      <c r="K918" t="s">
        <v>93</v>
      </c>
      <c r="L918" t="s">
        <v>93</v>
      </c>
      <c r="M918">
        <v>15</v>
      </c>
      <c r="N918">
        <v>15</v>
      </c>
      <c r="O918" t="s">
        <v>149</v>
      </c>
      <c r="P918" t="s">
        <v>154</v>
      </c>
      <c r="Q918" t="s">
        <v>169</v>
      </c>
    </row>
    <row r="919" spans="1:17" x14ac:dyDescent="0.25">
      <c r="A919" t="s">
        <v>19</v>
      </c>
      <c r="B919" t="s">
        <v>31</v>
      </c>
      <c r="C919" t="s">
        <v>36</v>
      </c>
      <c r="D919" t="s">
        <v>54</v>
      </c>
      <c r="E919">
        <v>25433</v>
      </c>
      <c r="F919">
        <v>3865</v>
      </c>
      <c r="G919" t="s">
        <v>63</v>
      </c>
      <c r="I919" t="s">
        <v>71</v>
      </c>
      <c r="J919" t="s">
        <v>77</v>
      </c>
      <c r="K919" t="s">
        <v>111</v>
      </c>
      <c r="L919" t="s">
        <v>146</v>
      </c>
      <c r="M919">
        <v>7</v>
      </c>
      <c r="N919">
        <v>5</v>
      </c>
      <c r="O919" t="s">
        <v>148</v>
      </c>
      <c r="P919" t="s">
        <v>156</v>
      </c>
      <c r="Q919" t="s">
        <v>255</v>
      </c>
    </row>
    <row r="920" spans="1:17" x14ac:dyDescent="0.25">
      <c r="A920" t="s">
        <v>19</v>
      </c>
      <c r="B920" t="s">
        <v>34</v>
      </c>
      <c r="C920" t="s">
        <v>48</v>
      </c>
      <c r="D920" t="s">
        <v>59</v>
      </c>
      <c r="E920">
        <v>116425</v>
      </c>
      <c r="F920">
        <v>832</v>
      </c>
      <c r="G920" t="s">
        <v>63</v>
      </c>
      <c r="I920" t="s">
        <v>56</v>
      </c>
      <c r="J920" t="s">
        <v>72</v>
      </c>
      <c r="K920" t="s">
        <v>82</v>
      </c>
      <c r="L920" t="s">
        <v>112</v>
      </c>
      <c r="M920">
        <v>4</v>
      </c>
      <c r="N920">
        <v>4</v>
      </c>
      <c r="O920" t="s">
        <v>153</v>
      </c>
      <c r="P920" t="s">
        <v>155</v>
      </c>
      <c r="Q920" t="s">
        <v>297</v>
      </c>
    </row>
    <row r="921" spans="1:17" x14ac:dyDescent="0.25">
      <c r="A921" t="s">
        <v>20</v>
      </c>
      <c r="B921" t="s">
        <v>30</v>
      </c>
      <c r="C921" t="s">
        <v>50</v>
      </c>
      <c r="D921" t="s">
        <v>54</v>
      </c>
      <c r="E921">
        <v>88922</v>
      </c>
      <c r="F921">
        <v>0</v>
      </c>
      <c r="G921" t="s">
        <v>64</v>
      </c>
      <c r="I921" t="s">
        <v>71</v>
      </c>
      <c r="J921" t="s">
        <v>73</v>
      </c>
      <c r="K921" t="s">
        <v>102</v>
      </c>
      <c r="L921" t="s">
        <v>102</v>
      </c>
      <c r="M921">
        <v>5</v>
      </c>
      <c r="N921">
        <v>4</v>
      </c>
      <c r="O921" t="s">
        <v>149</v>
      </c>
      <c r="P921" t="s">
        <v>156</v>
      </c>
      <c r="Q921" t="s">
        <v>178</v>
      </c>
    </row>
    <row r="922" spans="1:17" x14ac:dyDescent="0.25">
      <c r="A922" t="s">
        <v>19</v>
      </c>
      <c r="B922" t="s">
        <v>24</v>
      </c>
      <c r="C922" t="s">
        <v>53</v>
      </c>
      <c r="D922" t="s">
        <v>60</v>
      </c>
      <c r="E922">
        <v>81823</v>
      </c>
      <c r="F922">
        <v>0</v>
      </c>
      <c r="G922" t="s">
        <v>68</v>
      </c>
      <c r="I922" t="s">
        <v>70</v>
      </c>
      <c r="J922" t="s">
        <v>81</v>
      </c>
      <c r="K922" t="s">
        <v>98</v>
      </c>
      <c r="L922" t="s">
        <v>123</v>
      </c>
      <c r="M922">
        <v>2</v>
      </c>
      <c r="N922">
        <v>2</v>
      </c>
      <c r="O922" t="s">
        <v>150</v>
      </c>
      <c r="P922" t="s">
        <v>157</v>
      </c>
      <c r="Q922" t="s">
        <v>173</v>
      </c>
    </row>
    <row r="923" spans="1:17" x14ac:dyDescent="0.25">
      <c r="A923" t="s">
        <v>20</v>
      </c>
      <c r="B923" t="s">
        <v>33</v>
      </c>
      <c r="C923" t="s">
        <v>39</v>
      </c>
      <c r="E923">
        <v>121483</v>
      </c>
      <c r="F923">
        <v>2505</v>
      </c>
      <c r="G923" t="s">
        <v>67</v>
      </c>
      <c r="I923" t="s">
        <v>70</v>
      </c>
      <c r="J923" t="s">
        <v>77</v>
      </c>
      <c r="K923" t="s">
        <v>97</v>
      </c>
      <c r="L923" t="s">
        <v>122</v>
      </c>
      <c r="M923">
        <v>7</v>
      </c>
      <c r="N923">
        <v>7</v>
      </c>
      <c r="O923" t="s">
        <v>153</v>
      </c>
      <c r="P923" t="s">
        <v>155</v>
      </c>
      <c r="Q923" t="s">
        <v>272</v>
      </c>
    </row>
    <row r="924" spans="1:17" x14ac:dyDescent="0.25">
      <c r="A924" t="s">
        <v>17</v>
      </c>
      <c r="B924" t="s">
        <v>24</v>
      </c>
      <c r="C924" t="s">
        <v>45</v>
      </c>
      <c r="D924" t="s">
        <v>54</v>
      </c>
      <c r="E924">
        <v>67643</v>
      </c>
      <c r="F924">
        <v>3191</v>
      </c>
      <c r="G924" t="s">
        <v>65</v>
      </c>
      <c r="J924" t="s">
        <v>78</v>
      </c>
      <c r="K924" t="s">
        <v>109</v>
      </c>
      <c r="L924" t="s">
        <v>137</v>
      </c>
      <c r="M924">
        <v>20</v>
      </c>
      <c r="N924">
        <v>20</v>
      </c>
      <c r="O924" t="s">
        <v>148</v>
      </c>
      <c r="P924" t="s">
        <v>157</v>
      </c>
      <c r="Q924" t="s">
        <v>169</v>
      </c>
    </row>
    <row r="925" spans="1:17" x14ac:dyDescent="0.25">
      <c r="A925" t="s">
        <v>19</v>
      </c>
      <c r="B925" t="s">
        <v>25</v>
      </c>
      <c r="C925" t="s">
        <v>46</v>
      </c>
      <c r="D925" t="s">
        <v>57</v>
      </c>
      <c r="E925">
        <v>488678</v>
      </c>
      <c r="F925">
        <v>8115</v>
      </c>
      <c r="G925" t="s">
        <v>66</v>
      </c>
      <c r="I925" t="s">
        <v>71</v>
      </c>
      <c r="J925" t="s">
        <v>72</v>
      </c>
      <c r="K925" t="s">
        <v>82</v>
      </c>
      <c r="L925" t="s">
        <v>112</v>
      </c>
      <c r="M925">
        <v>20</v>
      </c>
      <c r="N925">
        <v>20</v>
      </c>
      <c r="O925" t="s">
        <v>149</v>
      </c>
      <c r="P925" t="s">
        <v>156</v>
      </c>
      <c r="Q925" t="s">
        <v>165</v>
      </c>
    </row>
    <row r="926" spans="1:17" x14ac:dyDescent="0.25">
      <c r="A926" t="s">
        <v>17</v>
      </c>
      <c r="B926" t="s">
        <v>34</v>
      </c>
      <c r="C926" t="s">
        <v>36</v>
      </c>
      <c r="D926" t="s">
        <v>55</v>
      </c>
      <c r="E926">
        <v>560249</v>
      </c>
      <c r="F926">
        <v>0</v>
      </c>
      <c r="G926" t="s">
        <v>66</v>
      </c>
      <c r="I926" t="s">
        <v>70</v>
      </c>
      <c r="J926" t="s">
        <v>78</v>
      </c>
      <c r="K926" t="s">
        <v>88</v>
      </c>
      <c r="L926" t="s">
        <v>128</v>
      </c>
      <c r="M926">
        <v>18</v>
      </c>
      <c r="N926">
        <v>17</v>
      </c>
      <c r="O926" t="s">
        <v>151</v>
      </c>
      <c r="P926" t="s">
        <v>156</v>
      </c>
      <c r="Q926" t="s">
        <v>181</v>
      </c>
    </row>
    <row r="927" spans="1:17" x14ac:dyDescent="0.25">
      <c r="A927" t="s">
        <v>20</v>
      </c>
      <c r="B927" t="s">
        <v>23</v>
      </c>
      <c r="C927" t="s">
        <v>37</v>
      </c>
      <c r="D927" t="s">
        <v>56</v>
      </c>
      <c r="E927">
        <v>58869</v>
      </c>
      <c r="F927">
        <v>2792</v>
      </c>
      <c r="G927" t="s">
        <v>65</v>
      </c>
      <c r="I927" t="s">
        <v>56</v>
      </c>
      <c r="J927" t="s">
        <v>78</v>
      </c>
      <c r="K927" t="s">
        <v>105</v>
      </c>
      <c r="L927" t="s">
        <v>142</v>
      </c>
      <c r="M927">
        <v>6</v>
      </c>
      <c r="N927">
        <v>6</v>
      </c>
      <c r="O927" t="s">
        <v>153</v>
      </c>
      <c r="P927" t="s">
        <v>156</v>
      </c>
      <c r="Q927" t="s">
        <v>175</v>
      </c>
    </row>
    <row r="928" spans="1:17" x14ac:dyDescent="0.25">
      <c r="A928" t="s">
        <v>17</v>
      </c>
      <c r="B928" t="s">
        <v>27</v>
      </c>
      <c r="C928" t="s">
        <v>43</v>
      </c>
      <c r="D928" t="s">
        <v>54</v>
      </c>
      <c r="E928">
        <v>82296</v>
      </c>
      <c r="F928">
        <v>13355</v>
      </c>
      <c r="G928" t="s">
        <v>68</v>
      </c>
      <c r="I928" t="s">
        <v>69</v>
      </c>
      <c r="J928" t="s">
        <v>80</v>
      </c>
      <c r="K928" t="s">
        <v>93</v>
      </c>
      <c r="L928" t="s">
        <v>93</v>
      </c>
      <c r="M928">
        <v>10</v>
      </c>
      <c r="N928">
        <v>10</v>
      </c>
      <c r="O928" t="s">
        <v>152</v>
      </c>
      <c r="P928" t="s">
        <v>154</v>
      </c>
      <c r="Q928" t="s">
        <v>221</v>
      </c>
    </row>
    <row r="929" spans="1:17" x14ac:dyDescent="0.25">
      <c r="A929" t="s">
        <v>20</v>
      </c>
      <c r="B929" t="s">
        <v>33</v>
      </c>
      <c r="C929" t="s">
        <v>53</v>
      </c>
      <c r="D929" t="s">
        <v>56</v>
      </c>
      <c r="E929">
        <v>1363738</v>
      </c>
      <c r="F929">
        <v>251202</v>
      </c>
      <c r="G929" t="s">
        <v>66</v>
      </c>
      <c r="I929" t="s">
        <v>56</v>
      </c>
      <c r="J929" t="s">
        <v>77</v>
      </c>
      <c r="K929" t="s">
        <v>110</v>
      </c>
      <c r="L929" t="s">
        <v>139</v>
      </c>
      <c r="M929">
        <v>0</v>
      </c>
      <c r="N929">
        <v>0</v>
      </c>
      <c r="O929" t="s">
        <v>149</v>
      </c>
      <c r="P929" t="s">
        <v>155</v>
      </c>
      <c r="Q929" t="s">
        <v>430</v>
      </c>
    </row>
    <row r="930" spans="1:17" x14ac:dyDescent="0.25">
      <c r="A930" t="s">
        <v>21</v>
      </c>
      <c r="B930" t="s">
        <v>32</v>
      </c>
      <c r="C930" t="s">
        <v>38</v>
      </c>
      <c r="D930" t="s">
        <v>57</v>
      </c>
      <c r="E930">
        <v>53125</v>
      </c>
      <c r="F930">
        <v>7020</v>
      </c>
      <c r="G930" t="s">
        <v>63</v>
      </c>
      <c r="J930" t="s">
        <v>75</v>
      </c>
      <c r="K930" t="s">
        <v>96</v>
      </c>
      <c r="L930" t="s">
        <v>121</v>
      </c>
      <c r="M930">
        <v>8</v>
      </c>
      <c r="N930">
        <v>8</v>
      </c>
      <c r="O930" t="s">
        <v>148</v>
      </c>
      <c r="P930" t="s">
        <v>157</v>
      </c>
      <c r="Q930" t="s">
        <v>358</v>
      </c>
    </row>
    <row r="931" spans="1:17" x14ac:dyDescent="0.25">
      <c r="A931" t="s">
        <v>19</v>
      </c>
      <c r="B931" t="s">
        <v>32</v>
      </c>
      <c r="C931" t="s">
        <v>40</v>
      </c>
      <c r="D931" t="s">
        <v>60</v>
      </c>
      <c r="E931">
        <v>106162</v>
      </c>
      <c r="F931">
        <v>9739</v>
      </c>
      <c r="G931" t="s">
        <v>67</v>
      </c>
      <c r="I931" t="s">
        <v>56</v>
      </c>
      <c r="J931" t="s">
        <v>73</v>
      </c>
      <c r="K931" t="s">
        <v>99</v>
      </c>
      <c r="L931" t="s">
        <v>125</v>
      </c>
      <c r="M931">
        <v>25</v>
      </c>
      <c r="N931">
        <v>22</v>
      </c>
      <c r="O931" t="s">
        <v>149</v>
      </c>
      <c r="P931" t="s">
        <v>156</v>
      </c>
      <c r="Q931" t="s">
        <v>229</v>
      </c>
    </row>
    <row r="932" spans="1:17" x14ac:dyDescent="0.25">
      <c r="A932" t="s">
        <v>17</v>
      </c>
      <c r="B932" t="s">
        <v>23</v>
      </c>
      <c r="C932" t="s">
        <v>49</v>
      </c>
      <c r="D932" t="s">
        <v>54</v>
      </c>
      <c r="E932">
        <v>636769</v>
      </c>
      <c r="F932">
        <v>29049</v>
      </c>
      <c r="G932" t="s">
        <v>66</v>
      </c>
      <c r="J932" t="s">
        <v>77</v>
      </c>
      <c r="K932" t="s">
        <v>111</v>
      </c>
      <c r="L932" t="s">
        <v>146</v>
      </c>
      <c r="M932">
        <v>12</v>
      </c>
      <c r="N932">
        <v>12</v>
      </c>
      <c r="O932" t="s">
        <v>150</v>
      </c>
      <c r="P932" t="s">
        <v>156</v>
      </c>
      <c r="Q932" t="s">
        <v>167</v>
      </c>
    </row>
    <row r="933" spans="1:17" x14ac:dyDescent="0.25">
      <c r="A933" t="s">
        <v>20</v>
      </c>
      <c r="B933" t="s">
        <v>30</v>
      </c>
      <c r="C933" t="s">
        <v>46</v>
      </c>
      <c r="D933" t="s">
        <v>58</v>
      </c>
      <c r="E933">
        <v>67692</v>
      </c>
      <c r="F933">
        <v>0</v>
      </c>
      <c r="G933" t="s">
        <v>64</v>
      </c>
      <c r="I933" t="s">
        <v>56</v>
      </c>
      <c r="J933" t="s">
        <v>76</v>
      </c>
      <c r="K933" t="s">
        <v>86</v>
      </c>
      <c r="L933" t="s">
        <v>115</v>
      </c>
      <c r="M933">
        <v>5</v>
      </c>
      <c r="N933">
        <v>5</v>
      </c>
      <c r="O933" t="s">
        <v>153</v>
      </c>
      <c r="P933" t="s">
        <v>157</v>
      </c>
      <c r="Q933" t="s">
        <v>166</v>
      </c>
    </row>
    <row r="934" spans="1:17" x14ac:dyDescent="0.25">
      <c r="A934" t="s">
        <v>19</v>
      </c>
      <c r="B934" t="s">
        <v>30</v>
      </c>
      <c r="C934" t="s">
        <v>43</v>
      </c>
      <c r="D934" t="s">
        <v>62</v>
      </c>
      <c r="E934">
        <v>60852</v>
      </c>
      <c r="F934">
        <v>1366</v>
      </c>
      <c r="G934" t="s">
        <v>68</v>
      </c>
      <c r="I934" t="s">
        <v>71</v>
      </c>
      <c r="J934" t="s">
        <v>76</v>
      </c>
      <c r="K934" t="s">
        <v>92</v>
      </c>
      <c r="L934" t="s">
        <v>119</v>
      </c>
      <c r="M934">
        <v>8</v>
      </c>
      <c r="N934">
        <v>8</v>
      </c>
      <c r="O934" t="s">
        <v>149</v>
      </c>
      <c r="P934" t="s">
        <v>156</v>
      </c>
      <c r="Q934" t="s">
        <v>250</v>
      </c>
    </row>
    <row r="935" spans="1:17" x14ac:dyDescent="0.25">
      <c r="A935" t="s">
        <v>19</v>
      </c>
      <c r="B935" t="s">
        <v>30</v>
      </c>
      <c r="C935" t="s">
        <v>38</v>
      </c>
      <c r="D935" t="s">
        <v>59</v>
      </c>
      <c r="E935">
        <v>76251</v>
      </c>
      <c r="F935">
        <v>4241</v>
      </c>
      <c r="G935" t="s">
        <v>63</v>
      </c>
      <c r="I935" t="s">
        <v>69</v>
      </c>
      <c r="J935" t="s">
        <v>79</v>
      </c>
      <c r="K935" t="s">
        <v>107</v>
      </c>
      <c r="L935" t="s">
        <v>134</v>
      </c>
      <c r="M935">
        <v>15</v>
      </c>
      <c r="N935">
        <v>15</v>
      </c>
      <c r="O935" t="s">
        <v>151</v>
      </c>
      <c r="P935" t="s">
        <v>154</v>
      </c>
      <c r="Q935" t="s">
        <v>431</v>
      </c>
    </row>
    <row r="936" spans="1:17" x14ac:dyDescent="0.25">
      <c r="A936" t="s">
        <v>19</v>
      </c>
      <c r="B936" t="s">
        <v>30</v>
      </c>
      <c r="C936" t="s">
        <v>41</v>
      </c>
      <c r="E936">
        <v>8865</v>
      </c>
      <c r="F936">
        <v>1278</v>
      </c>
      <c r="G936" t="s">
        <v>67</v>
      </c>
      <c r="I936" t="s">
        <v>71</v>
      </c>
      <c r="J936" t="s">
        <v>76</v>
      </c>
      <c r="K936" t="s">
        <v>92</v>
      </c>
      <c r="L936" t="s">
        <v>119</v>
      </c>
      <c r="M936">
        <v>9</v>
      </c>
      <c r="N936">
        <v>6</v>
      </c>
      <c r="O936" t="s">
        <v>153</v>
      </c>
      <c r="P936" t="s">
        <v>157</v>
      </c>
      <c r="Q936" t="s">
        <v>320</v>
      </c>
    </row>
    <row r="937" spans="1:17" x14ac:dyDescent="0.25">
      <c r="A937" t="s">
        <v>17</v>
      </c>
      <c r="B937" t="s">
        <v>32</v>
      </c>
      <c r="C937" t="s">
        <v>39</v>
      </c>
      <c r="D937" t="s">
        <v>54</v>
      </c>
      <c r="E937">
        <v>1630160</v>
      </c>
      <c r="F937">
        <v>232652</v>
      </c>
      <c r="G937" t="s">
        <v>66</v>
      </c>
      <c r="I937" t="s">
        <v>70</v>
      </c>
      <c r="J937" t="s">
        <v>76</v>
      </c>
      <c r="K937" t="s">
        <v>100</v>
      </c>
      <c r="L937" t="s">
        <v>132</v>
      </c>
      <c r="M937">
        <v>20</v>
      </c>
      <c r="N937">
        <v>18</v>
      </c>
      <c r="O937" t="s">
        <v>152</v>
      </c>
      <c r="P937" t="s">
        <v>154</v>
      </c>
      <c r="Q937" t="s">
        <v>400</v>
      </c>
    </row>
    <row r="938" spans="1:17" x14ac:dyDescent="0.25">
      <c r="A938" t="s">
        <v>19</v>
      </c>
      <c r="B938" t="s">
        <v>33</v>
      </c>
      <c r="C938" t="s">
        <v>40</v>
      </c>
      <c r="D938" t="s">
        <v>59</v>
      </c>
      <c r="E938">
        <v>126434</v>
      </c>
      <c r="F938">
        <v>4473</v>
      </c>
      <c r="G938" t="s">
        <v>63</v>
      </c>
      <c r="J938" t="s">
        <v>76</v>
      </c>
      <c r="K938" t="s">
        <v>86</v>
      </c>
      <c r="L938" t="s">
        <v>115</v>
      </c>
      <c r="M938">
        <v>20</v>
      </c>
      <c r="N938">
        <v>17</v>
      </c>
      <c r="O938" t="s">
        <v>151</v>
      </c>
      <c r="P938" t="s">
        <v>155</v>
      </c>
      <c r="Q938" t="s">
        <v>250</v>
      </c>
    </row>
    <row r="939" spans="1:17" x14ac:dyDescent="0.25">
      <c r="A939" t="s">
        <v>19</v>
      </c>
      <c r="B939" t="s">
        <v>34</v>
      </c>
      <c r="C939" t="s">
        <v>41</v>
      </c>
      <c r="D939" t="s">
        <v>57</v>
      </c>
      <c r="E939">
        <v>81213</v>
      </c>
      <c r="F939">
        <v>4940</v>
      </c>
      <c r="G939" t="s">
        <v>67</v>
      </c>
      <c r="I939" t="s">
        <v>56</v>
      </c>
      <c r="J939" t="s">
        <v>79</v>
      </c>
      <c r="K939" t="s">
        <v>107</v>
      </c>
      <c r="L939" t="s">
        <v>134</v>
      </c>
      <c r="M939">
        <v>2</v>
      </c>
      <c r="N939">
        <v>2</v>
      </c>
      <c r="O939" t="s">
        <v>151</v>
      </c>
      <c r="P939" t="s">
        <v>154</v>
      </c>
      <c r="Q939" t="s">
        <v>229</v>
      </c>
    </row>
    <row r="940" spans="1:17" x14ac:dyDescent="0.25">
      <c r="A940" t="s">
        <v>17</v>
      </c>
      <c r="B940" t="s">
        <v>32</v>
      </c>
      <c r="C940" t="s">
        <v>38</v>
      </c>
      <c r="D940" t="s">
        <v>54</v>
      </c>
      <c r="E940">
        <v>36865</v>
      </c>
      <c r="F940">
        <v>1931</v>
      </c>
      <c r="G940" t="s">
        <v>68</v>
      </c>
      <c r="I940" t="s">
        <v>70</v>
      </c>
      <c r="J940" t="s">
        <v>81</v>
      </c>
      <c r="K940" t="s">
        <v>101</v>
      </c>
      <c r="L940" t="s">
        <v>127</v>
      </c>
      <c r="M940">
        <v>8</v>
      </c>
      <c r="N940">
        <v>5</v>
      </c>
      <c r="O940" t="s">
        <v>149</v>
      </c>
      <c r="P940" t="s">
        <v>157</v>
      </c>
      <c r="Q940" t="s">
        <v>297</v>
      </c>
    </row>
    <row r="941" spans="1:17" x14ac:dyDescent="0.25">
      <c r="A941" t="s">
        <v>20</v>
      </c>
      <c r="B941" t="s">
        <v>27</v>
      </c>
      <c r="C941" t="s">
        <v>52</v>
      </c>
      <c r="D941" t="s">
        <v>61</v>
      </c>
      <c r="E941">
        <v>94676</v>
      </c>
      <c r="F941">
        <v>3026</v>
      </c>
      <c r="G941" t="s">
        <v>63</v>
      </c>
      <c r="I941" t="s">
        <v>69</v>
      </c>
      <c r="J941" t="s">
        <v>76</v>
      </c>
      <c r="K941" t="s">
        <v>86</v>
      </c>
      <c r="L941" t="s">
        <v>115</v>
      </c>
      <c r="M941">
        <v>2</v>
      </c>
      <c r="N941">
        <v>2</v>
      </c>
      <c r="O941" t="s">
        <v>150</v>
      </c>
      <c r="P941" t="s">
        <v>156</v>
      </c>
      <c r="Q941" t="s">
        <v>165</v>
      </c>
    </row>
    <row r="942" spans="1:17" x14ac:dyDescent="0.25">
      <c r="A942" t="s">
        <v>21</v>
      </c>
      <c r="B942" t="s">
        <v>27</v>
      </c>
      <c r="C942" t="s">
        <v>50</v>
      </c>
      <c r="D942" t="s">
        <v>57</v>
      </c>
      <c r="E942">
        <v>171910</v>
      </c>
      <c r="F942">
        <v>2800</v>
      </c>
      <c r="G942" t="s">
        <v>66</v>
      </c>
      <c r="I942" t="s">
        <v>69</v>
      </c>
      <c r="J942" t="s">
        <v>78</v>
      </c>
      <c r="K942" t="s">
        <v>104</v>
      </c>
      <c r="L942" t="s">
        <v>131</v>
      </c>
      <c r="M942">
        <v>12</v>
      </c>
      <c r="N942">
        <v>9</v>
      </c>
      <c r="O942" t="s">
        <v>153</v>
      </c>
      <c r="P942" t="s">
        <v>156</v>
      </c>
      <c r="Q942" t="s">
        <v>222</v>
      </c>
    </row>
    <row r="943" spans="1:17" x14ac:dyDescent="0.25">
      <c r="A943" t="s">
        <v>19</v>
      </c>
      <c r="B943" t="s">
        <v>29</v>
      </c>
      <c r="C943" t="s">
        <v>44</v>
      </c>
      <c r="D943" t="s">
        <v>57</v>
      </c>
      <c r="E943">
        <v>66455</v>
      </c>
      <c r="F943">
        <v>987</v>
      </c>
      <c r="G943" t="s">
        <v>68</v>
      </c>
      <c r="I943" t="s">
        <v>56</v>
      </c>
      <c r="J943" t="s">
        <v>74</v>
      </c>
      <c r="K943" t="s">
        <v>84</v>
      </c>
      <c r="L943" t="s">
        <v>74</v>
      </c>
      <c r="M943">
        <v>4</v>
      </c>
      <c r="N943">
        <v>1</v>
      </c>
      <c r="O943" t="s">
        <v>150</v>
      </c>
      <c r="P943" t="s">
        <v>156</v>
      </c>
      <c r="Q943" t="s">
        <v>353</v>
      </c>
    </row>
    <row r="944" spans="1:17" x14ac:dyDescent="0.25">
      <c r="A944" t="s">
        <v>20</v>
      </c>
      <c r="B944" t="s">
        <v>27</v>
      </c>
      <c r="C944" t="s">
        <v>40</v>
      </c>
      <c r="D944" t="s">
        <v>58</v>
      </c>
      <c r="E944">
        <v>85581</v>
      </c>
      <c r="F944">
        <v>683</v>
      </c>
      <c r="G944" t="s">
        <v>68</v>
      </c>
      <c r="I944" t="s">
        <v>71</v>
      </c>
      <c r="J944" t="s">
        <v>75</v>
      </c>
      <c r="K944" t="s">
        <v>85</v>
      </c>
      <c r="L944" t="s">
        <v>114</v>
      </c>
      <c r="M944">
        <v>1</v>
      </c>
      <c r="N944">
        <v>1</v>
      </c>
      <c r="O944" t="s">
        <v>152</v>
      </c>
      <c r="P944" t="s">
        <v>155</v>
      </c>
      <c r="Q944" t="s">
        <v>372</v>
      </c>
    </row>
    <row r="945" spans="1:17" x14ac:dyDescent="0.25">
      <c r="A945" t="s">
        <v>20</v>
      </c>
      <c r="B945" t="s">
        <v>25</v>
      </c>
      <c r="C945" t="s">
        <v>45</v>
      </c>
      <c r="D945" t="s">
        <v>60</v>
      </c>
      <c r="E945">
        <v>54092</v>
      </c>
      <c r="F945">
        <v>7126</v>
      </c>
      <c r="G945" t="s">
        <v>63</v>
      </c>
      <c r="I945" t="s">
        <v>70</v>
      </c>
      <c r="J945" t="s">
        <v>74</v>
      </c>
      <c r="K945" t="s">
        <v>84</v>
      </c>
      <c r="L945" t="s">
        <v>74</v>
      </c>
      <c r="M945">
        <v>4</v>
      </c>
      <c r="N945">
        <v>4</v>
      </c>
      <c r="O945" t="s">
        <v>153</v>
      </c>
      <c r="P945" t="s">
        <v>154</v>
      </c>
      <c r="Q945" t="s">
        <v>413</v>
      </c>
    </row>
    <row r="946" spans="1:17" x14ac:dyDescent="0.25">
      <c r="A946" t="s">
        <v>20</v>
      </c>
      <c r="B946" t="s">
        <v>34</v>
      </c>
      <c r="C946" t="s">
        <v>48</v>
      </c>
      <c r="D946" t="s">
        <v>60</v>
      </c>
      <c r="E946">
        <v>889636</v>
      </c>
      <c r="F946">
        <v>0</v>
      </c>
      <c r="G946" t="s">
        <v>66</v>
      </c>
      <c r="I946" t="s">
        <v>69</v>
      </c>
      <c r="J946" t="s">
        <v>79</v>
      </c>
      <c r="K946" t="s">
        <v>91</v>
      </c>
      <c r="L946" t="s">
        <v>118</v>
      </c>
      <c r="M946">
        <v>0</v>
      </c>
      <c r="N946">
        <v>0</v>
      </c>
      <c r="O946" t="s">
        <v>151</v>
      </c>
      <c r="P946" t="s">
        <v>155</v>
      </c>
      <c r="Q946" t="s">
        <v>171</v>
      </c>
    </row>
    <row r="947" spans="1:17" x14ac:dyDescent="0.25">
      <c r="A947" t="s">
        <v>20</v>
      </c>
      <c r="B947" t="s">
        <v>24</v>
      </c>
      <c r="C947" t="s">
        <v>47</v>
      </c>
      <c r="D947" t="s">
        <v>59</v>
      </c>
      <c r="E947">
        <v>94059</v>
      </c>
      <c r="F947">
        <v>25953</v>
      </c>
      <c r="G947" t="s">
        <v>68</v>
      </c>
      <c r="I947" t="s">
        <v>56</v>
      </c>
      <c r="J947" t="s">
        <v>78</v>
      </c>
      <c r="K947" t="s">
        <v>109</v>
      </c>
      <c r="L947" t="s">
        <v>137</v>
      </c>
      <c r="M947">
        <v>2</v>
      </c>
      <c r="N947">
        <v>1</v>
      </c>
      <c r="O947" t="s">
        <v>150</v>
      </c>
      <c r="P947" t="s">
        <v>156</v>
      </c>
      <c r="Q947" t="s">
        <v>207</v>
      </c>
    </row>
    <row r="948" spans="1:17" x14ac:dyDescent="0.25">
      <c r="A948" t="s">
        <v>20</v>
      </c>
      <c r="B948" t="s">
        <v>22</v>
      </c>
      <c r="C948" t="s">
        <v>47</v>
      </c>
      <c r="D948" t="s">
        <v>58</v>
      </c>
      <c r="E948">
        <v>67451</v>
      </c>
      <c r="F948">
        <v>12518</v>
      </c>
      <c r="G948" t="s">
        <v>67</v>
      </c>
      <c r="J948" t="s">
        <v>81</v>
      </c>
      <c r="K948" t="s">
        <v>101</v>
      </c>
      <c r="L948" t="s">
        <v>127</v>
      </c>
      <c r="M948">
        <v>1</v>
      </c>
      <c r="N948">
        <v>1</v>
      </c>
      <c r="O948" t="s">
        <v>149</v>
      </c>
      <c r="P948" t="s">
        <v>155</v>
      </c>
      <c r="Q948" t="s">
        <v>432</v>
      </c>
    </row>
    <row r="949" spans="1:17" x14ac:dyDescent="0.25">
      <c r="A949" t="s">
        <v>19</v>
      </c>
      <c r="B949" t="s">
        <v>22</v>
      </c>
      <c r="C949" t="s">
        <v>50</v>
      </c>
      <c r="D949" t="s">
        <v>60</v>
      </c>
      <c r="E949">
        <v>858685</v>
      </c>
      <c r="F949">
        <v>28302</v>
      </c>
      <c r="G949" t="s">
        <v>66</v>
      </c>
      <c r="I949" t="s">
        <v>69</v>
      </c>
      <c r="J949" t="s">
        <v>72</v>
      </c>
      <c r="K949" t="s">
        <v>95</v>
      </c>
      <c r="L949" t="s">
        <v>120</v>
      </c>
      <c r="M949">
        <v>3</v>
      </c>
      <c r="N949">
        <v>0</v>
      </c>
      <c r="O949" t="s">
        <v>152</v>
      </c>
      <c r="P949" t="s">
        <v>157</v>
      </c>
      <c r="Q949" t="s">
        <v>348</v>
      </c>
    </row>
    <row r="950" spans="1:17" x14ac:dyDescent="0.25">
      <c r="A950" t="s">
        <v>20</v>
      </c>
      <c r="B950" t="s">
        <v>26</v>
      </c>
      <c r="C950" t="s">
        <v>47</v>
      </c>
      <c r="D950" t="s">
        <v>61</v>
      </c>
      <c r="E950">
        <v>106036</v>
      </c>
      <c r="F950">
        <v>5544</v>
      </c>
      <c r="G950" t="s">
        <v>63</v>
      </c>
      <c r="J950" t="s">
        <v>77</v>
      </c>
      <c r="K950" t="s">
        <v>111</v>
      </c>
      <c r="L950" t="s">
        <v>141</v>
      </c>
      <c r="M950">
        <v>7</v>
      </c>
      <c r="N950">
        <v>7</v>
      </c>
      <c r="O950" t="s">
        <v>153</v>
      </c>
      <c r="P950" t="s">
        <v>155</v>
      </c>
      <c r="Q950" t="s">
        <v>230</v>
      </c>
    </row>
    <row r="951" spans="1:17" x14ac:dyDescent="0.25">
      <c r="A951" t="s">
        <v>19</v>
      </c>
      <c r="B951" t="s">
        <v>24</v>
      </c>
      <c r="C951" t="s">
        <v>51</v>
      </c>
      <c r="D951" t="s">
        <v>59</v>
      </c>
      <c r="E951">
        <v>91961</v>
      </c>
      <c r="F951">
        <v>0</v>
      </c>
      <c r="G951" t="s">
        <v>64</v>
      </c>
      <c r="I951" t="s">
        <v>71</v>
      </c>
      <c r="J951" t="s">
        <v>80</v>
      </c>
      <c r="K951" t="s">
        <v>106</v>
      </c>
      <c r="L951" t="s">
        <v>106</v>
      </c>
      <c r="M951">
        <v>6</v>
      </c>
      <c r="N951">
        <v>3</v>
      </c>
      <c r="O951" t="s">
        <v>153</v>
      </c>
      <c r="P951" t="s">
        <v>156</v>
      </c>
      <c r="Q951" t="s">
        <v>173</v>
      </c>
    </row>
    <row r="952" spans="1:17" x14ac:dyDescent="0.25">
      <c r="A952" t="s">
        <v>20</v>
      </c>
      <c r="B952" t="s">
        <v>24</v>
      </c>
      <c r="C952" t="s">
        <v>44</v>
      </c>
      <c r="D952" t="s">
        <v>54</v>
      </c>
      <c r="E952">
        <v>43185</v>
      </c>
      <c r="F952">
        <v>2685</v>
      </c>
      <c r="G952" t="s">
        <v>68</v>
      </c>
      <c r="J952" t="s">
        <v>77</v>
      </c>
      <c r="K952" t="s">
        <v>110</v>
      </c>
      <c r="L952" t="s">
        <v>145</v>
      </c>
      <c r="M952">
        <v>5</v>
      </c>
      <c r="N952">
        <v>5</v>
      </c>
      <c r="O952" t="s">
        <v>152</v>
      </c>
      <c r="P952" t="s">
        <v>155</v>
      </c>
      <c r="Q952" t="s">
        <v>174</v>
      </c>
    </row>
    <row r="953" spans="1:17" x14ac:dyDescent="0.25">
      <c r="A953" t="s">
        <v>19</v>
      </c>
      <c r="B953" t="s">
        <v>22</v>
      </c>
      <c r="C953" t="s">
        <v>43</v>
      </c>
      <c r="E953">
        <v>754105</v>
      </c>
      <c r="F953">
        <v>0</v>
      </c>
      <c r="G953" t="s">
        <v>66</v>
      </c>
      <c r="I953" t="s">
        <v>56</v>
      </c>
      <c r="J953" t="s">
        <v>80</v>
      </c>
      <c r="K953" t="s">
        <v>93</v>
      </c>
      <c r="L953" t="s">
        <v>93</v>
      </c>
      <c r="M953">
        <v>12</v>
      </c>
      <c r="N953">
        <v>9</v>
      </c>
      <c r="O953" t="s">
        <v>152</v>
      </c>
      <c r="P953" t="s">
        <v>154</v>
      </c>
      <c r="Q953" t="s">
        <v>318</v>
      </c>
    </row>
    <row r="954" spans="1:17" x14ac:dyDescent="0.25">
      <c r="A954" t="s">
        <v>18</v>
      </c>
      <c r="B954" t="s">
        <v>27</v>
      </c>
      <c r="C954" t="s">
        <v>44</v>
      </c>
      <c r="D954" t="s">
        <v>54</v>
      </c>
      <c r="E954">
        <v>7601</v>
      </c>
      <c r="F954">
        <v>532</v>
      </c>
      <c r="G954" t="s">
        <v>68</v>
      </c>
      <c r="J954" t="s">
        <v>79</v>
      </c>
      <c r="K954" t="s">
        <v>107</v>
      </c>
      <c r="L954" t="s">
        <v>134</v>
      </c>
      <c r="M954">
        <v>1</v>
      </c>
      <c r="N954">
        <v>0</v>
      </c>
      <c r="O954" t="s">
        <v>153</v>
      </c>
      <c r="P954" t="s">
        <v>156</v>
      </c>
      <c r="Q954" t="s">
        <v>243</v>
      </c>
    </row>
    <row r="955" spans="1:17" x14ac:dyDescent="0.25">
      <c r="A955" t="s">
        <v>20</v>
      </c>
      <c r="B955" t="s">
        <v>25</v>
      </c>
      <c r="C955" t="s">
        <v>43</v>
      </c>
      <c r="D955" t="s">
        <v>58</v>
      </c>
      <c r="E955">
        <v>85630</v>
      </c>
      <c r="F955">
        <v>1005</v>
      </c>
      <c r="G955" t="s">
        <v>64</v>
      </c>
      <c r="I955" t="s">
        <v>56</v>
      </c>
      <c r="J955" t="s">
        <v>76</v>
      </c>
      <c r="K955" t="s">
        <v>92</v>
      </c>
      <c r="L955" t="s">
        <v>119</v>
      </c>
      <c r="M955">
        <v>7</v>
      </c>
      <c r="N955">
        <v>7</v>
      </c>
      <c r="O955" t="s">
        <v>150</v>
      </c>
      <c r="P955" t="s">
        <v>155</v>
      </c>
      <c r="Q955" t="s">
        <v>433</v>
      </c>
    </row>
    <row r="956" spans="1:17" x14ac:dyDescent="0.25">
      <c r="A956" t="s">
        <v>20</v>
      </c>
      <c r="B956" t="s">
        <v>24</v>
      </c>
      <c r="C956" t="s">
        <v>40</v>
      </c>
      <c r="D956" t="s">
        <v>58</v>
      </c>
      <c r="E956">
        <v>1102795</v>
      </c>
      <c r="F956">
        <v>50515</v>
      </c>
      <c r="G956" t="s">
        <v>66</v>
      </c>
      <c r="I956" t="s">
        <v>70</v>
      </c>
      <c r="J956" t="s">
        <v>79</v>
      </c>
      <c r="K956" t="s">
        <v>91</v>
      </c>
      <c r="L956" t="s">
        <v>118</v>
      </c>
      <c r="M956">
        <v>0</v>
      </c>
      <c r="N956">
        <v>0</v>
      </c>
      <c r="O956" t="s">
        <v>148</v>
      </c>
      <c r="P956" t="s">
        <v>156</v>
      </c>
      <c r="Q956" t="s">
        <v>434</v>
      </c>
    </row>
    <row r="957" spans="1:17" x14ac:dyDescent="0.25">
      <c r="A957" t="s">
        <v>20</v>
      </c>
      <c r="B957" t="s">
        <v>25</v>
      </c>
      <c r="C957" t="s">
        <v>49</v>
      </c>
      <c r="D957" t="s">
        <v>62</v>
      </c>
      <c r="E957">
        <v>141285</v>
      </c>
      <c r="F957">
        <v>1449</v>
      </c>
      <c r="G957" t="s">
        <v>64</v>
      </c>
      <c r="I957" t="s">
        <v>71</v>
      </c>
      <c r="J957" t="s">
        <v>72</v>
      </c>
      <c r="K957" t="s">
        <v>82</v>
      </c>
      <c r="L957" t="s">
        <v>112</v>
      </c>
      <c r="M957">
        <v>1</v>
      </c>
      <c r="N957">
        <v>0</v>
      </c>
      <c r="O957" t="s">
        <v>149</v>
      </c>
      <c r="P957" t="s">
        <v>157</v>
      </c>
      <c r="Q957" t="s">
        <v>175</v>
      </c>
    </row>
    <row r="958" spans="1:17" x14ac:dyDescent="0.25">
      <c r="A958" t="s">
        <v>19</v>
      </c>
      <c r="B958" t="s">
        <v>28</v>
      </c>
      <c r="C958" t="s">
        <v>52</v>
      </c>
      <c r="D958" t="s">
        <v>54</v>
      </c>
      <c r="E958">
        <v>85306</v>
      </c>
      <c r="F958">
        <v>4185</v>
      </c>
      <c r="G958" t="s">
        <v>64</v>
      </c>
      <c r="I958" t="s">
        <v>56</v>
      </c>
      <c r="J958" t="s">
        <v>76</v>
      </c>
      <c r="K958" t="s">
        <v>100</v>
      </c>
      <c r="L958" t="s">
        <v>132</v>
      </c>
      <c r="M958">
        <v>5</v>
      </c>
      <c r="N958">
        <v>3</v>
      </c>
      <c r="O958" t="s">
        <v>149</v>
      </c>
      <c r="P958" t="s">
        <v>157</v>
      </c>
      <c r="Q958" t="s">
        <v>322</v>
      </c>
    </row>
    <row r="959" spans="1:17" x14ac:dyDescent="0.25">
      <c r="A959" t="s">
        <v>20</v>
      </c>
      <c r="B959" t="s">
        <v>35</v>
      </c>
      <c r="C959" t="s">
        <v>43</v>
      </c>
      <c r="D959" t="s">
        <v>59</v>
      </c>
      <c r="E959">
        <v>1128824</v>
      </c>
      <c r="F959">
        <v>277996</v>
      </c>
      <c r="G959" t="s">
        <v>66</v>
      </c>
      <c r="I959" t="s">
        <v>56</v>
      </c>
      <c r="J959" t="s">
        <v>77</v>
      </c>
      <c r="K959" t="s">
        <v>111</v>
      </c>
      <c r="L959" t="s">
        <v>146</v>
      </c>
      <c r="M959">
        <v>2</v>
      </c>
      <c r="N959">
        <v>2</v>
      </c>
      <c r="O959" t="s">
        <v>151</v>
      </c>
      <c r="P959" t="s">
        <v>155</v>
      </c>
      <c r="Q959" t="s">
        <v>262</v>
      </c>
    </row>
    <row r="960" spans="1:17" x14ac:dyDescent="0.25">
      <c r="A960" t="s">
        <v>19</v>
      </c>
      <c r="B960" t="s">
        <v>32</v>
      </c>
      <c r="C960" t="s">
        <v>36</v>
      </c>
      <c r="D960" t="s">
        <v>54</v>
      </c>
      <c r="E960">
        <v>78516</v>
      </c>
      <c r="F960">
        <v>876</v>
      </c>
      <c r="G960" t="s">
        <v>65</v>
      </c>
      <c r="J960" t="s">
        <v>80</v>
      </c>
      <c r="K960" t="s">
        <v>106</v>
      </c>
      <c r="L960" t="s">
        <v>106</v>
      </c>
      <c r="M960">
        <v>5</v>
      </c>
      <c r="N960">
        <v>4</v>
      </c>
      <c r="O960" t="s">
        <v>149</v>
      </c>
      <c r="P960" t="s">
        <v>157</v>
      </c>
      <c r="Q960" t="s">
        <v>165</v>
      </c>
    </row>
    <row r="961" spans="1:17" x14ac:dyDescent="0.25">
      <c r="A961" t="s">
        <v>19</v>
      </c>
      <c r="B961" t="s">
        <v>26</v>
      </c>
      <c r="C961" t="s">
        <v>40</v>
      </c>
      <c r="D961" t="s">
        <v>60</v>
      </c>
      <c r="E961">
        <v>1142559</v>
      </c>
      <c r="F961">
        <v>40640</v>
      </c>
      <c r="G961" t="s">
        <v>66</v>
      </c>
      <c r="I961" t="s">
        <v>70</v>
      </c>
      <c r="J961" t="s">
        <v>81</v>
      </c>
      <c r="K961" t="s">
        <v>98</v>
      </c>
      <c r="L961" t="s">
        <v>123</v>
      </c>
      <c r="M961">
        <v>7</v>
      </c>
      <c r="N961">
        <v>4</v>
      </c>
      <c r="O961" t="s">
        <v>148</v>
      </c>
      <c r="P961" t="s">
        <v>155</v>
      </c>
      <c r="Q961" t="s">
        <v>224</v>
      </c>
    </row>
    <row r="962" spans="1:17" x14ac:dyDescent="0.25">
      <c r="A962" t="s">
        <v>19</v>
      </c>
      <c r="B962" t="s">
        <v>30</v>
      </c>
      <c r="C962" t="s">
        <v>36</v>
      </c>
      <c r="D962" t="s">
        <v>60</v>
      </c>
      <c r="E962">
        <v>10906</v>
      </c>
      <c r="F962">
        <v>820</v>
      </c>
      <c r="G962" t="s">
        <v>63</v>
      </c>
      <c r="I962" t="s">
        <v>69</v>
      </c>
      <c r="J962" t="s">
        <v>78</v>
      </c>
      <c r="K962" t="s">
        <v>109</v>
      </c>
      <c r="L962" t="s">
        <v>137</v>
      </c>
      <c r="M962">
        <v>15</v>
      </c>
      <c r="N962">
        <v>15</v>
      </c>
      <c r="O962" t="s">
        <v>153</v>
      </c>
      <c r="P962" t="s">
        <v>157</v>
      </c>
      <c r="Q962" t="s">
        <v>162</v>
      </c>
    </row>
    <row r="963" spans="1:17" x14ac:dyDescent="0.25">
      <c r="A963" t="s">
        <v>21</v>
      </c>
      <c r="B963" t="s">
        <v>29</v>
      </c>
      <c r="C963" t="s">
        <v>42</v>
      </c>
      <c r="D963" t="s">
        <v>62</v>
      </c>
      <c r="E963">
        <v>832913</v>
      </c>
      <c r="F963">
        <v>0</v>
      </c>
      <c r="G963" t="s">
        <v>66</v>
      </c>
      <c r="J963" t="s">
        <v>81</v>
      </c>
      <c r="K963" t="s">
        <v>103</v>
      </c>
      <c r="L963" t="s">
        <v>140</v>
      </c>
      <c r="M963">
        <v>10</v>
      </c>
      <c r="N963">
        <v>10</v>
      </c>
      <c r="O963" t="s">
        <v>152</v>
      </c>
      <c r="P963" t="s">
        <v>157</v>
      </c>
      <c r="Q963" t="s">
        <v>435</v>
      </c>
    </row>
    <row r="964" spans="1:17" x14ac:dyDescent="0.25">
      <c r="A964" t="s">
        <v>17</v>
      </c>
      <c r="B964" t="s">
        <v>27</v>
      </c>
      <c r="C964" t="s">
        <v>51</v>
      </c>
      <c r="D964" t="s">
        <v>59</v>
      </c>
      <c r="E964">
        <v>59745</v>
      </c>
      <c r="F964">
        <v>1967</v>
      </c>
      <c r="G964" t="s">
        <v>67</v>
      </c>
      <c r="I964" t="s">
        <v>69</v>
      </c>
      <c r="J964" t="s">
        <v>74</v>
      </c>
      <c r="K964" t="s">
        <v>84</v>
      </c>
      <c r="L964" t="s">
        <v>74</v>
      </c>
      <c r="M964">
        <v>15</v>
      </c>
      <c r="N964">
        <v>12</v>
      </c>
      <c r="O964" t="s">
        <v>150</v>
      </c>
      <c r="P964" t="s">
        <v>156</v>
      </c>
      <c r="Q964" t="s">
        <v>166</v>
      </c>
    </row>
    <row r="965" spans="1:17" x14ac:dyDescent="0.25">
      <c r="A965" t="s">
        <v>19</v>
      </c>
      <c r="B965" t="s">
        <v>22</v>
      </c>
      <c r="C965" t="s">
        <v>50</v>
      </c>
      <c r="D965" t="s">
        <v>59</v>
      </c>
      <c r="E965">
        <v>105244</v>
      </c>
      <c r="F965">
        <v>6865</v>
      </c>
      <c r="G965" t="s">
        <v>64</v>
      </c>
      <c r="I965" t="s">
        <v>71</v>
      </c>
      <c r="J965" t="s">
        <v>73</v>
      </c>
      <c r="K965" t="s">
        <v>83</v>
      </c>
      <c r="L965" t="s">
        <v>113</v>
      </c>
      <c r="M965">
        <v>20</v>
      </c>
      <c r="N965">
        <v>20</v>
      </c>
      <c r="O965" t="s">
        <v>153</v>
      </c>
      <c r="P965" t="s">
        <v>156</v>
      </c>
      <c r="Q965" t="s">
        <v>207</v>
      </c>
    </row>
    <row r="966" spans="1:17" x14ac:dyDescent="0.25">
      <c r="A966" t="s">
        <v>21</v>
      </c>
      <c r="B966" t="s">
        <v>32</v>
      </c>
      <c r="C966" t="s">
        <v>52</v>
      </c>
      <c r="D966" t="s">
        <v>54</v>
      </c>
      <c r="E966">
        <v>63974</v>
      </c>
      <c r="F966">
        <v>1357</v>
      </c>
      <c r="G966" t="s">
        <v>67</v>
      </c>
      <c r="I966" t="s">
        <v>70</v>
      </c>
      <c r="J966" t="s">
        <v>81</v>
      </c>
      <c r="K966" t="s">
        <v>94</v>
      </c>
      <c r="L966" t="s">
        <v>129</v>
      </c>
      <c r="M966">
        <v>15</v>
      </c>
      <c r="N966">
        <v>15</v>
      </c>
      <c r="O966" t="s">
        <v>152</v>
      </c>
      <c r="P966" t="s">
        <v>155</v>
      </c>
      <c r="Q966" t="s">
        <v>190</v>
      </c>
    </row>
    <row r="967" spans="1:17" x14ac:dyDescent="0.25">
      <c r="A967" t="s">
        <v>19</v>
      </c>
      <c r="B967" t="s">
        <v>23</v>
      </c>
      <c r="C967" t="s">
        <v>37</v>
      </c>
      <c r="D967" t="s">
        <v>56</v>
      </c>
      <c r="E967">
        <v>53253</v>
      </c>
      <c r="F967">
        <v>2032</v>
      </c>
      <c r="G967" t="s">
        <v>67</v>
      </c>
      <c r="I967" t="s">
        <v>69</v>
      </c>
      <c r="J967" t="s">
        <v>80</v>
      </c>
      <c r="K967" t="s">
        <v>106</v>
      </c>
      <c r="L967" t="s">
        <v>106</v>
      </c>
      <c r="M967">
        <v>3</v>
      </c>
      <c r="N967">
        <v>2</v>
      </c>
      <c r="O967" t="s">
        <v>152</v>
      </c>
      <c r="P967" t="s">
        <v>156</v>
      </c>
      <c r="Q967" t="s">
        <v>174</v>
      </c>
    </row>
    <row r="968" spans="1:17" x14ac:dyDescent="0.25">
      <c r="A968" t="s">
        <v>20</v>
      </c>
      <c r="B968" t="s">
        <v>31</v>
      </c>
      <c r="C968" t="s">
        <v>45</v>
      </c>
      <c r="D968" t="s">
        <v>60</v>
      </c>
      <c r="E968">
        <v>105972</v>
      </c>
      <c r="F968">
        <v>4541</v>
      </c>
      <c r="G968" t="s">
        <v>65</v>
      </c>
      <c r="J968" t="s">
        <v>78</v>
      </c>
      <c r="K968" t="s">
        <v>90</v>
      </c>
      <c r="L968" t="s">
        <v>147</v>
      </c>
      <c r="M968">
        <v>7</v>
      </c>
      <c r="N968">
        <v>4</v>
      </c>
      <c r="O968" t="s">
        <v>152</v>
      </c>
      <c r="P968" t="s">
        <v>156</v>
      </c>
      <c r="Q968" t="s">
        <v>209</v>
      </c>
    </row>
    <row r="969" spans="1:17" x14ac:dyDescent="0.25">
      <c r="A969" t="s">
        <v>19</v>
      </c>
      <c r="B969" t="s">
        <v>22</v>
      </c>
      <c r="C969" t="s">
        <v>53</v>
      </c>
      <c r="D969" t="s">
        <v>55</v>
      </c>
      <c r="E969">
        <v>23856</v>
      </c>
      <c r="F969">
        <v>758</v>
      </c>
      <c r="G969" t="s">
        <v>64</v>
      </c>
      <c r="I969" t="s">
        <v>71</v>
      </c>
      <c r="J969" t="s">
        <v>81</v>
      </c>
      <c r="K969" t="s">
        <v>94</v>
      </c>
      <c r="L969" t="s">
        <v>129</v>
      </c>
      <c r="M969">
        <v>18</v>
      </c>
      <c r="N969">
        <v>15</v>
      </c>
      <c r="O969" t="s">
        <v>153</v>
      </c>
      <c r="P969" t="s">
        <v>155</v>
      </c>
      <c r="Q969" t="s">
        <v>436</v>
      </c>
    </row>
    <row r="970" spans="1:17" x14ac:dyDescent="0.25">
      <c r="A970" t="s">
        <v>19</v>
      </c>
      <c r="B970" t="s">
        <v>23</v>
      </c>
      <c r="C970" t="s">
        <v>44</v>
      </c>
      <c r="D970" t="s">
        <v>56</v>
      </c>
      <c r="E970">
        <v>1517823</v>
      </c>
      <c r="F970">
        <v>71638</v>
      </c>
      <c r="G970" t="s">
        <v>66</v>
      </c>
      <c r="I970" t="s">
        <v>71</v>
      </c>
      <c r="J970" t="s">
        <v>81</v>
      </c>
      <c r="K970" t="s">
        <v>101</v>
      </c>
      <c r="L970" t="s">
        <v>127</v>
      </c>
      <c r="M970">
        <v>9</v>
      </c>
      <c r="N970">
        <v>9</v>
      </c>
      <c r="O970" t="s">
        <v>152</v>
      </c>
      <c r="P970" t="s">
        <v>154</v>
      </c>
      <c r="Q970" t="s">
        <v>179</v>
      </c>
    </row>
    <row r="971" spans="1:17" x14ac:dyDescent="0.25">
      <c r="A971" t="s">
        <v>20</v>
      </c>
      <c r="B971" t="s">
        <v>29</v>
      </c>
      <c r="C971" t="s">
        <v>45</v>
      </c>
      <c r="D971" t="s">
        <v>58</v>
      </c>
      <c r="E971">
        <v>1148449</v>
      </c>
      <c r="F971">
        <v>0</v>
      </c>
      <c r="G971" t="s">
        <v>66</v>
      </c>
      <c r="I971" t="s">
        <v>70</v>
      </c>
      <c r="J971" t="s">
        <v>73</v>
      </c>
      <c r="K971" t="s">
        <v>99</v>
      </c>
      <c r="L971" t="s">
        <v>125</v>
      </c>
      <c r="M971">
        <v>7</v>
      </c>
      <c r="N971">
        <v>6</v>
      </c>
      <c r="O971" t="s">
        <v>150</v>
      </c>
      <c r="P971" t="s">
        <v>156</v>
      </c>
      <c r="Q971" t="s">
        <v>271</v>
      </c>
    </row>
    <row r="972" spans="1:17" x14ac:dyDescent="0.25">
      <c r="A972" t="s">
        <v>19</v>
      </c>
      <c r="B972" t="s">
        <v>25</v>
      </c>
      <c r="C972" t="s">
        <v>37</v>
      </c>
      <c r="D972" t="s">
        <v>55</v>
      </c>
      <c r="E972">
        <v>123625</v>
      </c>
      <c r="F972">
        <v>4872</v>
      </c>
      <c r="G972" t="s">
        <v>67</v>
      </c>
      <c r="I972" t="s">
        <v>70</v>
      </c>
      <c r="J972" t="s">
        <v>72</v>
      </c>
      <c r="K972" t="s">
        <v>82</v>
      </c>
      <c r="L972" t="s">
        <v>112</v>
      </c>
      <c r="M972">
        <v>15</v>
      </c>
      <c r="N972">
        <v>12</v>
      </c>
      <c r="O972" t="s">
        <v>148</v>
      </c>
      <c r="P972" t="s">
        <v>154</v>
      </c>
      <c r="Q972" t="s">
        <v>175</v>
      </c>
    </row>
    <row r="973" spans="1:17" x14ac:dyDescent="0.25">
      <c r="A973" t="s">
        <v>19</v>
      </c>
      <c r="B973" t="s">
        <v>35</v>
      </c>
      <c r="C973" t="s">
        <v>42</v>
      </c>
      <c r="D973" t="s">
        <v>56</v>
      </c>
      <c r="E973">
        <v>57790</v>
      </c>
      <c r="F973">
        <v>7428</v>
      </c>
      <c r="G973" t="s">
        <v>68</v>
      </c>
      <c r="J973" t="s">
        <v>81</v>
      </c>
      <c r="K973" t="s">
        <v>103</v>
      </c>
      <c r="L973" t="s">
        <v>130</v>
      </c>
      <c r="M973">
        <v>4</v>
      </c>
      <c r="N973">
        <v>3</v>
      </c>
      <c r="O973" t="s">
        <v>151</v>
      </c>
      <c r="P973" t="s">
        <v>154</v>
      </c>
      <c r="Q973" t="s">
        <v>437</v>
      </c>
    </row>
    <row r="974" spans="1:17" x14ac:dyDescent="0.25">
      <c r="A974" t="s">
        <v>19</v>
      </c>
      <c r="B974" t="s">
        <v>25</v>
      </c>
      <c r="C974" t="s">
        <v>53</v>
      </c>
      <c r="D974" t="s">
        <v>62</v>
      </c>
      <c r="E974">
        <v>98702</v>
      </c>
      <c r="F974">
        <v>10361</v>
      </c>
      <c r="G974" t="s">
        <v>64</v>
      </c>
      <c r="J974" t="s">
        <v>78</v>
      </c>
      <c r="K974" t="s">
        <v>104</v>
      </c>
      <c r="L974" t="s">
        <v>131</v>
      </c>
      <c r="M974">
        <v>8</v>
      </c>
      <c r="N974">
        <v>5</v>
      </c>
      <c r="O974" t="s">
        <v>153</v>
      </c>
      <c r="P974" t="s">
        <v>155</v>
      </c>
      <c r="Q974" t="s">
        <v>438</v>
      </c>
    </row>
    <row r="975" spans="1:17" x14ac:dyDescent="0.25">
      <c r="A975" t="s">
        <v>17</v>
      </c>
      <c r="B975" t="s">
        <v>24</v>
      </c>
      <c r="C975" t="s">
        <v>39</v>
      </c>
      <c r="D975" t="s">
        <v>58</v>
      </c>
      <c r="E975">
        <v>29406</v>
      </c>
      <c r="F975">
        <v>308</v>
      </c>
      <c r="G975" t="s">
        <v>67</v>
      </c>
      <c r="I975" t="s">
        <v>56</v>
      </c>
      <c r="J975" t="s">
        <v>77</v>
      </c>
      <c r="K975" t="s">
        <v>89</v>
      </c>
      <c r="L975" t="s">
        <v>124</v>
      </c>
      <c r="M975">
        <v>12</v>
      </c>
      <c r="N975">
        <v>9</v>
      </c>
      <c r="O975" t="s">
        <v>149</v>
      </c>
      <c r="P975" t="s">
        <v>156</v>
      </c>
      <c r="Q975" t="s">
        <v>188</v>
      </c>
    </row>
    <row r="976" spans="1:17" x14ac:dyDescent="0.25">
      <c r="A976" t="s">
        <v>20</v>
      </c>
      <c r="B976" t="s">
        <v>34</v>
      </c>
      <c r="C976" t="s">
        <v>49</v>
      </c>
      <c r="D976" t="s">
        <v>60</v>
      </c>
      <c r="E976">
        <v>105207</v>
      </c>
      <c r="F976">
        <v>377</v>
      </c>
      <c r="G976" t="s">
        <v>67</v>
      </c>
      <c r="I976" t="s">
        <v>71</v>
      </c>
      <c r="J976" t="s">
        <v>75</v>
      </c>
      <c r="K976" t="s">
        <v>96</v>
      </c>
      <c r="L976" t="s">
        <v>121</v>
      </c>
      <c r="M976">
        <v>5</v>
      </c>
      <c r="N976">
        <v>5</v>
      </c>
      <c r="O976" t="s">
        <v>151</v>
      </c>
      <c r="P976" t="s">
        <v>156</v>
      </c>
      <c r="Q976" t="s">
        <v>439</v>
      </c>
    </row>
    <row r="977" spans="1:17" x14ac:dyDescent="0.25">
      <c r="A977" t="s">
        <v>21</v>
      </c>
      <c r="B977" t="s">
        <v>33</v>
      </c>
      <c r="C977" t="s">
        <v>37</v>
      </c>
      <c r="E977">
        <v>64452</v>
      </c>
      <c r="F977">
        <v>1635</v>
      </c>
      <c r="G977" t="s">
        <v>63</v>
      </c>
      <c r="J977" t="s">
        <v>73</v>
      </c>
      <c r="K977" t="s">
        <v>102</v>
      </c>
      <c r="L977" t="s">
        <v>102</v>
      </c>
      <c r="M977">
        <v>8</v>
      </c>
      <c r="N977">
        <v>5</v>
      </c>
      <c r="O977" t="s">
        <v>152</v>
      </c>
      <c r="P977" t="s">
        <v>156</v>
      </c>
      <c r="Q977" t="s">
        <v>369</v>
      </c>
    </row>
    <row r="978" spans="1:17" x14ac:dyDescent="0.25">
      <c r="A978" t="s">
        <v>19</v>
      </c>
      <c r="B978" t="s">
        <v>23</v>
      </c>
      <c r="C978" t="s">
        <v>44</v>
      </c>
      <c r="D978" t="s">
        <v>59</v>
      </c>
      <c r="E978">
        <v>72528</v>
      </c>
      <c r="F978">
        <v>2900</v>
      </c>
      <c r="G978" t="s">
        <v>65</v>
      </c>
      <c r="I978" t="s">
        <v>71</v>
      </c>
      <c r="J978" t="s">
        <v>73</v>
      </c>
      <c r="K978" t="s">
        <v>99</v>
      </c>
      <c r="L978" t="s">
        <v>125</v>
      </c>
      <c r="M978">
        <v>25</v>
      </c>
      <c r="N978">
        <v>23</v>
      </c>
      <c r="O978" t="s">
        <v>152</v>
      </c>
      <c r="P978" t="s">
        <v>156</v>
      </c>
      <c r="Q978" t="s">
        <v>440</v>
      </c>
    </row>
    <row r="979" spans="1:17" x14ac:dyDescent="0.25">
      <c r="A979" t="s">
        <v>17</v>
      </c>
      <c r="B979" t="s">
        <v>26</v>
      </c>
      <c r="C979" t="s">
        <v>38</v>
      </c>
      <c r="D979" t="s">
        <v>54</v>
      </c>
      <c r="E979">
        <v>36128</v>
      </c>
      <c r="F979">
        <v>2710</v>
      </c>
      <c r="G979" t="s">
        <v>63</v>
      </c>
      <c r="I979" t="s">
        <v>71</v>
      </c>
      <c r="J979" t="s">
        <v>77</v>
      </c>
      <c r="K979" t="s">
        <v>110</v>
      </c>
      <c r="L979" t="s">
        <v>139</v>
      </c>
      <c r="M979">
        <v>10</v>
      </c>
      <c r="N979">
        <v>9</v>
      </c>
      <c r="O979" t="s">
        <v>152</v>
      </c>
      <c r="P979" t="s">
        <v>155</v>
      </c>
      <c r="Q979" t="s">
        <v>178</v>
      </c>
    </row>
    <row r="980" spans="1:17" x14ac:dyDescent="0.25">
      <c r="A980" t="s">
        <v>21</v>
      </c>
      <c r="B980" t="s">
        <v>27</v>
      </c>
      <c r="C980" t="s">
        <v>41</v>
      </c>
      <c r="D980" t="s">
        <v>60</v>
      </c>
      <c r="E980">
        <v>908182</v>
      </c>
      <c r="F980">
        <v>6165</v>
      </c>
      <c r="G980" t="s">
        <v>66</v>
      </c>
      <c r="I980" t="s">
        <v>56</v>
      </c>
      <c r="J980" t="s">
        <v>80</v>
      </c>
      <c r="K980" t="s">
        <v>93</v>
      </c>
      <c r="L980" t="s">
        <v>93</v>
      </c>
      <c r="M980">
        <v>18</v>
      </c>
      <c r="N980">
        <v>15</v>
      </c>
      <c r="O980" t="s">
        <v>152</v>
      </c>
      <c r="P980" t="s">
        <v>156</v>
      </c>
      <c r="Q980" t="s">
        <v>190</v>
      </c>
    </row>
    <row r="981" spans="1:17" x14ac:dyDescent="0.25">
      <c r="A981" t="s">
        <v>18</v>
      </c>
      <c r="B981" t="s">
        <v>30</v>
      </c>
      <c r="C981" t="s">
        <v>40</v>
      </c>
      <c r="D981" t="s">
        <v>56</v>
      </c>
      <c r="E981">
        <v>74937</v>
      </c>
      <c r="F981">
        <v>10896</v>
      </c>
      <c r="G981" t="s">
        <v>68</v>
      </c>
      <c r="I981" t="s">
        <v>56</v>
      </c>
      <c r="J981" t="s">
        <v>77</v>
      </c>
      <c r="K981" t="s">
        <v>111</v>
      </c>
      <c r="L981" t="s">
        <v>146</v>
      </c>
      <c r="M981">
        <v>0</v>
      </c>
      <c r="N981">
        <v>0</v>
      </c>
      <c r="O981" t="s">
        <v>149</v>
      </c>
      <c r="P981" t="s">
        <v>155</v>
      </c>
      <c r="Q981" t="s">
        <v>441</v>
      </c>
    </row>
    <row r="982" spans="1:17" x14ac:dyDescent="0.25">
      <c r="A982" t="s">
        <v>20</v>
      </c>
      <c r="B982" t="s">
        <v>22</v>
      </c>
      <c r="C982" t="s">
        <v>51</v>
      </c>
      <c r="D982" t="s">
        <v>56</v>
      </c>
      <c r="E982">
        <v>129349</v>
      </c>
      <c r="F982">
        <v>0</v>
      </c>
      <c r="G982" t="s">
        <v>65</v>
      </c>
      <c r="I982" t="s">
        <v>56</v>
      </c>
      <c r="J982" t="s">
        <v>73</v>
      </c>
      <c r="K982" t="s">
        <v>99</v>
      </c>
      <c r="L982" t="s">
        <v>125</v>
      </c>
      <c r="M982">
        <v>2</v>
      </c>
      <c r="N982">
        <v>2</v>
      </c>
      <c r="O982" t="s">
        <v>152</v>
      </c>
      <c r="P982" t="s">
        <v>155</v>
      </c>
      <c r="Q982" t="s">
        <v>174</v>
      </c>
    </row>
    <row r="983" spans="1:17" x14ac:dyDescent="0.25">
      <c r="A983" t="s">
        <v>20</v>
      </c>
      <c r="B983" t="s">
        <v>28</v>
      </c>
      <c r="C983" t="s">
        <v>46</v>
      </c>
      <c r="D983" t="s">
        <v>56</v>
      </c>
      <c r="E983">
        <v>78693</v>
      </c>
      <c r="F983">
        <v>0</v>
      </c>
      <c r="G983" t="s">
        <v>63</v>
      </c>
      <c r="I983" t="s">
        <v>71</v>
      </c>
      <c r="J983" t="s">
        <v>81</v>
      </c>
      <c r="K983" t="s">
        <v>98</v>
      </c>
      <c r="L983" t="s">
        <v>123</v>
      </c>
      <c r="M983">
        <v>4</v>
      </c>
      <c r="N983">
        <v>4</v>
      </c>
      <c r="O983" t="s">
        <v>151</v>
      </c>
      <c r="P983" t="s">
        <v>157</v>
      </c>
      <c r="Q983" t="s">
        <v>442</v>
      </c>
    </row>
    <row r="984" spans="1:17" x14ac:dyDescent="0.25">
      <c r="A984" t="s">
        <v>19</v>
      </c>
      <c r="B984" t="s">
        <v>24</v>
      </c>
      <c r="C984" t="s">
        <v>38</v>
      </c>
      <c r="D984" t="s">
        <v>59</v>
      </c>
      <c r="E984">
        <v>60029</v>
      </c>
      <c r="F984">
        <v>4970</v>
      </c>
      <c r="G984" t="s">
        <v>64</v>
      </c>
      <c r="I984" t="s">
        <v>70</v>
      </c>
      <c r="J984" t="s">
        <v>80</v>
      </c>
      <c r="K984" t="s">
        <v>106</v>
      </c>
      <c r="L984" t="s">
        <v>106</v>
      </c>
      <c r="M984">
        <v>6</v>
      </c>
      <c r="N984">
        <v>6</v>
      </c>
      <c r="O984" t="s">
        <v>152</v>
      </c>
      <c r="P984" t="s">
        <v>155</v>
      </c>
      <c r="Q984" t="s">
        <v>181</v>
      </c>
    </row>
    <row r="985" spans="1:17" x14ac:dyDescent="0.25">
      <c r="A985" t="s">
        <v>19</v>
      </c>
      <c r="B985" t="s">
        <v>31</v>
      </c>
      <c r="C985" t="s">
        <v>37</v>
      </c>
      <c r="D985" t="s">
        <v>57</v>
      </c>
      <c r="E985">
        <v>42338</v>
      </c>
      <c r="F985">
        <v>5166</v>
      </c>
      <c r="G985" t="s">
        <v>68</v>
      </c>
      <c r="J985" t="s">
        <v>72</v>
      </c>
      <c r="K985" t="s">
        <v>82</v>
      </c>
      <c r="L985" t="s">
        <v>112</v>
      </c>
      <c r="M985">
        <v>4</v>
      </c>
      <c r="N985">
        <v>4</v>
      </c>
      <c r="O985" t="s">
        <v>148</v>
      </c>
      <c r="P985" t="s">
        <v>157</v>
      </c>
      <c r="Q985" t="s">
        <v>328</v>
      </c>
    </row>
    <row r="986" spans="1:17" x14ac:dyDescent="0.25">
      <c r="A986" t="s">
        <v>21</v>
      </c>
      <c r="B986" t="s">
        <v>32</v>
      </c>
      <c r="C986" t="s">
        <v>39</v>
      </c>
      <c r="D986" t="s">
        <v>60</v>
      </c>
      <c r="E986">
        <v>143664</v>
      </c>
      <c r="F986">
        <v>13651</v>
      </c>
      <c r="G986" t="s">
        <v>65</v>
      </c>
      <c r="I986" t="s">
        <v>56</v>
      </c>
      <c r="J986" t="s">
        <v>81</v>
      </c>
      <c r="K986" t="s">
        <v>94</v>
      </c>
      <c r="L986" t="s">
        <v>129</v>
      </c>
      <c r="M986">
        <v>15</v>
      </c>
      <c r="N986">
        <v>14</v>
      </c>
      <c r="O986" t="s">
        <v>148</v>
      </c>
      <c r="P986" t="s">
        <v>157</v>
      </c>
      <c r="Q986" t="s">
        <v>180</v>
      </c>
    </row>
    <row r="987" spans="1:17" x14ac:dyDescent="0.25">
      <c r="A987" t="s">
        <v>20</v>
      </c>
      <c r="B987" t="s">
        <v>22</v>
      </c>
      <c r="C987" t="s">
        <v>48</v>
      </c>
      <c r="D987" t="s">
        <v>62</v>
      </c>
      <c r="E987">
        <v>58226</v>
      </c>
      <c r="F987">
        <v>5271</v>
      </c>
      <c r="G987" t="s">
        <v>68</v>
      </c>
      <c r="I987" t="s">
        <v>71</v>
      </c>
      <c r="J987" t="s">
        <v>80</v>
      </c>
      <c r="K987" t="s">
        <v>93</v>
      </c>
      <c r="L987" t="s">
        <v>93</v>
      </c>
      <c r="M987">
        <v>1</v>
      </c>
      <c r="N987">
        <v>1</v>
      </c>
      <c r="O987" t="s">
        <v>152</v>
      </c>
      <c r="P987" t="s">
        <v>157</v>
      </c>
      <c r="Q987" t="s">
        <v>175</v>
      </c>
    </row>
    <row r="988" spans="1:17" x14ac:dyDescent="0.25">
      <c r="A988" t="s">
        <v>20</v>
      </c>
      <c r="B988" t="s">
        <v>29</v>
      </c>
      <c r="C988" t="s">
        <v>49</v>
      </c>
      <c r="D988" t="s">
        <v>56</v>
      </c>
      <c r="E988">
        <v>122540</v>
      </c>
      <c r="F988">
        <v>11647</v>
      </c>
      <c r="G988" t="s">
        <v>67</v>
      </c>
      <c r="I988" t="s">
        <v>56</v>
      </c>
      <c r="J988" t="s">
        <v>72</v>
      </c>
      <c r="K988" t="s">
        <v>82</v>
      </c>
      <c r="L988" t="s">
        <v>112</v>
      </c>
      <c r="M988">
        <v>7</v>
      </c>
      <c r="N988">
        <v>4</v>
      </c>
      <c r="O988" t="s">
        <v>152</v>
      </c>
      <c r="P988" t="s">
        <v>156</v>
      </c>
      <c r="Q988" t="s">
        <v>243</v>
      </c>
    </row>
    <row r="989" spans="1:17" x14ac:dyDescent="0.25">
      <c r="A989" t="s">
        <v>20</v>
      </c>
      <c r="B989" t="s">
        <v>26</v>
      </c>
      <c r="C989" t="s">
        <v>40</v>
      </c>
      <c r="D989" t="s">
        <v>61</v>
      </c>
      <c r="E989">
        <v>320848</v>
      </c>
      <c r="F989">
        <v>0</v>
      </c>
      <c r="G989" t="s">
        <v>66</v>
      </c>
      <c r="I989" t="s">
        <v>69</v>
      </c>
      <c r="J989" t="s">
        <v>81</v>
      </c>
      <c r="K989" t="s">
        <v>94</v>
      </c>
      <c r="L989" t="s">
        <v>129</v>
      </c>
      <c r="M989">
        <v>3</v>
      </c>
      <c r="N989">
        <v>3</v>
      </c>
      <c r="O989" t="s">
        <v>148</v>
      </c>
      <c r="P989" t="s">
        <v>156</v>
      </c>
      <c r="Q989" t="s">
        <v>180</v>
      </c>
    </row>
    <row r="990" spans="1:17" x14ac:dyDescent="0.25">
      <c r="A990" t="s">
        <v>19</v>
      </c>
      <c r="B990" t="s">
        <v>26</v>
      </c>
      <c r="C990" t="s">
        <v>36</v>
      </c>
      <c r="D990" t="s">
        <v>58</v>
      </c>
      <c r="E990">
        <v>35759</v>
      </c>
      <c r="F990">
        <v>1310</v>
      </c>
      <c r="G990" t="s">
        <v>68</v>
      </c>
      <c r="I990" t="s">
        <v>56</v>
      </c>
      <c r="J990" t="s">
        <v>76</v>
      </c>
      <c r="K990" t="s">
        <v>86</v>
      </c>
      <c r="L990" t="s">
        <v>115</v>
      </c>
      <c r="M990">
        <v>12</v>
      </c>
      <c r="N990">
        <v>12</v>
      </c>
      <c r="O990" t="s">
        <v>149</v>
      </c>
      <c r="P990" t="s">
        <v>156</v>
      </c>
      <c r="Q990" t="s">
        <v>181</v>
      </c>
    </row>
    <row r="991" spans="1:17" x14ac:dyDescent="0.25">
      <c r="A991" t="s">
        <v>20</v>
      </c>
      <c r="B991" t="s">
        <v>31</v>
      </c>
      <c r="C991" t="s">
        <v>37</v>
      </c>
      <c r="D991" t="s">
        <v>55</v>
      </c>
      <c r="E991">
        <v>90971</v>
      </c>
      <c r="F991">
        <v>8786</v>
      </c>
      <c r="G991" t="s">
        <v>64</v>
      </c>
      <c r="I991" t="s">
        <v>71</v>
      </c>
      <c r="J991" t="s">
        <v>74</v>
      </c>
      <c r="K991" t="s">
        <v>84</v>
      </c>
      <c r="L991" t="s">
        <v>74</v>
      </c>
      <c r="M991">
        <v>1</v>
      </c>
      <c r="N991">
        <v>1</v>
      </c>
      <c r="O991" t="s">
        <v>150</v>
      </c>
      <c r="P991" t="s">
        <v>156</v>
      </c>
      <c r="Q991" t="s">
        <v>171</v>
      </c>
    </row>
    <row r="992" spans="1:17" x14ac:dyDescent="0.25">
      <c r="A992" t="s">
        <v>17</v>
      </c>
      <c r="B992" t="s">
        <v>33</v>
      </c>
      <c r="C992" t="s">
        <v>45</v>
      </c>
      <c r="D992" t="s">
        <v>54</v>
      </c>
      <c r="E992">
        <v>134691</v>
      </c>
      <c r="F992">
        <v>12547</v>
      </c>
      <c r="G992" t="s">
        <v>67</v>
      </c>
      <c r="J992" t="s">
        <v>78</v>
      </c>
      <c r="K992" t="s">
        <v>88</v>
      </c>
      <c r="L992" t="s">
        <v>128</v>
      </c>
      <c r="M992">
        <v>12</v>
      </c>
      <c r="N992">
        <v>12</v>
      </c>
      <c r="O992" t="s">
        <v>150</v>
      </c>
      <c r="P992" t="s">
        <v>155</v>
      </c>
      <c r="Q992" t="s">
        <v>187</v>
      </c>
    </row>
    <row r="993" spans="1:17" x14ac:dyDescent="0.25">
      <c r="A993" t="s">
        <v>19</v>
      </c>
      <c r="B993" t="s">
        <v>26</v>
      </c>
      <c r="C993" t="s">
        <v>40</v>
      </c>
      <c r="D993" t="s">
        <v>60</v>
      </c>
      <c r="E993">
        <v>1142559</v>
      </c>
      <c r="F993">
        <v>40640</v>
      </c>
      <c r="G993" t="s">
        <v>66</v>
      </c>
      <c r="I993" t="s">
        <v>70</v>
      </c>
      <c r="J993" t="s">
        <v>81</v>
      </c>
      <c r="K993" t="s">
        <v>98</v>
      </c>
      <c r="L993" t="s">
        <v>123</v>
      </c>
      <c r="M993">
        <v>7</v>
      </c>
      <c r="N993">
        <v>4</v>
      </c>
      <c r="O993" t="s">
        <v>148</v>
      </c>
      <c r="P993" t="s">
        <v>155</v>
      </c>
      <c r="Q993" t="s">
        <v>224</v>
      </c>
    </row>
    <row r="994" spans="1:17" x14ac:dyDescent="0.25">
      <c r="A994" t="s">
        <v>19</v>
      </c>
      <c r="B994" t="s">
        <v>25</v>
      </c>
      <c r="C994" t="s">
        <v>49</v>
      </c>
      <c r="D994" t="s">
        <v>56</v>
      </c>
      <c r="E994">
        <v>89511</v>
      </c>
      <c r="F994">
        <v>6353</v>
      </c>
      <c r="G994" t="s">
        <v>64</v>
      </c>
      <c r="I994" t="s">
        <v>70</v>
      </c>
      <c r="J994" t="s">
        <v>79</v>
      </c>
      <c r="K994" t="s">
        <v>107</v>
      </c>
      <c r="L994" t="s">
        <v>134</v>
      </c>
      <c r="M994">
        <v>8</v>
      </c>
      <c r="N994">
        <v>7</v>
      </c>
      <c r="O994" t="s">
        <v>148</v>
      </c>
      <c r="P994" t="s">
        <v>155</v>
      </c>
      <c r="Q994" t="s">
        <v>443</v>
      </c>
    </row>
    <row r="995" spans="1:17" x14ac:dyDescent="0.25">
      <c r="A995" t="s">
        <v>17</v>
      </c>
      <c r="B995" t="s">
        <v>28</v>
      </c>
      <c r="C995" t="s">
        <v>51</v>
      </c>
      <c r="D995" t="s">
        <v>57</v>
      </c>
      <c r="E995">
        <v>676331</v>
      </c>
      <c r="F995">
        <v>62542</v>
      </c>
      <c r="G995" t="s">
        <v>66</v>
      </c>
      <c r="I995" t="s">
        <v>70</v>
      </c>
      <c r="J995" t="s">
        <v>81</v>
      </c>
      <c r="K995" t="s">
        <v>94</v>
      </c>
      <c r="L995" t="s">
        <v>129</v>
      </c>
      <c r="M995">
        <v>25</v>
      </c>
      <c r="N995">
        <v>23</v>
      </c>
      <c r="O995" t="s">
        <v>151</v>
      </c>
      <c r="P995" t="s">
        <v>155</v>
      </c>
      <c r="Q995" t="s">
        <v>173</v>
      </c>
    </row>
    <row r="996" spans="1:17" x14ac:dyDescent="0.25">
      <c r="A996" t="s">
        <v>20</v>
      </c>
      <c r="B996" t="s">
        <v>34</v>
      </c>
      <c r="C996" t="s">
        <v>49</v>
      </c>
      <c r="D996" t="s">
        <v>57</v>
      </c>
      <c r="E996">
        <v>118330</v>
      </c>
      <c r="F996">
        <v>2224</v>
      </c>
      <c r="G996" t="s">
        <v>65</v>
      </c>
      <c r="J996" t="s">
        <v>76</v>
      </c>
      <c r="K996" t="s">
        <v>92</v>
      </c>
      <c r="L996" t="s">
        <v>119</v>
      </c>
      <c r="M996">
        <v>5</v>
      </c>
      <c r="N996">
        <v>5</v>
      </c>
      <c r="O996" t="s">
        <v>152</v>
      </c>
      <c r="P996" t="s">
        <v>154</v>
      </c>
      <c r="Q996" t="s">
        <v>318</v>
      </c>
    </row>
    <row r="997" spans="1:17" x14ac:dyDescent="0.25">
      <c r="A997" t="s">
        <v>19</v>
      </c>
      <c r="B997" t="s">
        <v>25</v>
      </c>
      <c r="C997" t="s">
        <v>46</v>
      </c>
      <c r="D997" t="s">
        <v>56</v>
      </c>
      <c r="E997">
        <v>1391977</v>
      </c>
      <c r="F997">
        <v>0</v>
      </c>
      <c r="G997" t="s">
        <v>66</v>
      </c>
      <c r="J997" t="s">
        <v>72</v>
      </c>
      <c r="K997" t="s">
        <v>95</v>
      </c>
      <c r="L997" t="s">
        <v>120</v>
      </c>
      <c r="M997">
        <v>5</v>
      </c>
      <c r="N997">
        <v>4</v>
      </c>
      <c r="O997" t="s">
        <v>151</v>
      </c>
      <c r="P997" t="s">
        <v>155</v>
      </c>
      <c r="Q997" t="s">
        <v>174</v>
      </c>
    </row>
    <row r="998" spans="1:17" x14ac:dyDescent="0.25">
      <c r="A998" t="s">
        <v>21</v>
      </c>
      <c r="B998" t="s">
        <v>30</v>
      </c>
      <c r="C998" t="s">
        <v>36</v>
      </c>
      <c r="D998" t="s">
        <v>62</v>
      </c>
      <c r="E998">
        <v>597222</v>
      </c>
      <c r="F998">
        <v>33818</v>
      </c>
      <c r="G998" t="s">
        <v>66</v>
      </c>
      <c r="J998" t="s">
        <v>74</v>
      </c>
      <c r="K998" t="s">
        <v>84</v>
      </c>
      <c r="L998" t="s">
        <v>74</v>
      </c>
      <c r="M998">
        <v>18</v>
      </c>
      <c r="N998">
        <v>15</v>
      </c>
      <c r="O998" t="s">
        <v>153</v>
      </c>
      <c r="P998" t="s">
        <v>157</v>
      </c>
      <c r="Q998" t="s">
        <v>215</v>
      </c>
    </row>
    <row r="999" spans="1:17" x14ac:dyDescent="0.25">
      <c r="A999" t="s">
        <v>21</v>
      </c>
      <c r="B999" t="s">
        <v>32</v>
      </c>
      <c r="C999" t="s">
        <v>45</v>
      </c>
      <c r="D999" t="s">
        <v>57</v>
      </c>
      <c r="E999">
        <v>134373</v>
      </c>
      <c r="F999">
        <v>19198</v>
      </c>
      <c r="G999" t="s">
        <v>65</v>
      </c>
      <c r="I999" t="s">
        <v>70</v>
      </c>
      <c r="J999" t="s">
        <v>80</v>
      </c>
      <c r="K999" t="s">
        <v>106</v>
      </c>
      <c r="L999" t="s">
        <v>106</v>
      </c>
      <c r="M999">
        <v>9</v>
      </c>
      <c r="N999">
        <v>7</v>
      </c>
      <c r="O999" t="s">
        <v>148</v>
      </c>
      <c r="P999" t="s">
        <v>154</v>
      </c>
      <c r="Q999" t="s">
        <v>188</v>
      </c>
    </row>
    <row r="1000" spans="1:17" x14ac:dyDescent="0.25">
      <c r="A1000" t="s">
        <v>17</v>
      </c>
      <c r="B1000" t="s">
        <v>27</v>
      </c>
      <c r="C1000" t="s">
        <v>48</v>
      </c>
      <c r="D1000" t="s">
        <v>61</v>
      </c>
      <c r="E1000">
        <v>86412</v>
      </c>
      <c r="F1000">
        <v>0</v>
      </c>
      <c r="G1000" t="s">
        <v>63</v>
      </c>
      <c r="I1000" t="s">
        <v>69</v>
      </c>
      <c r="J1000" t="s">
        <v>72</v>
      </c>
      <c r="K1000" t="s">
        <v>82</v>
      </c>
      <c r="L1000" t="s">
        <v>112</v>
      </c>
      <c r="M1000">
        <v>15</v>
      </c>
      <c r="N1000">
        <v>14</v>
      </c>
      <c r="O1000" t="s">
        <v>149</v>
      </c>
      <c r="P1000" t="s">
        <v>154</v>
      </c>
      <c r="Q1000" t="s">
        <v>173</v>
      </c>
    </row>
    <row r="1001" spans="1:17" x14ac:dyDescent="0.25">
      <c r="A1001" t="s">
        <v>21</v>
      </c>
      <c r="B1001" t="s">
        <v>22</v>
      </c>
      <c r="C1001" t="s">
        <v>46</v>
      </c>
      <c r="D1001" t="s">
        <v>56</v>
      </c>
      <c r="E1001">
        <v>581256</v>
      </c>
      <c r="F1001">
        <v>73215</v>
      </c>
      <c r="G1001" t="s">
        <v>66</v>
      </c>
      <c r="I1001" t="s">
        <v>69</v>
      </c>
      <c r="J1001" t="s">
        <v>80</v>
      </c>
      <c r="K1001" t="s">
        <v>93</v>
      </c>
      <c r="L1001" t="s">
        <v>93</v>
      </c>
      <c r="M1001">
        <v>15</v>
      </c>
      <c r="N1001">
        <v>15</v>
      </c>
      <c r="O1001" t="s">
        <v>150</v>
      </c>
      <c r="P1001" t="s">
        <v>156</v>
      </c>
      <c r="Q1001" t="s">
        <v>444</v>
      </c>
    </row>
    <row r="1002" spans="1:17" x14ac:dyDescent="0.25">
      <c r="A1002" t="s">
        <v>19</v>
      </c>
      <c r="B1002" t="s">
        <v>34</v>
      </c>
      <c r="C1002" t="s">
        <v>46</v>
      </c>
      <c r="D1002" t="s">
        <v>58</v>
      </c>
      <c r="E1002">
        <v>33480</v>
      </c>
      <c r="F1002">
        <v>747</v>
      </c>
      <c r="G1002" t="s">
        <v>65</v>
      </c>
      <c r="I1002" t="s">
        <v>56</v>
      </c>
      <c r="J1002" t="s">
        <v>77</v>
      </c>
      <c r="K1002" t="s">
        <v>87</v>
      </c>
      <c r="L1002" t="s">
        <v>144</v>
      </c>
      <c r="M1002">
        <v>4</v>
      </c>
      <c r="N1002">
        <v>4</v>
      </c>
      <c r="O1002" t="s">
        <v>150</v>
      </c>
      <c r="P1002" t="s">
        <v>156</v>
      </c>
      <c r="Q1002" t="s">
        <v>445</v>
      </c>
    </row>
    <row r="1003" spans="1:17" x14ac:dyDescent="0.25">
      <c r="A1003" t="s">
        <v>17</v>
      </c>
      <c r="B1003" t="s">
        <v>25</v>
      </c>
      <c r="C1003" t="s">
        <v>39</v>
      </c>
      <c r="D1003" t="s">
        <v>55</v>
      </c>
      <c r="E1003">
        <v>582630</v>
      </c>
      <c r="F1003">
        <v>79453</v>
      </c>
      <c r="G1003" t="s">
        <v>66</v>
      </c>
      <c r="I1003" t="s">
        <v>56</v>
      </c>
      <c r="J1003" t="s">
        <v>79</v>
      </c>
      <c r="K1003" t="s">
        <v>107</v>
      </c>
      <c r="L1003" t="s">
        <v>134</v>
      </c>
      <c r="M1003">
        <v>15</v>
      </c>
      <c r="N1003">
        <v>15</v>
      </c>
      <c r="O1003" t="s">
        <v>151</v>
      </c>
      <c r="P1003" t="s">
        <v>155</v>
      </c>
      <c r="Q1003" t="s">
        <v>175</v>
      </c>
    </row>
    <row r="1004" spans="1:17" x14ac:dyDescent="0.25">
      <c r="A1004" t="s">
        <v>19</v>
      </c>
      <c r="B1004" t="s">
        <v>35</v>
      </c>
      <c r="C1004" t="s">
        <v>48</v>
      </c>
      <c r="D1004" t="s">
        <v>55</v>
      </c>
      <c r="E1004">
        <v>56051</v>
      </c>
      <c r="F1004">
        <v>2761</v>
      </c>
      <c r="G1004" t="s">
        <v>65</v>
      </c>
      <c r="I1004" t="s">
        <v>71</v>
      </c>
      <c r="J1004" t="s">
        <v>72</v>
      </c>
      <c r="K1004" t="s">
        <v>95</v>
      </c>
      <c r="L1004" t="s">
        <v>120</v>
      </c>
      <c r="M1004">
        <v>5</v>
      </c>
      <c r="N1004">
        <v>5</v>
      </c>
      <c r="O1004" t="s">
        <v>151</v>
      </c>
      <c r="P1004" t="s">
        <v>154</v>
      </c>
      <c r="Q1004" t="s">
        <v>230</v>
      </c>
    </row>
    <row r="1005" spans="1:17" x14ac:dyDescent="0.25">
      <c r="A1005" t="s">
        <v>21</v>
      </c>
      <c r="B1005" t="s">
        <v>23</v>
      </c>
      <c r="C1005" t="s">
        <v>50</v>
      </c>
      <c r="D1005" t="s">
        <v>57</v>
      </c>
      <c r="E1005">
        <v>77962</v>
      </c>
      <c r="F1005">
        <v>9902</v>
      </c>
      <c r="G1005" t="s">
        <v>64</v>
      </c>
      <c r="I1005" t="s">
        <v>71</v>
      </c>
      <c r="J1005" t="s">
        <v>79</v>
      </c>
      <c r="K1005" t="s">
        <v>91</v>
      </c>
      <c r="L1005" t="s">
        <v>118</v>
      </c>
      <c r="M1005">
        <v>12</v>
      </c>
      <c r="N1005">
        <v>12</v>
      </c>
      <c r="O1005" t="s">
        <v>152</v>
      </c>
      <c r="P1005" t="s">
        <v>155</v>
      </c>
      <c r="Q1005" t="s">
        <v>166</v>
      </c>
    </row>
    <row r="1006" spans="1:17" x14ac:dyDescent="0.25">
      <c r="A1006" t="s">
        <v>20</v>
      </c>
      <c r="B1006" t="s">
        <v>31</v>
      </c>
      <c r="C1006" t="s">
        <v>46</v>
      </c>
      <c r="D1006" t="s">
        <v>58</v>
      </c>
      <c r="E1006">
        <v>148045</v>
      </c>
      <c r="F1006">
        <v>3358</v>
      </c>
      <c r="G1006" t="s">
        <v>67</v>
      </c>
      <c r="J1006" t="s">
        <v>74</v>
      </c>
      <c r="K1006" t="s">
        <v>84</v>
      </c>
      <c r="L1006" t="s">
        <v>74</v>
      </c>
      <c r="M1006">
        <v>6</v>
      </c>
      <c r="N1006">
        <v>5</v>
      </c>
      <c r="O1006" t="s">
        <v>152</v>
      </c>
      <c r="P1006" t="s">
        <v>154</v>
      </c>
      <c r="Q1006" t="s">
        <v>188</v>
      </c>
    </row>
    <row r="1007" spans="1:17" x14ac:dyDescent="0.25">
      <c r="A1007" t="s">
        <v>20</v>
      </c>
      <c r="B1007" t="s">
        <v>34</v>
      </c>
      <c r="C1007" t="s">
        <v>46</v>
      </c>
      <c r="D1007" t="s">
        <v>59</v>
      </c>
      <c r="E1007">
        <v>89862</v>
      </c>
      <c r="F1007">
        <v>0</v>
      </c>
      <c r="G1007" t="s">
        <v>65</v>
      </c>
      <c r="I1007" t="s">
        <v>70</v>
      </c>
      <c r="J1007" t="s">
        <v>81</v>
      </c>
      <c r="K1007" t="s">
        <v>101</v>
      </c>
      <c r="L1007" t="s">
        <v>127</v>
      </c>
      <c r="M1007">
        <v>4</v>
      </c>
      <c r="N1007">
        <v>4</v>
      </c>
      <c r="O1007" t="s">
        <v>149</v>
      </c>
      <c r="P1007" t="s">
        <v>157</v>
      </c>
      <c r="Q1007" t="s">
        <v>446</v>
      </c>
    </row>
    <row r="1008" spans="1:17" x14ac:dyDescent="0.25">
      <c r="A1008" t="s">
        <v>17</v>
      </c>
      <c r="B1008" t="s">
        <v>34</v>
      </c>
      <c r="C1008" t="s">
        <v>42</v>
      </c>
      <c r="D1008" t="s">
        <v>60</v>
      </c>
      <c r="E1008">
        <v>48390</v>
      </c>
      <c r="F1008">
        <v>5062</v>
      </c>
      <c r="G1008" t="s">
        <v>68</v>
      </c>
      <c r="I1008" t="s">
        <v>69</v>
      </c>
      <c r="J1008" t="s">
        <v>72</v>
      </c>
      <c r="K1008" t="s">
        <v>82</v>
      </c>
      <c r="L1008" t="s">
        <v>112</v>
      </c>
      <c r="M1008">
        <v>10</v>
      </c>
      <c r="N1008">
        <v>10</v>
      </c>
      <c r="O1008" t="s">
        <v>152</v>
      </c>
      <c r="P1008" t="s">
        <v>157</v>
      </c>
      <c r="Q1008" t="s">
        <v>189</v>
      </c>
    </row>
    <row r="1009" spans="1:17" x14ac:dyDescent="0.25">
      <c r="A1009" t="s">
        <v>19</v>
      </c>
      <c r="B1009" t="s">
        <v>25</v>
      </c>
      <c r="C1009" t="s">
        <v>52</v>
      </c>
      <c r="E1009">
        <v>89510</v>
      </c>
      <c r="F1009">
        <v>14596</v>
      </c>
      <c r="G1009" t="s">
        <v>67</v>
      </c>
      <c r="I1009" t="s">
        <v>70</v>
      </c>
      <c r="J1009" t="s">
        <v>73</v>
      </c>
      <c r="K1009" t="s">
        <v>102</v>
      </c>
      <c r="L1009" t="s">
        <v>102</v>
      </c>
      <c r="M1009">
        <v>4</v>
      </c>
      <c r="N1009">
        <v>4</v>
      </c>
      <c r="O1009" t="s">
        <v>148</v>
      </c>
      <c r="P1009" t="s">
        <v>157</v>
      </c>
      <c r="Q1009" t="s">
        <v>284</v>
      </c>
    </row>
    <row r="1010" spans="1:17" x14ac:dyDescent="0.25">
      <c r="A1010" t="s">
        <v>17</v>
      </c>
      <c r="B1010" t="s">
        <v>29</v>
      </c>
      <c r="C1010" t="s">
        <v>52</v>
      </c>
      <c r="D1010" t="s">
        <v>58</v>
      </c>
      <c r="E1010">
        <v>60541</v>
      </c>
      <c r="F1010">
        <v>0</v>
      </c>
      <c r="G1010" t="s">
        <v>63</v>
      </c>
      <c r="I1010" t="s">
        <v>71</v>
      </c>
      <c r="J1010" t="s">
        <v>74</v>
      </c>
      <c r="K1010" t="s">
        <v>84</v>
      </c>
      <c r="L1010" t="s">
        <v>74</v>
      </c>
      <c r="M1010">
        <v>9</v>
      </c>
      <c r="N1010">
        <v>6</v>
      </c>
      <c r="O1010" t="s">
        <v>151</v>
      </c>
      <c r="P1010" t="s">
        <v>157</v>
      </c>
      <c r="Q1010" t="s">
        <v>166</v>
      </c>
    </row>
    <row r="1011" spans="1:17" x14ac:dyDescent="0.25">
      <c r="A1011" t="s">
        <v>20</v>
      </c>
      <c r="B1011" t="s">
        <v>27</v>
      </c>
      <c r="C1011" t="s">
        <v>40</v>
      </c>
      <c r="D1011" t="s">
        <v>55</v>
      </c>
      <c r="E1011">
        <v>83425</v>
      </c>
      <c r="F1011">
        <v>14780</v>
      </c>
      <c r="G1011" t="s">
        <v>68</v>
      </c>
      <c r="I1011" t="s">
        <v>71</v>
      </c>
      <c r="J1011" t="s">
        <v>79</v>
      </c>
      <c r="K1011" t="s">
        <v>91</v>
      </c>
      <c r="L1011" t="s">
        <v>118</v>
      </c>
      <c r="M1011">
        <v>3</v>
      </c>
      <c r="N1011">
        <v>0</v>
      </c>
      <c r="O1011" t="s">
        <v>153</v>
      </c>
      <c r="P1011" t="s">
        <v>154</v>
      </c>
      <c r="Q1011" t="s">
        <v>212</v>
      </c>
    </row>
    <row r="1012" spans="1:17" x14ac:dyDescent="0.25">
      <c r="A1012" t="s">
        <v>21</v>
      </c>
      <c r="B1012" t="s">
        <v>26</v>
      </c>
      <c r="C1012" t="s">
        <v>47</v>
      </c>
      <c r="D1012" t="s">
        <v>60</v>
      </c>
      <c r="E1012">
        <v>42718</v>
      </c>
      <c r="F1012">
        <v>2889</v>
      </c>
      <c r="G1012" t="s">
        <v>63</v>
      </c>
      <c r="I1012" t="s">
        <v>71</v>
      </c>
      <c r="J1012" t="s">
        <v>78</v>
      </c>
      <c r="K1012" t="s">
        <v>104</v>
      </c>
      <c r="L1012" t="s">
        <v>131</v>
      </c>
      <c r="M1012">
        <v>9</v>
      </c>
      <c r="N1012">
        <v>9</v>
      </c>
      <c r="O1012" t="s">
        <v>150</v>
      </c>
      <c r="P1012" t="s">
        <v>154</v>
      </c>
      <c r="Q1012" t="s">
        <v>162</v>
      </c>
    </row>
    <row r="1013" spans="1:17" x14ac:dyDescent="0.25">
      <c r="A1013" t="s">
        <v>21</v>
      </c>
      <c r="B1013" t="s">
        <v>32</v>
      </c>
      <c r="C1013" t="s">
        <v>39</v>
      </c>
      <c r="D1013" t="s">
        <v>57</v>
      </c>
      <c r="E1013">
        <v>138372</v>
      </c>
      <c r="F1013">
        <v>1213</v>
      </c>
      <c r="G1013" t="s">
        <v>68</v>
      </c>
      <c r="J1013" t="s">
        <v>76</v>
      </c>
      <c r="K1013" t="s">
        <v>100</v>
      </c>
      <c r="L1013" t="s">
        <v>132</v>
      </c>
      <c r="M1013">
        <v>10</v>
      </c>
      <c r="N1013">
        <v>9</v>
      </c>
      <c r="O1013" t="s">
        <v>150</v>
      </c>
      <c r="P1013" t="s">
        <v>154</v>
      </c>
      <c r="Q1013" t="s">
        <v>172</v>
      </c>
    </row>
    <row r="1014" spans="1:17" x14ac:dyDescent="0.25">
      <c r="A1014" t="s">
        <v>20</v>
      </c>
      <c r="B1014" t="s">
        <v>23</v>
      </c>
      <c r="C1014" t="s">
        <v>53</v>
      </c>
      <c r="D1014" t="s">
        <v>56</v>
      </c>
      <c r="E1014">
        <v>128969</v>
      </c>
      <c r="F1014">
        <v>0</v>
      </c>
      <c r="G1014" t="s">
        <v>64</v>
      </c>
      <c r="I1014" t="s">
        <v>71</v>
      </c>
      <c r="J1014" t="s">
        <v>75</v>
      </c>
      <c r="K1014" t="s">
        <v>96</v>
      </c>
      <c r="L1014" t="s">
        <v>121</v>
      </c>
      <c r="M1014">
        <v>4</v>
      </c>
      <c r="N1014">
        <v>4</v>
      </c>
      <c r="O1014" t="s">
        <v>153</v>
      </c>
      <c r="P1014" t="s">
        <v>155</v>
      </c>
      <c r="Q1014" t="s">
        <v>447</v>
      </c>
    </row>
    <row r="1015" spans="1:17" x14ac:dyDescent="0.25">
      <c r="A1015" t="s">
        <v>17</v>
      </c>
      <c r="B1015" t="s">
        <v>35</v>
      </c>
      <c r="C1015" t="s">
        <v>40</v>
      </c>
      <c r="D1015" t="s">
        <v>54</v>
      </c>
      <c r="E1015">
        <v>64318</v>
      </c>
      <c r="F1015">
        <v>11576</v>
      </c>
      <c r="G1015" t="s">
        <v>65</v>
      </c>
      <c r="I1015" t="s">
        <v>69</v>
      </c>
      <c r="J1015" t="s">
        <v>79</v>
      </c>
      <c r="K1015" t="s">
        <v>107</v>
      </c>
      <c r="L1015" t="s">
        <v>134</v>
      </c>
      <c r="M1015">
        <v>10</v>
      </c>
      <c r="N1015">
        <v>10</v>
      </c>
      <c r="O1015" t="s">
        <v>148</v>
      </c>
      <c r="P1015" t="s">
        <v>155</v>
      </c>
      <c r="Q1015" t="s">
        <v>383</v>
      </c>
    </row>
    <row r="1016" spans="1:17" x14ac:dyDescent="0.25">
      <c r="A1016" t="s">
        <v>21</v>
      </c>
      <c r="B1016" t="s">
        <v>25</v>
      </c>
      <c r="C1016" t="s">
        <v>43</v>
      </c>
      <c r="D1016" t="s">
        <v>60</v>
      </c>
      <c r="E1016">
        <v>126141</v>
      </c>
      <c r="F1016">
        <v>6696</v>
      </c>
      <c r="G1016" t="s">
        <v>65</v>
      </c>
      <c r="J1016" t="s">
        <v>73</v>
      </c>
      <c r="K1016" t="s">
        <v>83</v>
      </c>
      <c r="L1016" t="s">
        <v>113</v>
      </c>
      <c r="M1016">
        <v>8</v>
      </c>
      <c r="N1016">
        <v>8</v>
      </c>
      <c r="O1016" t="s">
        <v>148</v>
      </c>
      <c r="P1016" t="s">
        <v>154</v>
      </c>
      <c r="Q1016" t="s">
        <v>224</v>
      </c>
    </row>
    <row r="1017" spans="1:17" x14ac:dyDescent="0.25">
      <c r="A1017" t="s">
        <v>21</v>
      </c>
      <c r="B1017" t="s">
        <v>26</v>
      </c>
      <c r="C1017" t="s">
        <v>43</v>
      </c>
      <c r="D1017" t="s">
        <v>60</v>
      </c>
      <c r="E1017">
        <v>136585</v>
      </c>
      <c r="F1017">
        <v>24949</v>
      </c>
      <c r="G1017" t="s">
        <v>65</v>
      </c>
      <c r="J1017" t="s">
        <v>77</v>
      </c>
      <c r="K1017" t="s">
        <v>87</v>
      </c>
      <c r="L1017" t="s">
        <v>144</v>
      </c>
      <c r="M1017">
        <v>18</v>
      </c>
      <c r="N1017">
        <v>18</v>
      </c>
      <c r="O1017" t="s">
        <v>150</v>
      </c>
      <c r="P1017" t="s">
        <v>154</v>
      </c>
      <c r="Q1017" t="s">
        <v>189</v>
      </c>
    </row>
    <row r="1018" spans="1:17" x14ac:dyDescent="0.25">
      <c r="A1018" t="s">
        <v>20</v>
      </c>
      <c r="B1018" t="s">
        <v>27</v>
      </c>
      <c r="C1018" t="s">
        <v>37</v>
      </c>
      <c r="D1018" t="s">
        <v>61</v>
      </c>
      <c r="E1018">
        <v>108238</v>
      </c>
      <c r="F1018">
        <v>3879</v>
      </c>
      <c r="G1018" t="s">
        <v>68</v>
      </c>
      <c r="I1018" t="s">
        <v>70</v>
      </c>
      <c r="J1018" t="s">
        <v>80</v>
      </c>
      <c r="K1018" t="s">
        <v>93</v>
      </c>
      <c r="L1018" t="s">
        <v>93</v>
      </c>
      <c r="M1018">
        <v>3</v>
      </c>
      <c r="N1018">
        <v>2</v>
      </c>
      <c r="O1018" t="s">
        <v>149</v>
      </c>
      <c r="P1018" t="s">
        <v>157</v>
      </c>
      <c r="Q1018" t="s">
        <v>213</v>
      </c>
    </row>
    <row r="1019" spans="1:17" x14ac:dyDescent="0.25">
      <c r="A1019" t="s">
        <v>19</v>
      </c>
      <c r="B1019" t="s">
        <v>34</v>
      </c>
      <c r="C1019" t="s">
        <v>50</v>
      </c>
      <c r="D1019" t="s">
        <v>58</v>
      </c>
      <c r="E1019">
        <v>71087</v>
      </c>
      <c r="F1019">
        <v>0</v>
      </c>
      <c r="G1019" t="s">
        <v>68</v>
      </c>
      <c r="I1019" t="s">
        <v>70</v>
      </c>
      <c r="J1019" t="s">
        <v>77</v>
      </c>
      <c r="K1019" t="s">
        <v>110</v>
      </c>
      <c r="L1019" t="s">
        <v>145</v>
      </c>
      <c r="M1019">
        <v>8</v>
      </c>
      <c r="N1019">
        <v>6</v>
      </c>
      <c r="O1019" t="s">
        <v>149</v>
      </c>
      <c r="P1019" t="s">
        <v>155</v>
      </c>
      <c r="Q1019" t="s">
        <v>448</v>
      </c>
    </row>
    <row r="1020" spans="1:17" x14ac:dyDescent="0.25">
      <c r="A1020" t="s">
        <v>19</v>
      </c>
      <c r="B1020" t="s">
        <v>34</v>
      </c>
      <c r="C1020" t="s">
        <v>41</v>
      </c>
      <c r="D1020" t="s">
        <v>59</v>
      </c>
      <c r="E1020">
        <v>87222</v>
      </c>
      <c r="F1020">
        <v>425</v>
      </c>
      <c r="G1020" t="s">
        <v>64</v>
      </c>
      <c r="I1020" t="s">
        <v>71</v>
      </c>
      <c r="J1020" t="s">
        <v>72</v>
      </c>
      <c r="K1020" t="s">
        <v>82</v>
      </c>
      <c r="L1020" t="s">
        <v>112</v>
      </c>
      <c r="M1020">
        <v>20</v>
      </c>
      <c r="N1020">
        <v>19</v>
      </c>
      <c r="O1020" t="s">
        <v>149</v>
      </c>
      <c r="P1020" t="s">
        <v>156</v>
      </c>
      <c r="Q1020" t="s">
        <v>181</v>
      </c>
    </row>
    <row r="1021" spans="1:17" x14ac:dyDescent="0.25">
      <c r="A1021" t="s">
        <v>21</v>
      </c>
      <c r="B1021" t="s">
        <v>33</v>
      </c>
      <c r="C1021" t="s">
        <v>43</v>
      </c>
      <c r="D1021" t="s">
        <v>54</v>
      </c>
      <c r="E1021">
        <v>74718</v>
      </c>
      <c r="F1021">
        <v>14711</v>
      </c>
      <c r="G1021" t="s">
        <v>64</v>
      </c>
      <c r="I1021" t="s">
        <v>69</v>
      </c>
      <c r="J1021" t="s">
        <v>76</v>
      </c>
      <c r="K1021" t="s">
        <v>86</v>
      </c>
      <c r="L1021" t="s">
        <v>115</v>
      </c>
      <c r="M1021">
        <v>20</v>
      </c>
      <c r="N1021">
        <v>20</v>
      </c>
      <c r="O1021" t="s">
        <v>151</v>
      </c>
      <c r="P1021" t="s">
        <v>156</v>
      </c>
      <c r="Q1021" t="s">
        <v>188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C0B3-3DB2-4D37-9917-D6DAC11C0852}">
  <dimension ref="A1:V990"/>
  <sheetViews>
    <sheetView topLeftCell="M230" workbookViewId="0">
      <selection activeCell="R1" sqref="R1:R1048576"/>
    </sheetView>
  </sheetViews>
  <sheetFormatPr defaultRowHeight="13.8" x14ac:dyDescent="0.25"/>
  <cols>
    <col min="1" max="1" width="12" customWidth="1"/>
    <col min="2" max="2" width="20.69921875" customWidth="1"/>
    <col min="3" max="3" width="18.5" customWidth="1"/>
    <col min="4" max="4" width="22.8984375" customWidth="1"/>
    <col min="5" max="5" width="14.69921875" style="2" customWidth="1"/>
    <col min="6" max="6" width="33.796875" style="2" customWidth="1"/>
    <col min="7" max="7" width="10.69921875" customWidth="1"/>
    <col min="8" max="8" width="20.09765625" customWidth="1"/>
    <col min="9" max="9" width="13.8984375" customWidth="1"/>
    <col min="10" max="10" width="23.796875" customWidth="1"/>
    <col min="11" max="11" width="12.3984375" customWidth="1"/>
    <col min="12" max="13" width="37" customWidth="1"/>
    <col min="14" max="14" width="35.5" customWidth="1"/>
    <col min="15" max="15" width="14.59765625" customWidth="1"/>
    <col min="16" max="16" width="10.3984375" customWidth="1"/>
    <col min="17" max="17" width="15.5" customWidth="1"/>
    <col min="18" max="18" width="12.796875" style="9" customWidth="1"/>
    <col min="19" max="19" width="8.8984375" customWidth="1"/>
    <col min="21" max="21" width="12.59765625" customWidth="1"/>
    <col min="22" max="22" width="8.8984375" customWidth="1"/>
  </cols>
  <sheetData>
    <row r="1" spans="1:22" x14ac:dyDescent="0.25">
      <c r="A1" t="s">
        <v>0</v>
      </c>
      <c r="B1" t="s">
        <v>1</v>
      </c>
      <c r="C1" t="s">
        <v>2</v>
      </c>
      <c r="D1" t="s">
        <v>3</v>
      </c>
      <c r="E1" s="2" t="s">
        <v>4</v>
      </c>
      <c r="F1" s="2" t="s">
        <v>5</v>
      </c>
      <c r="G1" t="s">
        <v>6</v>
      </c>
      <c r="H1" t="s">
        <v>8</v>
      </c>
      <c r="I1" t="s">
        <v>9</v>
      </c>
      <c r="J1" t="s">
        <v>10</v>
      </c>
      <c r="K1" t="s">
        <v>11</v>
      </c>
      <c r="L1" t="s">
        <v>12</v>
      </c>
      <c r="M1" t="s">
        <v>13</v>
      </c>
      <c r="N1" t="s">
        <v>14</v>
      </c>
      <c r="O1" t="s">
        <v>15</v>
      </c>
      <c r="P1" t="s">
        <v>16</v>
      </c>
      <c r="Q1" t="s">
        <v>449</v>
      </c>
      <c r="R1" s="9" t="s">
        <v>450</v>
      </c>
      <c r="S1" t="s">
        <v>458</v>
      </c>
    </row>
    <row r="2" spans="1:22" x14ac:dyDescent="0.25">
      <c r="A2" t="s">
        <v>17</v>
      </c>
      <c r="B2" t="s">
        <v>22</v>
      </c>
      <c r="C2" t="s">
        <v>36</v>
      </c>
      <c r="D2" t="s">
        <v>54</v>
      </c>
      <c r="E2" s="2">
        <v>87117</v>
      </c>
      <c r="F2" s="2">
        <v>2983</v>
      </c>
      <c r="G2" t="s">
        <v>63</v>
      </c>
      <c r="H2" t="s">
        <v>69</v>
      </c>
      <c r="I2" t="s">
        <v>72</v>
      </c>
      <c r="J2" t="s">
        <v>82</v>
      </c>
      <c r="K2" t="s">
        <v>112</v>
      </c>
      <c r="L2">
        <v>8</v>
      </c>
      <c r="M2">
        <v>8</v>
      </c>
      <c r="N2" t="s">
        <v>148</v>
      </c>
      <c r="O2" t="s">
        <v>154</v>
      </c>
      <c r="P2" t="s">
        <v>158</v>
      </c>
      <c r="Q2">
        <v>1.1000000000000001</v>
      </c>
      <c r="R2" s="9">
        <v>95828.700000000012</v>
      </c>
      <c r="S2" t="str">
        <f>IF(OR(Sheet1[[#This Row],[Salary_USD]]&lt;$V$13,Sheet1[[#This Row],[Salary_USD]]&gt;$V$12),"Outlier","Normal")</f>
        <v>Normal</v>
      </c>
    </row>
    <row r="3" spans="1:22" x14ac:dyDescent="0.25">
      <c r="A3" t="s">
        <v>18</v>
      </c>
      <c r="B3" t="s">
        <v>23</v>
      </c>
      <c r="C3" t="s">
        <v>37</v>
      </c>
      <c r="D3" t="s">
        <v>55</v>
      </c>
      <c r="E3" s="2">
        <v>111088</v>
      </c>
      <c r="F3" s="2">
        <v>1346</v>
      </c>
      <c r="G3" t="s">
        <v>64</v>
      </c>
      <c r="H3" t="s">
        <v>56</v>
      </c>
      <c r="I3" t="s">
        <v>73</v>
      </c>
      <c r="J3" t="s">
        <v>83</v>
      </c>
      <c r="K3" t="s">
        <v>113</v>
      </c>
      <c r="L3">
        <v>1</v>
      </c>
      <c r="M3">
        <v>1</v>
      </c>
      <c r="N3" t="s">
        <v>149</v>
      </c>
      <c r="O3" t="s">
        <v>155</v>
      </c>
      <c r="P3" t="s">
        <v>159</v>
      </c>
      <c r="Q3">
        <v>0.65</v>
      </c>
      <c r="R3" s="9">
        <v>72207.199999999997</v>
      </c>
      <c r="S3" t="str">
        <f>IF(OR(Sheet1[[#This Row],[Salary_USD]]&lt;$V$13,Sheet1[[#This Row],[Salary_USD]]&gt;$V$12),"Outlier","Normal")</f>
        <v>Normal</v>
      </c>
    </row>
    <row r="4" spans="1:22" x14ac:dyDescent="0.25">
      <c r="A4" t="s">
        <v>17</v>
      </c>
      <c r="B4" t="s">
        <v>24</v>
      </c>
      <c r="C4" t="s">
        <v>38</v>
      </c>
      <c r="D4" t="s">
        <v>56</v>
      </c>
      <c r="E4" s="2">
        <v>31173</v>
      </c>
      <c r="F4" s="2">
        <v>5738</v>
      </c>
      <c r="G4" t="s">
        <v>65</v>
      </c>
      <c r="H4" t="s">
        <v>70</v>
      </c>
      <c r="I4" t="s">
        <v>74</v>
      </c>
      <c r="J4" t="s">
        <v>84</v>
      </c>
      <c r="K4" t="s">
        <v>74</v>
      </c>
      <c r="L4">
        <v>15</v>
      </c>
      <c r="M4">
        <v>14</v>
      </c>
      <c r="N4" t="s">
        <v>150</v>
      </c>
      <c r="O4" t="s">
        <v>156</v>
      </c>
      <c r="P4" t="s">
        <v>160</v>
      </c>
      <c r="Q4">
        <v>0.73</v>
      </c>
      <c r="R4" s="9">
        <v>22756.29</v>
      </c>
      <c r="S4" t="str">
        <f>IF(OR(Sheet1[[#This Row],[Salary_USD]]&lt;$V$13,Sheet1[[#This Row],[Salary_USD]]&gt;$V$12),"Outlier","Normal")</f>
        <v>Normal</v>
      </c>
    </row>
    <row r="5" spans="1:22" x14ac:dyDescent="0.25">
      <c r="A5" t="s">
        <v>19</v>
      </c>
      <c r="B5" t="s">
        <v>35</v>
      </c>
      <c r="C5" t="s">
        <v>38</v>
      </c>
      <c r="D5" t="s">
        <v>451</v>
      </c>
      <c r="E5" s="2">
        <v>1540911</v>
      </c>
      <c r="F5" s="2">
        <v>141287</v>
      </c>
      <c r="G5" t="s">
        <v>66</v>
      </c>
      <c r="H5" t="s">
        <v>70</v>
      </c>
      <c r="I5" t="s">
        <v>75</v>
      </c>
      <c r="J5" t="s">
        <v>85</v>
      </c>
      <c r="K5" t="s">
        <v>114</v>
      </c>
      <c r="L5">
        <v>2</v>
      </c>
      <c r="M5">
        <v>1</v>
      </c>
      <c r="N5" t="s">
        <v>149</v>
      </c>
      <c r="O5" t="s">
        <v>155</v>
      </c>
      <c r="P5" t="s">
        <v>161</v>
      </c>
      <c r="Q5">
        <v>1.2E-2</v>
      </c>
      <c r="R5" s="9">
        <v>18490.932000000001</v>
      </c>
      <c r="S5" t="str">
        <f>IF(OR(Sheet1[[#This Row],[Salary_USD]]&lt;$V$13,Sheet1[[#This Row],[Salary_USD]]&gt;$V$12),"Outlier","Normal")</f>
        <v>Normal</v>
      </c>
      <c r="U5" s="10" t="s">
        <v>459</v>
      </c>
      <c r="V5" s="10"/>
    </row>
    <row r="6" spans="1:22" x14ac:dyDescent="0.25">
      <c r="A6" t="s">
        <v>20</v>
      </c>
      <c r="B6" t="s">
        <v>26</v>
      </c>
      <c r="C6" t="s">
        <v>39</v>
      </c>
      <c r="D6" t="s">
        <v>57</v>
      </c>
      <c r="E6" s="2">
        <v>94375</v>
      </c>
      <c r="F6" s="2">
        <v>6989</v>
      </c>
      <c r="G6" t="s">
        <v>67</v>
      </c>
      <c r="H6" t="s">
        <v>71</v>
      </c>
      <c r="I6" t="s">
        <v>76</v>
      </c>
      <c r="J6" t="s">
        <v>86</v>
      </c>
      <c r="K6" t="s">
        <v>115</v>
      </c>
      <c r="L6">
        <v>6</v>
      </c>
      <c r="M6">
        <v>3</v>
      </c>
      <c r="N6" t="s">
        <v>151</v>
      </c>
      <c r="O6" t="s">
        <v>154</v>
      </c>
      <c r="P6" t="s">
        <v>162</v>
      </c>
      <c r="Q6">
        <v>1</v>
      </c>
      <c r="R6" s="9">
        <v>94375</v>
      </c>
      <c r="S6" t="str">
        <f>IF(OR(Sheet1[[#This Row],[Salary_USD]]&lt;$V$13,Sheet1[[#This Row],[Salary_USD]]&gt;$V$12),"Outlier","Normal")</f>
        <v>Normal</v>
      </c>
      <c r="U6" s="3" t="s">
        <v>453</v>
      </c>
      <c r="V6" s="3">
        <f xml:space="preserve"> _xlfn.QUARTILE.INC(R:R,1)</f>
        <v>23986.600000000002</v>
      </c>
    </row>
    <row r="7" spans="1:22" x14ac:dyDescent="0.25">
      <c r="A7" t="s">
        <v>19</v>
      </c>
      <c r="B7" t="s">
        <v>35</v>
      </c>
      <c r="C7" t="s">
        <v>40</v>
      </c>
      <c r="D7" t="s">
        <v>54</v>
      </c>
      <c r="E7" s="2">
        <v>92446</v>
      </c>
      <c r="F7" s="2">
        <v>12875</v>
      </c>
      <c r="G7" t="s">
        <v>64</v>
      </c>
      <c r="H7" t="s">
        <v>69</v>
      </c>
      <c r="I7" t="s">
        <v>77</v>
      </c>
      <c r="J7" t="s">
        <v>87</v>
      </c>
      <c r="K7" t="s">
        <v>116</v>
      </c>
      <c r="L7">
        <v>20</v>
      </c>
      <c r="M7">
        <v>20</v>
      </c>
      <c r="N7" t="s">
        <v>151</v>
      </c>
      <c r="O7" t="s">
        <v>155</v>
      </c>
      <c r="P7" t="s">
        <v>163</v>
      </c>
      <c r="Q7">
        <v>0.65</v>
      </c>
      <c r="R7" s="9">
        <v>60089.9</v>
      </c>
      <c r="S7" t="str">
        <f>IF(OR(Sheet1[[#This Row],[Salary_USD]]&lt;$V$13,Sheet1[[#This Row],[Salary_USD]]&gt;$V$12),"Outlier","Normal")</f>
        <v>Normal</v>
      </c>
      <c r="U7" s="3" t="s">
        <v>454</v>
      </c>
      <c r="V7" s="3">
        <f>_xlfn.QUARTILE.INC(R:R,3)</f>
        <v>83157.8</v>
      </c>
    </row>
    <row r="8" spans="1:22" x14ac:dyDescent="0.25">
      <c r="A8" t="s">
        <v>20</v>
      </c>
      <c r="B8" t="s">
        <v>28</v>
      </c>
      <c r="C8" t="s">
        <v>40</v>
      </c>
      <c r="D8" t="s">
        <v>58</v>
      </c>
      <c r="E8" s="2">
        <v>30865</v>
      </c>
      <c r="F8" s="2">
        <v>569</v>
      </c>
      <c r="G8" t="s">
        <v>63</v>
      </c>
      <c r="H8" t="s">
        <v>70</v>
      </c>
      <c r="I8" t="s">
        <v>78</v>
      </c>
      <c r="J8" t="s">
        <v>88</v>
      </c>
      <c r="K8" t="s">
        <v>117</v>
      </c>
      <c r="L8">
        <v>1</v>
      </c>
      <c r="M8">
        <v>0</v>
      </c>
      <c r="N8" t="s">
        <v>152</v>
      </c>
      <c r="O8" t="s">
        <v>155</v>
      </c>
      <c r="P8" t="s">
        <v>164</v>
      </c>
      <c r="Q8">
        <v>1.1000000000000001</v>
      </c>
      <c r="R8" s="9">
        <v>33951.5</v>
      </c>
      <c r="S8" t="str">
        <f>IF(OR(Sheet1[[#This Row],[Salary_USD]]&lt;$V$13,Sheet1[[#This Row],[Salary_USD]]&gt;$V$12),"Outlier","Normal")</f>
        <v>Normal</v>
      </c>
      <c r="U8" s="3" t="s">
        <v>455</v>
      </c>
      <c r="V8" s="3">
        <f>V7-V6</f>
        <v>59171.199999999997</v>
      </c>
    </row>
    <row r="9" spans="1:22" x14ac:dyDescent="0.25">
      <c r="A9" t="s">
        <v>21</v>
      </c>
      <c r="B9" t="s">
        <v>29</v>
      </c>
      <c r="C9" t="s">
        <v>38</v>
      </c>
      <c r="D9" t="s">
        <v>54</v>
      </c>
      <c r="E9" s="2">
        <v>82247</v>
      </c>
      <c r="F9" s="2">
        <v>8234</v>
      </c>
      <c r="G9" t="s">
        <v>63</v>
      </c>
      <c r="H9" t="s">
        <v>70</v>
      </c>
      <c r="I9" t="s">
        <v>72</v>
      </c>
      <c r="J9" t="s">
        <v>82</v>
      </c>
      <c r="K9" t="s">
        <v>112</v>
      </c>
      <c r="L9">
        <v>25</v>
      </c>
      <c r="M9">
        <v>25</v>
      </c>
      <c r="N9" t="s">
        <v>149</v>
      </c>
      <c r="O9" t="s">
        <v>157</v>
      </c>
      <c r="P9" t="s">
        <v>165</v>
      </c>
      <c r="Q9">
        <v>1.1000000000000001</v>
      </c>
      <c r="R9" s="9">
        <v>90471.700000000012</v>
      </c>
      <c r="S9" t="str">
        <f>IF(OR(Sheet1[[#This Row],[Salary_USD]]&lt;$V$13,Sheet1[[#This Row],[Salary_USD]]&gt;$V$12),"Outlier","Normal")</f>
        <v>Normal</v>
      </c>
    </row>
    <row r="10" spans="1:22" x14ac:dyDescent="0.25">
      <c r="A10" t="s">
        <v>20</v>
      </c>
      <c r="B10" t="s">
        <v>451</v>
      </c>
      <c r="C10" t="s">
        <v>451</v>
      </c>
      <c r="D10" t="s">
        <v>58</v>
      </c>
      <c r="E10" s="2">
        <v>0</v>
      </c>
      <c r="F10" s="2">
        <v>5948</v>
      </c>
      <c r="G10" t="s">
        <v>67</v>
      </c>
      <c r="H10" t="s">
        <v>451</v>
      </c>
      <c r="I10" t="s">
        <v>77</v>
      </c>
      <c r="J10" t="s">
        <v>89</v>
      </c>
      <c r="K10" t="s">
        <v>451</v>
      </c>
      <c r="L10">
        <v>0</v>
      </c>
      <c r="M10">
        <v>0</v>
      </c>
      <c r="N10" t="s">
        <v>150</v>
      </c>
      <c r="O10" t="s">
        <v>452</v>
      </c>
      <c r="P10" t="s">
        <v>166</v>
      </c>
      <c r="Q10">
        <v>1</v>
      </c>
      <c r="R10" s="9">
        <v>0</v>
      </c>
      <c r="S10" t="str">
        <f>IF(OR(Sheet1[[#This Row],[Salary_USD]]&lt;$V$13,Sheet1[[#This Row],[Salary_USD]]&gt;$V$12),"Outlier","Normal")</f>
        <v>Normal</v>
      </c>
    </row>
    <row r="11" spans="1:22" x14ac:dyDescent="0.25">
      <c r="A11" t="s">
        <v>20</v>
      </c>
      <c r="B11" t="s">
        <v>451</v>
      </c>
      <c r="C11" t="s">
        <v>451</v>
      </c>
      <c r="D11" t="s">
        <v>59</v>
      </c>
      <c r="E11" s="2">
        <v>0</v>
      </c>
      <c r="F11" s="2">
        <v>23628</v>
      </c>
      <c r="G11" t="s">
        <v>66</v>
      </c>
      <c r="H11" t="s">
        <v>451</v>
      </c>
      <c r="I11" t="s">
        <v>78</v>
      </c>
      <c r="J11" t="s">
        <v>90</v>
      </c>
      <c r="K11" t="s">
        <v>451</v>
      </c>
      <c r="L11">
        <v>0</v>
      </c>
      <c r="M11">
        <v>5</v>
      </c>
      <c r="N11" t="s">
        <v>149</v>
      </c>
      <c r="O11" t="s">
        <v>452</v>
      </c>
      <c r="P11" t="s">
        <v>167</v>
      </c>
      <c r="Q11">
        <v>1.2E-2</v>
      </c>
      <c r="R11" s="9">
        <v>0</v>
      </c>
      <c r="S11" t="str">
        <f>IF(OR(Sheet1[[#This Row],[Salary_USD]]&lt;$V$13,Sheet1[[#This Row],[Salary_USD]]&gt;$V$12),"Outlier","Normal")</f>
        <v>Normal</v>
      </c>
    </row>
    <row r="12" spans="1:22" x14ac:dyDescent="0.25">
      <c r="A12" t="s">
        <v>21</v>
      </c>
      <c r="B12" t="s">
        <v>29</v>
      </c>
      <c r="C12" t="s">
        <v>41</v>
      </c>
      <c r="D12" t="s">
        <v>60</v>
      </c>
      <c r="E12" s="2">
        <v>13876</v>
      </c>
      <c r="F12" s="2">
        <v>1556</v>
      </c>
      <c r="G12" t="s">
        <v>63</v>
      </c>
      <c r="H12" t="s">
        <v>56</v>
      </c>
      <c r="I12" t="s">
        <v>79</v>
      </c>
      <c r="J12" t="s">
        <v>91</v>
      </c>
      <c r="K12" t="s">
        <v>118</v>
      </c>
      <c r="L12">
        <v>25</v>
      </c>
      <c r="M12">
        <v>22</v>
      </c>
      <c r="N12" t="s">
        <v>148</v>
      </c>
      <c r="O12" t="s">
        <v>154</v>
      </c>
      <c r="P12" t="s">
        <v>168</v>
      </c>
      <c r="Q12">
        <v>1.1000000000000001</v>
      </c>
      <c r="R12" s="9">
        <v>15263.6</v>
      </c>
      <c r="S12" t="str">
        <f>IF(OR(Sheet1[[#This Row],[Salary_USD]]&lt;$V$13,Sheet1[[#This Row],[Salary_USD]]&gt;$V$12),"Outlier","Normal")</f>
        <v>Normal</v>
      </c>
      <c r="U12" s="3" t="s">
        <v>456</v>
      </c>
      <c r="V12" s="3">
        <f>V7+(1.5*V8)</f>
        <v>171914.59999999998</v>
      </c>
    </row>
    <row r="13" spans="1:22" x14ac:dyDescent="0.25">
      <c r="A13" t="s">
        <v>17</v>
      </c>
      <c r="B13" t="s">
        <v>23</v>
      </c>
      <c r="C13" t="s">
        <v>40</v>
      </c>
      <c r="D13" t="s">
        <v>57</v>
      </c>
      <c r="E13" s="2">
        <v>95841</v>
      </c>
      <c r="F13" s="2">
        <v>1133</v>
      </c>
      <c r="G13" t="s">
        <v>64</v>
      </c>
      <c r="H13" t="s">
        <v>71</v>
      </c>
      <c r="I13" t="s">
        <v>76</v>
      </c>
      <c r="J13" t="s">
        <v>92</v>
      </c>
      <c r="K13" t="s">
        <v>119</v>
      </c>
      <c r="L13">
        <v>20</v>
      </c>
      <c r="M13">
        <v>20</v>
      </c>
      <c r="N13" t="s">
        <v>152</v>
      </c>
      <c r="O13" t="s">
        <v>155</v>
      </c>
      <c r="P13" t="s">
        <v>169</v>
      </c>
      <c r="Q13">
        <v>0.65</v>
      </c>
      <c r="R13" s="9">
        <v>62296.65</v>
      </c>
      <c r="S13" t="str">
        <f>IF(OR(Sheet1[[#This Row],[Salary_USD]]&lt;$V$13,Sheet1[[#This Row],[Salary_USD]]&gt;$V$12),"Outlier","Normal")</f>
        <v>Normal</v>
      </c>
      <c r="U13" s="3" t="s">
        <v>457</v>
      </c>
      <c r="V13" s="3">
        <f>V6-(1.5*V8)</f>
        <v>-64770.199999999983</v>
      </c>
    </row>
    <row r="14" spans="1:22" x14ac:dyDescent="0.25">
      <c r="A14" t="s">
        <v>19</v>
      </c>
      <c r="B14" t="s">
        <v>35</v>
      </c>
      <c r="C14" t="s">
        <v>42</v>
      </c>
      <c r="D14" t="s">
        <v>60</v>
      </c>
      <c r="E14" s="2">
        <v>58887</v>
      </c>
      <c r="F14" s="2">
        <v>226</v>
      </c>
      <c r="G14" t="s">
        <v>67</v>
      </c>
      <c r="H14" t="s">
        <v>71</v>
      </c>
      <c r="I14" t="s">
        <v>80</v>
      </c>
      <c r="J14" t="s">
        <v>93</v>
      </c>
      <c r="K14" t="s">
        <v>93</v>
      </c>
      <c r="L14">
        <v>18</v>
      </c>
      <c r="M14">
        <v>18</v>
      </c>
      <c r="N14" t="s">
        <v>148</v>
      </c>
      <c r="O14" t="s">
        <v>155</v>
      </c>
      <c r="P14" t="s">
        <v>170</v>
      </c>
      <c r="Q14">
        <v>1</v>
      </c>
      <c r="R14" s="9">
        <v>58887</v>
      </c>
      <c r="S14" t="str">
        <f>IF(OR(Sheet1[[#This Row],[Salary_USD]]&lt;$V$13,Sheet1[[#This Row],[Salary_USD]]&gt;$V$12),"Outlier","Normal")</f>
        <v>Normal</v>
      </c>
    </row>
    <row r="15" spans="1:22" x14ac:dyDescent="0.25">
      <c r="A15" t="s">
        <v>19</v>
      </c>
      <c r="B15" t="s">
        <v>451</v>
      </c>
      <c r="C15" t="s">
        <v>451</v>
      </c>
      <c r="D15" t="s">
        <v>451</v>
      </c>
      <c r="E15" s="2">
        <v>0</v>
      </c>
      <c r="F15" s="2">
        <v>3542</v>
      </c>
      <c r="G15" t="s">
        <v>68</v>
      </c>
      <c r="H15" t="s">
        <v>56</v>
      </c>
      <c r="I15" t="s">
        <v>81</v>
      </c>
      <c r="J15" t="s">
        <v>94</v>
      </c>
      <c r="K15" t="s">
        <v>451</v>
      </c>
      <c r="L15">
        <v>0</v>
      </c>
      <c r="M15">
        <v>6</v>
      </c>
      <c r="N15" t="s">
        <v>149</v>
      </c>
      <c r="O15" t="s">
        <v>452</v>
      </c>
      <c r="P15" t="s">
        <v>171</v>
      </c>
      <c r="Q15">
        <v>1.25</v>
      </c>
      <c r="R15" s="9">
        <v>0</v>
      </c>
      <c r="S15" t="str">
        <f>IF(OR(Sheet1[[#This Row],[Salary_USD]]&lt;$V$13,Sheet1[[#This Row],[Salary_USD]]&gt;$V$12),"Outlier","Normal")</f>
        <v>Normal</v>
      </c>
    </row>
    <row r="16" spans="1:22" x14ac:dyDescent="0.25">
      <c r="A16" t="s">
        <v>18</v>
      </c>
      <c r="B16" t="s">
        <v>31</v>
      </c>
      <c r="C16" t="s">
        <v>42</v>
      </c>
      <c r="D16" t="s">
        <v>56</v>
      </c>
      <c r="E16" s="2">
        <v>121464</v>
      </c>
      <c r="F16" s="2">
        <v>345</v>
      </c>
      <c r="G16" t="s">
        <v>65</v>
      </c>
      <c r="H16" t="s">
        <v>70</v>
      </c>
      <c r="I16" t="s">
        <v>72</v>
      </c>
      <c r="J16" t="s">
        <v>95</v>
      </c>
      <c r="K16" t="s">
        <v>120</v>
      </c>
      <c r="L16">
        <v>0</v>
      </c>
      <c r="M16">
        <v>0</v>
      </c>
      <c r="N16" t="s">
        <v>148</v>
      </c>
      <c r="O16" t="s">
        <v>157</v>
      </c>
      <c r="P16" t="s">
        <v>165</v>
      </c>
      <c r="Q16">
        <v>0.73</v>
      </c>
      <c r="R16" s="9">
        <v>88668.72</v>
      </c>
      <c r="S16" t="str">
        <f>IF(OR(Sheet1[[#This Row],[Salary_USD]]&lt;$V$13,Sheet1[[#This Row],[Salary_USD]]&gt;$V$12),"Outlier","Normal")</f>
        <v>Normal</v>
      </c>
    </row>
    <row r="17" spans="1:22" x14ac:dyDescent="0.25">
      <c r="A17" t="s">
        <v>19</v>
      </c>
      <c r="B17" t="s">
        <v>31</v>
      </c>
      <c r="C17" t="s">
        <v>43</v>
      </c>
      <c r="D17" t="s">
        <v>58</v>
      </c>
      <c r="E17" s="2">
        <v>24304</v>
      </c>
      <c r="F17" s="2">
        <v>3388</v>
      </c>
      <c r="G17" t="s">
        <v>63</v>
      </c>
      <c r="H17" t="s">
        <v>56</v>
      </c>
      <c r="I17" t="s">
        <v>72</v>
      </c>
      <c r="J17" t="s">
        <v>82</v>
      </c>
      <c r="K17" t="s">
        <v>112</v>
      </c>
      <c r="L17">
        <v>9</v>
      </c>
      <c r="M17">
        <v>9</v>
      </c>
      <c r="N17" t="s">
        <v>151</v>
      </c>
      <c r="O17" t="s">
        <v>156</v>
      </c>
      <c r="P17" t="s">
        <v>165</v>
      </c>
      <c r="Q17">
        <v>1.1000000000000001</v>
      </c>
      <c r="R17" s="9">
        <v>26734.400000000001</v>
      </c>
      <c r="S17" t="str">
        <f>IF(OR(Sheet1[[#This Row],[Salary_USD]]&lt;$V$13,Sheet1[[#This Row],[Salary_USD]]&gt;$V$12),"Outlier","Normal")</f>
        <v>Normal</v>
      </c>
      <c r="U17" s="3" t="s">
        <v>460</v>
      </c>
      <c r="V17" s="3">
        <f>COUNTIF(S:S,"Outlier")</f>
        <v>0</v>
      </c>
    </row>
    <row r="18" spans="1:22" x14ac:dyDescent="0.25">
      <c r="A18" t="s">
        <v>20</v>
      </c>
      <c r="B18" t="s">
        <v>35</v>
      </c>
      <c r="C18" t="s">
        <v>36</v>
      </c>
      <c r="D18" t="s">
        <v>54</v>
      </c>
      <c r="E18" s="2">
        <v>112825</v>
      </c>
      <c r="F18" s="2">
        <v>6839</v>
      </c>
      <c r="G18" t="s">
        <v>65</v>
      </c>
      <c r="H18" t="s">
        <v>451</v>
      </c>
      <c r="I18" t="s">
        <v>75</v>
      </c>
      <c r="J18" t="s">
        <v>96</v>
      </c>
      <c r="K18" t="s">
        <v>121</v>
      </c>
      <c r="L18">
        <v>6</v>
      </c>
      <c r="M18">
        <v>3</v>
      </c>
      <c r="N18" t="s">
        <v>149</v>
      </c>
      <c r="O18" t="s">
        <v>157</v>
      </c>
      <c r="P18" t="s">
        <v>172</v>
      </c>
      <c r="Q18">
        <v>0.73</v>
      </c>
      <c r="R18" s="9">
        <v>82362.25</v>
      </c>
      <c r="S18" t="str">
        <f>IF(OR(Sheet1[[#This Row],[Salary_USD]]&lt;$V$13,Sheet1[[#This Row],[Salary_USD]]&gt;$V$12),"Outlier","Normal")</f>
        <v>Normal</v>
      </c>
    </row>
    <row r="19" spans="1:22" x14ac:dyDescent="0.25">
      <c r="A19" t="s">
        <v>20</v>
      </c>
      <c r="B19" t="s">
        <v>23</v>
      </c>
      <c r="C19" t="s">
        <v>44</v>
      </c>
      <c r="D19" t="s">
        <v>451</v>
      </c>
      <c r="E19" s="2">
        <v>1051851</v>
      </c>
      <c r="F19" s="2">
        <v>0</v>
      </c>
      <c r="G19" t="s">
        <v>66</v>
      </c>
      <c r="H19" t="s">
        <v>69</v>
      </c>
      <c r="I19" t="s">
        <v>76</v>
      </c>
      <c r="J19" t="s">
        <v>92</v>
      </c>
      <c r="K19" t="s">
        <v>119</v>
      </c>
      <c r="L19">
        <v>5</v>
      </c>
      <c r="M19">
        <v>5</v>
      </c>
      <c r="N19" t="s">
        <v>151</v>
      </c>
      <c r="O19" t="s">
        <v>155</v>
      </c>
      <c r="P19" t="s">
        <v>173</v>
      </c>
      <c r="Q19">
        <v>1.2E-2</v>
      </c>
      <c r="R19" s="9">
        <v>12622.212</v>
      </c>
      <c r="S19" t="str">
        <f>IF(OR(Sheet1[[#This Row],[Salary_USD]]&lt;$V$13,Sheet1[[#This Row],[Salary_USD]]&gt;$V$12),"Outlier","Normal")</f>
        <v>Normal</v>
      </c>
    </row>
    <row r="20" spans="1:22" x14ac:dyDescent="0.25">
      <c r="A20" t="s">
        <v>17</v>
      </c>
      <c r="B20" t="s">
        <v>29</v>
      </c>
      <c r="C20" t="s">
        <v>45</v>
      </c>
      <c r="D20" t="s">
        <v>54</v>
      </c>
      <c r="E20" s="2">
        <v>100851</v>
      </c>
      <c r="F20" s="2">
        <v>4474</v>
      </c>
      <c r="G20" t="s">
        <v>68</v>
      </c>
      <c r="H20" t="s">
        <v>56</v>
      </c>
      <c r="I20" t="s">
        <v>77</v>
      </c>
      <c r="J20" t="s">
        <v>97</v>
      </c>
      <c r="K20" t="s">
        <v>122</v>
      </c>
      <c r="L20">
        <v>12</v>
      </c>
      <c r="M20">
        <v>12</v>
      </c>
      <c r="N20" t="s">
        <v>152</v>
      </c>
      <c r="O20" t="s">
        <v>154</v>
      </c>
      <c r="P20" t="s">
        <v>174</v>
      </c>
      <c r="Q20">
        <v>1.25</v>
      </c>
      <c r="R20" s="9">
        <v>126063.75</v>
      </c>
      <c r="S20" t="str">
        <f>IF(OR(Sheet1[[#This Row],[Salary_USD]]&lt;$V$13,Sheet1[[#This Row],[Salary_USD]]&gt;$V$12),"Outlier","Normal")</f>
        <v>Normal</v>
      </c>
    </row>
    <row r="21" spans="1:22" x14ac:dyDescent="0.25">
      <c r="A21" t="s">
        <v>19</v>
      </c>
      <c r="B21" t="s">
        <v>28</v>
      </c>
      <c r="C21" t="s">
        <v>45</v>
      </c>
      <c r="D21" t="s">
        <v>60</v>
      </c>
      <c r="E21" s="2">
        <v>115815</v>
      </c>
      <c r="F21" s="2">
        <v>21278</v>
      </c>
      <c r="G21" t="s">
        <v>67</v>
      </c>
      <c r="H21" t="s">
        <v>69</v>
      </c>
      <c r="I21" t="s">
        <v>81</v>
      </c>
      <c r="J21" t="s">
        <v>98</v>
      </c>
      <c r="K21" t="s">
        <v>123</v>
      </c>
      <c r="L21">
        <v>5</v>
      </c>
      <c r="M21">
        <v>5</v>
      </c>
      <c r="N21" t="s">
        <v>153</v>
      </c>
      <c r="O21" t="s">
        <v>157</v>
      </c>
      <c r="P21" t="s">
        <v>175</v>
      </c>
      <c r="Q21">
        <v>1</v>
      </c>
      <c r="R21" s="9">
        <v>115815</v>
      </c>
      <c r="S21" t="str">
        <f>IF(OR(Sheet1[[#This Row],[Salary_USD]]&lt;$V$13,Sheet1[[#This Row],[Salary_USD]]&gt;$V$12),"Outlier","Normal")</f>
        <v>Normal</v>
      </c>
    </row>
    <row r="22" spans="1:22" x14ac:dyDescent="0.25">
      <c r="A22" t="s">
        <v>19</v>
      </c>
      <c r="B22" t="s">
        <v>32</v>
      </c>
      <c r="C22" t="s">
        <v>46</v>
      </c>
      <c r="D22" t="s">
        <v>57</v>
      </c>
      <c r="E22" s="2">
        <v>88883</v>
      </c>
      <c r="F22" s="2">
        <v>4601</v>
      </c>
      <c r="G22" t="s">
        <v>65</v>
      </c>
      <c r="H22" t="s">
        <v>71</v>
      </c>
      <c r="I22" t="s">
        <v>77</v>
      </c>
      <c r="J22" t="s">
        <v>89</v>
      </c>
      <c r="K22" t="s">
        <v>124</v>
      </c>
      <c r="L22">
        <v>7</v>
      </c>
      <c r="M22">
        <v>4</v>
      </c>
      <c r="N22" t="s">
        <v>148</v>
      </c>
      <c r="O22" t="s">
        <v>155</v>
      </c>
      <c r="P22" t="s">
        <v>176</v>
      </c>
      <c r="Q22">
        <v>0.73</v>
      </c>
      <c r="R22" s="9">
        <v>64884.59</v>
      </c>
      <c r="S22" t="str">
        <f>IF(OR(Sheet1[[#This Row],[Salary_USD]]&lt;$V$13,Sheet1[[#This Row],[Salary_USD]]&gt;$V$12),"Outlier","Normal")</f>
        <v>Normal</v>
      </c>
    </row>
    <row r="23" spans="1:22" x14ac:dyDescent="0.25">
      <c r="A23" t="s">
        <v>19</v>
      </c>
      <c r="B23" t="s">
        <v>29</v>
      </c>
      <c r="C23" t="s">
        <v>43</v>
      </c>
      <c r="D23" t="s">
        <v>58</v>
      </c>
      <c r="E23" s="2">
        <v>91060</v>
      </c>
      <c r="F23" s="2">
        <v>4970</v>
      </c>
      <c r="G23" t="s">
        <v>65</v>
      </c>
      <c r="H23" t="s">
        <v>69</v>
      </c>
      <c r="I23" t="s">
        <v>73</v>
      </c>
      <c r="J23" t="s">
        <v>99</v>
      </c>
      <c r="K23" t="s">
        <v>125</v>
      </c>
      <c r="L23">
        <v>3</v>
      </c>
      <c r="M23">
        <v>0</v>
      </c>
      <c r="N23" t="s">
        <v>149</v>
      </c>
      <c r="O23" t="s">
        <v>154</v>
      </c>
      <c r="P23" t="s">
        <v>177</v>
      </c>
      <c r="Q23">
        <v>0.73</v>
      </c>
      <c r="R23" s="9">
        <v>66473.8</v>
      </c>
      <c r="S23" t="str">
        <f>IF(OR(Sheet1[[#This Row],[Salary_USD]]&lt;$V$13,Sheet1[[#This Row],[Salary_USD]]&gt;$V$12),"Outlier","Normal")</f>
        <v>Normal</v>
      </c>
    </row>
    <row r="24" spans="1:22" x14ac:dyDescent="0.25">
      <c r="A24" t="s">
        <v>21</v>
      </c>
      <c r="B24" t="s">
        <v>29</v>
      </c>
      <c r="C24" t="s">
        <v>45</v>
      </c>
      <c r="D24" t="s">
        <v>57</v>
      </c>
      <c r="E24" s="2">
        <v>429227</v>
      </c>
      <c r="F24" s="2">
        <v>0</v>
      </c>
      <c r="G24" t="s">
        <v>66</v>
      </c>
      <c r="H24" t="s">
        <v>451</v>
      </c>
      <c r="I24" t="s">
        <v>72</v>
      </c>
      <c r="J24" t="s">
        <v>82</v>
      </c>
      <c r="K24" t="s">
        <v>112</v>
      </c>
      <c r="L24">
        <v>12</v>
      </c>
      <c r="M24">
        <v>9</v>
      </c>
      <c r="N24" t="s">
        <v>148</v>
      </c>
      <c r="O24" t="s">
        <v>157</v>
      </c>
      <c r="P24" t="s">
        <v>178</v>
      </c>
      <c r="Q24">
        <v>1.2E-2</v>
      </c>
      <c r="R24" s="9">
        <v>5150.7240000000002</v>
      </c>
      <c r="S24" t="str">
        <f>IF(OR(Sheet1[[#This Row],[Salary_USD]]&lt;$V$13,Sheet1[[#This Row],[Salary_USD]]&gt;$V$12),"Outlier","Normal")</f>
        <v>Normal</v>
      </c>
    </row>
    <row r="25" spans="1:22" x14ac:dyDescent="0.25">
      <c r="A25" t="s">
        <v>20</v>
      </c>
      <c r="B25" t="s">
        <v>29</v>
      </c>
      <c r="C25" t="s">
        <v>40</v>
      </c>
      <c r="D25" t="s">
        <v>56</v>
      </c>
      <c r="E25" s="2">
        <v>102436</v>
      </c>
      <c r="F25" s="2">
        <v>10083</v>
      </c>
      <c r="G25" t="s">
        <v>67</v>
      </c>
      <c r="H25" t="s">
        <v>56</v>
      </c>
      <c r="I25" t="s">
        <v>75</v>
      </c>
      <c r="J25" t="s">
        <v>96</v>
      </c>
      <c r="K25" t="s">
        <v>121</v>
      </c>
      <c r="L25">
        <v>6</v>
      </c>
      <c r="M25">
        <v>6</v>
      </c>
      <c r="N25" t="s">
        <v>149</v>
      </c>
      <c r="O25" t="s">
        <v>154</v>
      </c>
      <c r="P25" t="s">
        <v>179</v>
      </c>
      <c r="Q25">
        <v>1</v>
      </c>
      <c r="R25" s="9">
        <v>102436</v>
      </c>
      <c r="S25" t="str">
        <f>IF(OR(Sheet1[[#This Row],[Salary_USD]]&lt;$V$13,Sheet1[[#This Row],[Salary_USD]]&gt;$V$12),"Outlier","Normal")</f>
        <v>Normal</v>
      </c>
    </row>
    <row r="26" spans="1:22" x14ac:dyDescent="0.25">
      <c r="A26" t="s">
        <v>19</v>
      </c>
      <c r="B26" t="s">
        <v>32</v>
      </c>
      <c r="C26" t="s">
        <v>47</v>
      </c>
      <c r="D26" t="s">
        <v>451</v>
      </c>
      <c r="E26" s="2">
        <v>100388</v>
      </c>
      <c r="F26" s="2">
        <v>11896</v>
      </c>
      <c r="G26" t="s">
        <v>67</v>
      </c>
      <c r="H26" t="s">
        <v>71</v>
      </c>
      <c r="I26" t="s">
        <v>75</v>
      </c>
      <c r="J26" t="s">
        <v>96</v>
      </c>
      <c r="K26" t="s">
        <v>121</v>
      </c>
      <c r="L26">
        <v>7</v>
      </c>
      <c r="M26">
        <v>7</v>
      </c>
      <c r="N26" t="s">
        <v>151</v>
      </c>
      <c r="O26" t="s">
        <v>157</v>
      </c>
      <c r="P26" t="s">
        <v>173</v>
      </c>
      <c r="Q26">
        <v>1</v>
      </c>
      <c r="R26" s="9">
        <v>100388</v>
      </c>
      <c r="S26" t="str">
        <f>IF(OR(Sheet1[[#This Row],[Salary_USD]]&lt;$V$13,Sheet1[[#This Row],[Salary_USD]]&gt;$V$12),"Outlier","Normal")</f>
        <v>Normal</v>
      </c>
    </row>
    <row r="27" spans="1:22" x14ac:dyDescent="0.25">
      <c r="A27" t="s">
        <v>17</v>
      </c>
      <c r="B27" t="s">
        <v>32</v>
      </c>
      <c r="C27" t="s">
        <v>44</v>
      </c>
      <c r="D27" t="s">
        <v>56</v>
      </c>
      <c r="E27" s="2">
        <v>97793</v>
      </c>
      <c r="F27" s="2">
        <v>107</v>
      </c>
      <c r="G27" t="s">
        <v>65</v>
      </c>
      <c r="H27" t="s">
        <v>69</v>
      </c>
      <c r="I27" t="s">
        <v>72</v>
      </c>
      <c r="J27" t="s">
        <v>82</v>
      </c>
      <c r="K27" t="s">
        <v>112</v>
      </c>
      <c r="L27">
        <v>20</v>
      </c>
      <c r="M27">
        <v>20</v>
      </c>
      <c r="N27" t="s">
        <v>148</v>
      </c>
      <c r="O27" t="s">
        <v>157</v>
      </c>
      <c r="P27" t="s">
        <v>180</v>
      </c>
      <c r="Q27">
        <v>0.73</v>
      </c>
      <c r="R27" s="9">
        <v>71388.89</v>
      </c>
      <c r="S27" t="str">
        <f>IF(OR(Sheet1[[#This Row],[Salary_USD]]&lt;$V$13,Sheet1[[#This Row],[Salary_USD]]&gt;$V$12),"Outlier","Normal")</f>
        <v>Normal</v>
      </c>
    </row>
    <row r="28" spans="1:22" x14ac:dyDescent="0.25">
      <c r="A28" t="s">
        <v>19</v>
      </c>
      <c r="B28" t="s">
        <v>33</v>
      </c>
      <c r="C28" t="s">
        <v>37</v>
      </c>
      <c r="D28" t="s">
        <v>61</v>
      </c>
      <c r="E28" s="2">
        <v>110982</v>
      </c>
      <c r="F28" s="2">
        <v>21677</v>
      </c>
      <c r="G28" t="s">
        <v>68</v>
      </c>
      <c r="H28" t="s">
        <v>69</v>
      </c>
      <c r="I28" t="s">
        <v>78</v>
      </c>
      <c r="J28" t="s">
        <v>88</v>
      </c>
      <c r="K28" t="s">
        <v>117</v>
      </c>
      <c r="L28">
        <v>3</v>
      </c>
      <c r="M28">
        <v>3</v>
      </c>
      <c r="N28" t="s">
        <v>151</v>
      </c>
      <c r="O28" t="s">
        <v>157</v>
      </c>
      <c r="P28" t="s">
        <v>181</v>
      </c>
      <c r="Q28">
        <v>1.25</v>
      </c>
      <c r="R28" s="9">
        <v>138727.5</v>
      </c>
      <c r="S28" t="str">
        <f>IF(OR(Sheet1[[#This Row],[Salary_USD]]&lt;$V$13,Sheet1[[#This Row],[Salary_USD]]&gt;$V$12),"Outlier","Normal")</f>
        <v>Normal</v>
      </c>
    </row>
    <row r="29" spans="1:22" x14ac:dyDescent="0.25">
      <c r="A29" t="s">
        <v>17</v>
      </c>
      <c r="B29" t="s">
        <v>28</v>
      </c>
      <c r="C29" t="s">
        <v>36</v>
      </c>
      <c r="D29" t="s">
        <v>62</v>
      </c>
      <c r="E29" s="2">
        <v>63332</v>
      </c>
      <c r="F29" s="2">
        <v>3570</v>
      </c>
      <c r="G29" t="s">
        <v>68</v>
      </c>
      <c r="H29" t="s">
        <v>70</v>
      </c>
      <c r="I29" t="s">
        <v>76</v>
      </c>
      <c r="J29" t="s">
        <v>86</v>
      </c>
      <c r="K29" t="s">
        <v>115</v>
      </c>
      <c r="L29">
        <v>10</v>
      </c>
      <c r="M29">
        <v>10</v>
      </c>
      <c r="N29" t="s">
        <v>152</v>
      </c>
      <c r="O29" t="s">
        <v>157</v>
      </c>
      <c r="P29" t="s">
        <v>182</v>
      </c>
      <c r="Q29">
        <v>1.25</v>
      </c>
      <c r="R29" s="9">
        <v>79165</v>
      </c>
      <c r="S29" t="str">
        <f>IF(OR(Sheet1[[#This Row],[Salary_USD]]&lt;$V$13,Sheet1[[#This Row],[Salary_USD]]&gt;$V$12),"Outlier","Normal")</f>
        <v>Normal</v>
      </c>
    </row>
    <row r="30" spans="1:22" x14ac:dyDescent="0.25">
      <c r="A30" t="s">
        <v>19</v>
      </c>
      <c r="B30" t="s">
        <v>33</v>
      </c>
      <c r="C30" t="s">
        <v>48</v>
      </c>
      <c r="D30" t="s">
        <v>58</v>
      </c>
      <c r="E30" s="2">
        <v>85456</v>
      </c>
      <c r="F30" s="2">
        <v>3902</v>
      </c>
      <c r="G30" t="s">
        <v>68</v>
      </c>
      <c r="H30" t="s">
        <v>56</v>
      </c>
      <c r="I30" t="s">
        <v>76</v>
      </c>
      <c r="J30" t="s">
        <v>100</v>
      </c>
      <c r="K30" t="s">
        <v>126</v>
      </c>
      <c r="L30">
        <v>10</v>
      </c>
      <c r="M30">
        <v>10</v>
      </c>
      <c r="N30" t="s">
        <v>149</v>
      </c>
      <c r="O30" t="s">
        <v>154</v>
      </c>
      <c r="P30" t="s">
        <v>183</v>
      </c>
      <c r="Q30">
        <v>1.25</v>
      </c>
      <c r="R30" s="9">
        <v>106820</v>
      </c>
      <c r="S30" t="str">
        <f>IF(OR(Sheet1[[#This Row],[Salary_USD]]&lt;$V$13,Sheet1[[#This Row],[Salary_USD]]&gt;$V$12),"Outlier","Normal")</f>
        <v>Normal</v>
      </c>
    </row>
    <row r="31" spans="1:22" x14ac:dyDescent="0.25">
      <c r="A31" t="s">
        <v>19</v>
      </c>
      <c r="B31" t="s">
        <v>32</v>
      </c>
      <c r="C31" t="s">
        <v>44</v>
      </c>
      <c r="D31" t="s">
        <v>58</v>
      </c>
      <c r="E31" s="2">
        <v>94234</v>
      </c>
      <c r="F31" s="2">
        <v>0</v>
      </c>
      <c r="G31" t="s">
        <v>64</v>
      </c>
      <c r="H31" t="s">
        <v>71</v>
      </c>
      <c r="I31" t="s">
        <v>81</v>
      </c>
      <c r="J31" t="s">
        <v>101</v>
      </c>
      <c r="K31" t="s">
        <v>127</v>
      </c>
      <c r="L31">
        <v>7</v>
      </c>
      <c r="M31">
        <v>5</v>
      </c>
      <c r="N31" t="s">
        <v>149</v>
      </c>
      <c r="O31" t="s">
        <v>156</v>
      </c>
      <c r="P31" t="s">
        <v>184</v>
      </c>
      <c r="Q31">
        <v>0.65</v>
      </c>
      <c r="R31" s="9">
        <v>61252.1</v>
      </c>
      <c r="S31" t="str">
        <f>IF(OR(Sheet1[[#This Row],[Salary_USD]]&lt;$V$13,Sheet1[[#This Row],[Salary_USD]]&gt;$V$12),"Outlier","Normal")</f>
        <v>Normal</v>
      </c>
    </row>
    <row r="32" spans="1:22" x14ac:dyDescent="0.25">
      <c r="A32" t="s">
        <v>18</v>
      </c>
      <c r="B32" t="s">
        <v>29</v>
      </c>
      <c r="C32" t="s">
        <v>42</v>
      </c>
      <c r="D32" t="s">
        <v>56</v>
      </c>
      <c r="E32" s="2">
        <v>64137</v>
      </c>
      <c r="F32" s="2">
        <v>18602</v>
      </c>
      <c r="G32" t="s">
        <v>67</v>
      </c>
      <c r="H32" t="s">
        <v>56</v>
      </c>
      <c r="I32" t="s">
        <v>75</v>
      </c>
      <c r="J32" t="s">
        <v>85</v>
      </c>
      <c r="K32" t="s">
        <v>114</v>
      </c>
      <c r="L32">
        <v>1</v>
      </c>
      <c r="M32">
        <v>0</v>
      </c>
      <c r="N32" t="s">
        <v>149</v>
      </c>
      <c r="O32" t="s">
        <v>155</v>
      </c>
      <c r="P32" t="s">
        <v>185</v>
      </c>
      <c r="Q32">
        <v>1</v>
      </c>
      <c r="R32" s="9">
        <v>64137</v>
      </c>
      <c r="S32" t="str">
        <f>IF(OR(Sheet1[[#This Row],[Salary_USD]]&lt;$V$13,Sheet1[[#This Row],[Salary_USD]]&gt;$V$12),"Outlier","Normal")</f>
        <v>Normal</v>
      </c>
    </row>
    <row r="33" spans="1:19" x14ac:dyDescent="0.25">
      <c r="A33" t="s">
        <v>19</v>
      </c>
      <c r="B33" t="s">
        <v>24</v>
      </c>
      <c r="C33" t="s">
        <v>37</v>
      </c>
      <c r="D33" t="s">
        <v>451</v>
      </c>
      <c r="E33" s="2">
        <v>98478</v>
      </c>
      <c r="F33" s="2">
        <v>3910</v>
      </c>
      <c r="G33" t="s">
        <v>65</v>
      </c>
      <c r="H33" t="s">
        <v>69</v>
      </c>
      <c r="I33" t="s">
        <v>74</v>
      </c>
      <c r="J33" t="s">
        <v>84</v>
      </c>
      <c r="K33" t="s">
        <v>74</v>
      </c>
      <c r="L33">
        <v>4</v>
      </c>
      <c r="M33">
        <v>4</v>
      </c>
      <c r="N33" t="s">
        <v>153</v>
      </c>
      <c r="O33" t="s">
        <v>155</v>
      </c>
      <c r="P33" t="s">
        <v>186</v>
      </c>
      <c r="Q33">
        <v>0.73</v>
      </c>
      <c r="R33" s="9">
        <v>71888.94</v>
      </c>
      <c r="S33" t="str">
        <f>IF(OR(Sheet1[[#This Row],[Salary_USD]]&lt;$V$13,Sheet1[[#This Row],[Salary_USD]]&gt;$V$12),"Outlier","Normal")</f>
        <v>Normal</v>
      </c>
    </row>
    <row r="34" spans="1:19" x14ac:dyDescent="0.25">
      <c r="A34" t="s">
        <v>17</v>
      </c>
      <c r="B34" t="s">
        <v>33</v>
      </c>
      <c r="C34" t="s">
        <v>45</v>
      </c>
      <c r="D34" t="s">
        <v>54</v>
      </c>
      <c r="E34" s="2">
        <v>134691</v>
      </c>
      <c r="F34" s="2">
        <v>12547</v>
      </c>
      <c r="G34" t="s">
        <v>67</v>
      </c>
      <c r="H34" t="s">
        <v>451</v>
      </c>
      <c r="I34" t="s">
        <v>78</v>
      </c>
      <c r="J34" t="s">
        <v>88</v>
      </c>
      <c r="K34" t="s">
        <v>128</v>
      </c>
      <c r="L34">
        <v>12</v>
      </c>
      <c r="M34">
        <v>12</v>
      </c>
      <c r="N34" t="s">
        <v>150</v>
      </c>
      <c r="O34" t="s">
        <v>155</v>
      </c>
      <c r="P34" t="s">
        <v>187</v>
      </c>
      <c r="Q34">
        <v>1</v>
      </c>
      <c r="R34" s="9">
        <v>134691</v>
      </c>
      <c r="S34" t="str">
        <f>IF(OR(Sheet1[[#This Row],[Salary_USD]]&lt;$V$13,Sheet1[[#This Row],[Salary_USD]]&gt;$V$12),"Outlier","Normal")</f>
        <v>Normal</v>
      </c>
    </row>
    <row r="35" spans="1:19" x14ac:dyDescent="0.25">
      <c r="A35" t="s">
        <v>21</v>
      </c>
      <c r="B35" t="s">
        <v>26</v>
      </c>
      <c r="C35" t="s">
        <v>49</v>
      </c>
      <c r="D35" t="s">
        <v>55</v>
      </c>
      <c r="E35" s="2">
        <v>43161</v>
      </c>
      <c r="F35" s="2">
        <v>11937</v>
      </c>
      <c r="G35" t="s">
        <v>63</v>
      </c>
      <c r="H35" t="s">
        <v>69</v>
      </c>
      <c r="I35" t="s">
        <v>79</v>
      </c>
      <c r="J35" t="s">
        <v>91</v>
      </c>
      <c r="K35" t="s">
        <v>118</v>
      </c>
      <c r="L35">
        <v>8</v>
      </c>
      <c r="M35">
        <v>6</v>
      </c>
      <c r="N35" t="s">
        <v>151</v>
      </c>
      <c r="O35" t="s">
        <v>154</v>
      </c>
      <c r="P35" t="s">
        <v>188</v>
      </c>
      <c r="Q35">
        <v>1.1000000000000001</v>
      </c>
      <c r="R35" s="9">
        <v>47477.100000000006</v>
      </c>
      <c r="S35" t="str">
        <f>IF(OR(Sheet1[[#This Row],[Salary_USD]]&lt;$V$13,Sheet1[[#This Row],[Salary_USD]]&gt;$V$12),"Outlier","Normal")</f>
        <v>Normal</v>
      </c>
    </row>
    <row r="36" spans="1:19" x14ac:dyDescent="0.25">
      <c r="A36" t="s">
        <v>19</v>
      </c>
      <c r="B36" t="s">
        <v>32</v>
      </c>
      <c r="C36" t="s">
        <v>44</v>
      </c>
      <c r="D36" t="s">
        <v>55</v>
      </c>
      <c r="E36" s="2">
        <v>848118</v>
      </c>
      <c r="F36" s="2">
        <v>111998</v>
      </c>
      <c r="G36" t="s">
        <v>66</v>
      </c>
      <c r="H36" t="s">
        <v>451</v>
      </c>
      <c r="I36" t="s">
        <v>81</v>
      </c>
      <c r="J36" t="s">
        <v>94</v>
      </c>
      <c r="K36" t="s">
        <v>129</v>
      </c>
      <c r="L36">
        <v>5</v>
      </c>
      <c r="M36">
        <v>5</v>
      </c>
      <c r="N36" t="s">
        <v>153</v>
      </c>
      <c r="O36" t="s">
        <v>154</v>
      </c>
      <c r="P36" t="s">
        <v>189</v>
      </c>
      <c r="Q36">
        <v>1.2E-2</v>
      </c>
      <c r="R36" s="9">
        <v>10177.416000000001</v>
      </c>
      <c r="S36" t="str">
        <f>IF(OR(Sheet1[[#This Row],[Salary_USD]]&lt;$V$13,Sheet1[[#This Row],[Salary_USD]]&gt;$V$12),"Outlier","Normal")</f>
        <v>Normal</v>
      </c>
    </row>
    <row r="37" spans="1:19" x14ac:dyDescent="0.25">
      <c r="A37" t="s">
        <v>21</v>
      </c>
      <c r="B37" t="s">
        <v>451</v>
      </c>
      <c r="C37" t="s">
        <v>451</v>
      </c>
      <c r="D37" t="s">
        <v>62</v>
      </c>
      <c r="E37" s="2">
        <v>0</v>
      </c>
      <c r="F37" s="2">
        <v>918</v>
      </c>
      <c r="G37" t="s">
        <v>68</v>
      </c>
      <c r="H37" t="s">
        <v>70</v>
      </c>
      <c r="I37" t="s">
        <v>81</v>
      </c>
      <c r="J37" t="s">
        <v>98</v>
      </c>
      <c r="K37" t="s">
        <v>451</v>
      </c>
      <c r="L37">
        <v>0</v>
      </c>
      <c r="M37">
        <v>11</v>
      </c>
      <c r="N37" t="s">
        <v>148</v>
      </c>
      <c r="O37" t="s">
        <v>452</v>
      </c>
      <c r="P37" t="s">
        <v>190</v>
      </c>
      <c r="Q37">
        <v>1.25</v>
      </c>
      <c r="R37" s="9">
        <v>0</v>
      </c>
      <c r="S37" t="str">
        <f>IF(OR(Sheet1[[#This Row],[Salary_USD]]&lt;$V$13,Sheet1[[#This Row],[Salary_USD]]&gt;$V$12),"Outlier","Normal")</f>
        <v>Normal</v>
      </c>
    </row>
    <row r="38" spans="1:19" x14ac:dyDescent="0.25">
      <c r="A38" t="s">
        <v>19</v>
      </c>
      <c r="B38" t="s">
        <v>22</v>
      </c>
      <c r="C38" t="s">
        <v>39</v>
      </c>
      <c r="D38" t="s">
        <v>61</v>
      </c>
      <c r="E38" s="2">
        <v>1060556</v>
      </c>
      <c r="F38" s="2">
        <v>23114</v>
      </c>
      <c r="G38" t="s">
        <v>66</v>
      </c>
      <c r="H38" t="s">
        <v>451</v>
      </c>
      <c r="I38" t="s">
        <v>73</v>
      </c>
      <c r="J38" t="s">
        <v>102</v>
      </c>
      <c r="K38" t="s">
        <v>102</v>
      </c>
      <c r="L38">
        <v>3</v>
      </c>
      <c r="M38">
        <v>3</v>
      </c>
      <c r="N38" t="s">
        <v>148</v>
      </c>
      <c r="O38" t="s">
        <v>154</v>
      </c>
      <c r="P38" t="s">
        <v>191</v>
      </c>
      <c r="Q38">
        <v>1.2E-2</v>
      </c>
      <c r="R38" s="9">
        <v>12726.672</v>
      </c>
      <c r="S38" t="str">
        <f>IF(OR(Sheet1[[#This Row],[Salary_USD]]&lt;$V$13,Sheet1[[#This Row],[Salary_USD]]&gt;$V$12),"Outlier","Normal")</f>
        <v>Normal</v>
      </c>
    </row>
    <row r="39" spans="1:19" x14ac:dyDescent="0.25">
      <c r="A39" t="s">
        <v>20</v>
      </c>
      <c r="B39" t="s">
        <v>31</v>
      </c>
      <c r="C39" t="s">
        <v>50</v>
      </c>
      <c r="D39" t="s">
        <v>57</v>
      </c>
      <c r="E39" s="2">
        <v>44317</v>
      </c>
      <c r="F39" s="2">
        <v>2490</v>
      </c>
      <c r="G39" t="s">
        <v>63</v>
      </c>
      <c r="H39" t="s">
        <v>451</v>
      </c>
      <c r="I39" t="s">
        <v>81</v>
      </c>
      <c r="J39" t="s">
        <v>94</v>
      </c>
      <c r="K39" t="s">
        <v>129</v>
      </c>
      <c r="L39">
        <v>6</v>
      </c>
      <c r="M39">
        <v>4</v>
      </c>
      <c r="N39" t="s">
        <v>151</v>
      </c>
      <c r="O39" t="s">
        <v>156</v>
      </c>
      <c r="P39" t="s">
        <v>176</v>
      </c>
      <c r="Q39">
        <v>1.1000000000000001</v>
      </c>
      <c r="R39" s="9">
        <v>48748.700000000004</v>
      </c>
      <c r="S39" t="str">
        <f>IF(OR(Sheet1[[#This Row],[Salary_USD]]&lt;$V$13,Sheet1[[#This Row],[Salary_USD]]&gt;$V$12),"Outlier","Normal")</f>
        <v>Normal</v>
      </c>
    </row>
    <row r="40" spans="1:19" x14ac:dyDescent="0.25">
      <c r="A40" t="s">
        <v>19</v>
      </c>
      <c r="B40" t="s">
        <v>32</v>
      </c>
      <c r="C40" t="s">
        <v>40</v>
      </c>
      <c r="D40" t="s">
        <v>59</v>
      </c>
      <c r="E40" s="2">
        <v>639511</v>
      </c>
      <c r="F40" s="2">
        <v>4336</v>
      </c>
      <c r="G40" t="s">
        <v>66</v>
      </c>
      <c r="H40" t="s">
        <v>70</v>
      </c>
      <c r="I40" t="s">
        <v>74</v>
      </c>
      <c r="J40" t="s">
        <v>84</v>
      </c>
      <c r="K40" t="s">
        <v>74</v>
      </c>
      <c r="L40">
        <v>3</v>
      </c>
      <c r="M40">
        <v>3</v>
      </c>
      <c r="N40" t="s">
        <v>150</v>
      </c>
      <c r="O40" t="s">
        <v>157</v>
      </c>
      <c r="P40" t="s">
        <v>192</v>
      </c>
      <c r="Q40">
        <v>1.2E-2</v>
      </c>
      <c r="R40" s="9">
        <v>7674.1320000000005</v>
      </c>
      <c r="S40" t="str">
        <f>IF(OR(Sheet1[[#This Row],[Salary_USD]]&lt;$V$13,Sheet1[[#This Row],[Salary_USD]]&gt;$V$12),"Outlier","Normal")</f>
        <v>Normal</v>
      </c>
    </row>
    <row r="41" spans="1:19" x14ac:dyDescent="0.25">
      <c r="A41" t="s">
        <v>19</v>
      </c>
      <c r="B41" t="s">
        <v>24</v>
      </c>
      <c r="C41" t="s">
        <v>44</v>
      </c>
      <c r="D41" t="s">
        <v>54</v>
      </c>
      <c r="E41" s="2">
        <v>342811</v>
      </c>
      <c r="F41" s="2">
        <v>4747</v>
      </c>
      <c r="G41" t="s">
        <v>66</v>
      </c>
      <c r="H41" t="s">
        <v>69</v>
      </c>
      <c r="I41" t="s">
        <v>81</v>
      </c>
      <c r="J41" t="s">
        <v>103</v>
      </c>
      <c r="K41" t="s">
        <v>130</v>
      </c>
      <c r="L41">
        <v>2</v>
      </c>
      <c r="M41">
        <v>2</v>
      </c>
      <c r="N41" t="s">
        <v>149</v>
      </c>
      <c r="O41" t="s">
        <v>157</v>
      </c>
      <c r="P41" t="s">
        <v>193</v>
      </c>
      <c r="Q41">
        <v>1.2E-2</v>
      </c>
      <c r="R41" s="9">
        <v>4113.732</v>
      </c>
      <c r="S41" t="str">
        <f>IF(OR(Sheet1[[#This Row],[Salary_USD]]&lt;$V$13,Sheet1[[#This Row],[Salary_USD]]&gt;$V$12),"Outlier","Normal")</f>
        <v>Normal</v>
      </c>
    </row>
    <row r="42" spans="1:19" x14ac:dyDescent="0.25">
      <c r="A42" t="s">
        <v>19</v>
      </c>
      <c r="B42" t="s">
        <v>451</v>
      </c>
      <c r="C42" t="s">
        <v>451</v>
      </c>
      <c r="D42" t="s">
        <v>451</v>
      </c>
      <c r="E42" s="2">
        <v>0</v>
      </c>
      <c r="F42" s="2">
        <v>32069</v>
      </c>
      <c r="G42" t="s">
        <v>64</v>
      </c>
      <c r="H42" t="s">
        <v>70</v>
      </c>
      <c r="I42" t="s">
        <v>81</v>
      </c>
      <c r="J42" t="s">
        <v>94</v>
      </c>
      <c r="K42" t="s">
        <v>451</v>
      </c>
      <c r="L42">
        <v>0</v>
      </c>
      <c r="M42">
        <v>4</v>
      </c>
      <c r="N42" t="s">
        <v>149</v>
      </c>
      <c r="O42" t="s">
        <v>452</v>
      </c>
      <c r="P42" t="s">
        <v>181</v>
      </c>
      <c r="Q42">
        <v>0.65</v>
      </c>
      <c r="R42" s="9">
        <v>0</v>
      </c>
      <c r="S42" t="str">
        <f>IF(OR(Sheet1[[#This Row],[Salary_USD]]&lt;$V$13,Sheet1[[#This Row],[Salary_USD]]&gt;$V$12),"Outlier","Normal")</f>
        <v>Normal</v>
      </c>
    </row>
    <row r="43" spans="1:19" x14ac:dyDescent="0.25">
      <c r="A43" t="s">
        <v>20</v>
      </c>
      <c r="B43" t="s">
        <v>33</v>
      </c>
      <c r="C43" t="s">
        <v>45</v>
      </c>
      <c r="D43" t="s">
        <v>57</v>
      </c>
      <c r="E43" s="2">
        <v>92228</v>
      </c>
      <c r="F43" s="2">
        <v>5507</v>
      </c>
      <c r="G43" t="s">
        <v>67</v>
      </c>
      <c r="H43" t="s">
        <v>56</v>
      </c>
      <c r="I43" t="s">
        <v>78</v>
      </c>
      <c r="J43" t="s">
        <v>104</v>
      </c>
      <c r="K43" t="s">
        <v>131</v>
      </c>
      <c r="L43">
        <v>5</v>
      </c>
      <c r="M43">
        <v>4</v>
      </c>
      <c r="N43" t="s">
        <v>150</v>
      </c>
      <c r="O43" t="s">
        <v>154</v>
      </c>
      <c r="P43" t="s">
        <v>180</v>
      </c>
      <c r="Q43">
        <v>1</v>
      </c>
      <c r="R43" s="9">
        <v>92228</v>
      </c>
      <c r="S43" t="str">
        <f>IF(OR(Sheet1[[#This Row],[Salary_USD]]&lt;$V$13,Sheet1[[#This Row],[Salary_USD]]&gt;$V$12),"Outlier","Normal")</f>
        <v>Normal</v>
      </c>
    </row>
    <row r="44" spans="1:19" x14ac:dyDescent="0.25">
      <c r="A44" t="s">
        <v>20</v>
      </c>
      <c r="B44" t="s">
        <v>29</v>
      </c>
      <c r="C44" t="s">
        <v>48</v>
      </c>
      <c r="D44" t="s">
        <v>451</v>
      </c>
      <c r="E44" s="2">
        <v>73192</v>
      </c>
      <c r="F44" s="2">
        <v>9636</v>
      </c>
      <c r="G44" t="s">
        <v>67</v>
      </c>
      <c r="H44" t="s">
        <v>56</v>
      </c>
      <c r="I44" t="s">
        <v>76</v>
      </c>
      <c r="J44" t="s">
        <v>86</v>
      </c>
      <c r="K44" t="s">
        <v>115</v>
      </c>
      <c r="L44">
        <v>5</v>
      </c>
      <c r="M44">
        <v>4</v>
      </c>
      <c r="N44" t="s">
        <v>148</v>
      </c>
      <c r="O44" t="s">
        <v>154</v>
      </c>
      <c r="P44" t="s">
        <v>194</v>
      </c>
      <c r="Q44">
        <v>1</v>
      </c>
      <c r="R44" s="9">
        <v>73192</v>
      </c>
      <c r="S44" t="str">
        <f>IF(OR(Sheet1[[#This Row],[Salary_USD]]&lt;$V$13,Sheet1[[#This Row],[Salary_USD]]&gt;$V$12),"Outlier","Normal")</f>
        <v>Normal</v>
      </c>
    </row>
    <row r="45" spans="1:19" x14ac:dyDescent="0.25">
      <c r="A45" t="s">
        <v>19</v>
      </c>
      <c r="B45" t="s">
        <v>34</v>
      </c>
      <c r="C45" t="s">
        <v>46</v>
      </c>
      <c r="D45" t="s">
        <v>58</v>
      </c>
      <c r="E45" s="2">
        <v>1143063</v>
      </c>
      <c r="F45" s="2">
        <v>141574</v>
      </c>
      <c r="G45" t="s">
        <v>66</v>
      </c>
      <c r="H45" t="s">
        <v>451</v>
      </c>
      <c r="I45" t="s">
        <v>76</v>
      </c>
      <c r="J45" t="s">
        <v>92</v>
      </c>
      <c r="K45" t="s">
        <v>119</v>
      </c>
      <c r="L45">
        <v>3</v>
      </c>
      <c r="M45">
        <v>1</v>
      </c>
      <c r="N45" t="s">
        <v>153</v>
      </c>
      <c r="O45" t="s">
        <v>156</v>
      </c>
      <c r="P45" t="s">
        <v>169</v>
      </c>
      <c r="Q45">
        <v>1.2E-2</v>
      </c>
      <c r="R45" s="9">
        <v>13716.755999999999</v>
      </c>
      <c r="S45" t="str">
        <f>IF(OR(Sheet1[[#This Row],[Salary_USD]]&lt;$V$13,Sheet1[[#This Row],[Salary_USD]]&gt;$V$12),"Outlier","Normal")</f>
        <v>Normal</v>
      </c>
    </row>
    <row r="46" spans="1:19" x14ac:dyDescent="0.25">
      <c r="A46" t="s">
        <v>17</v>
      </c>
      <c r="B46" t="s">
        <v>23</v>
      </c>
      <c r="C46" t="s">
        <v>44</v>
      </c>
      <c r="D46" t="s">
        <v>62</v>
      </c>
      <c r="E46" s="2">
        <v>103850</v>
      </c>
      <c r="F46" s="2">
        <v>16630</v>
      </c>
      <c r="G46" t="s">
        <v>64</v>
      </c>
      <c r="H46" t="s">
        <v>71</v>
      </c>
      <c r="I46" t="s">
        <v>74</v>
      </c>
      <c r="J46" t="s">
        <v>84</v>
      </c>
      <c r="K46" t="s">
        <v>74</v>
      </c>
      <c r="L46">
        <v>12</v>
      </c>
      <c r="M46">
        <v>11</v>
      </c>
      <c r="N46" t="s">
        <v>150</v>
      </c>
      <c r="O46" t="s">
        <v>157</v>
      </c>
      <c r="P46" t="s">
        <v>195</v>
      </c>
      <c r="Q46">
        <v>0.65</v>
      </c>
      <c r="R46" s="9">
        <v>67502.5</v>
      </c>
      <c r="S46" t="str">
        <f>IF(OR(Sheet1[[#This Row],[Salary_USD]]&lt;$V$13,Sheet1[[#This Row],[Salary_USD]]&gt;$V$12),"Outlier","Normal")</f>
        <v>Normal</v>
      </c>
    </row>
    <row r="47" spans="1:19" x14ac:dyDescent="0.25">
      <c r="A47" t="s">
        <v>17</v>
      </c>
      <c r="B47" t="s">
        <v>34</v>
      </c>
      <c r="C47" t="s">
        <v>45</v>
      </c>
      <c r="D47" t="s">
        <v>61</v>
      </c>
      <c r="E47" s="2">
        <v>92763</v>
      </c>
      <c r="F47" s="2">
        <v>5240</v>
      </c>
      <c r="G47" t="s">
        <v>65</v>
      </c>
      <c r="H47" t="s">
        <v>69</v>
      </c>
      <c r="I47" t="s">
        <v>80</v>
      </c>
      <c r="J47" t="s">
        <v>93</v>
      </c>
      <c r="K47" t="s">
        <v>93</v>
      </c>
      <c r="L47">
        <v>15</v>
      </c>
      <c r="M47">
        <v>14</v>
      </c>
      <c r="N47" t="s">
        <v>153</v>
      </c>
      <c r="O47" t="s">
        <v>154</v>
      </c>
      <c r="P47" t="s">
        <v>196</v>
      </c>
      <c r="Q47">
        <v>0.73</v>
      </c>
      <c r="R47" s="9">
        <v>67716.990000000005</v>
      </c>
      <c r="S47" t="str">
        <f>IF(OR(Sheet1[[#This Row],[Salary_USD]]&lt;$V$13,Sheet1[[#This Row],[Salary_USD]]&gt;$V$12),"Outlier","Normal")</f>
        <v>Normal</v>
      </c>
    </row>
    <row r="48" spans="1:19" x14ac:dyDescent="0.25">
      <c r="A48" t="s">
        <v>21</v>
      </c>
      <c r="B48" t="s">
        <v>26</v>
      </c>
      <c r="C48" t="s">
        <v>44</v>
      </c>
      <c r="D48" t="s">
        <v>57</v>
      </c>
      <c r="E48" s="2">
        <v>40049</v>
      </c>
      <c r="F48" s="2">
        <v>3929</v>
      </c>
      <c r="G48" t="s">
        <v>63</v>
      </c>
      <c r="H48" t="s">
        <v>451</v>
      </c>
      <c r="I48" t="s">
        <v>76</v>
      </c>
      <c r="J48" t="s">
        <v>100</v>
      </c>
      <c r="K48" t="s">
        <v>132</v>
      </c>
      <c r="L48">
        <v>18</v>
      </c>
      <c r="M48">
        <v>18</v>
      </c>
      <c r="N48" t="s">
        <v>152</v>
      </c>
      <c r="O48" t="s">
        <v>156</v>
      </c>
      <c r="P48" t="s">
        <v>197</v>
      </c>
      <c r="Q48">
        <v>1.1000000000000001</v>
      </c>
      <c r="R48" s="9">
        <v>44053.9</v>
      </c>
      <c r="S48" t="str">
        <f>IF(OR(Sheet1[[#This Row],[Salary_USD]]&lt;$V$13,Sheet1[[#This Row],[Salary_USD]]&gt;$V$12),"Outlier","Normal")</f>
        <v>Normal</v>
      </c>
    </row>
    <row r="49" spans="1:19" x14ac:dyDescent="0.25">
      <c r="A49" t="s">
        <v>17</v>
      </c>
      <c r="B49" t="s">
        <v>23</v>
      </c>
      <c r="C49" t="s">
        <v>47</v>
      </c>
      <c r="D49" t="s">
        <v>59</v>
      </c>
      <c r="E49" s="2">
        <v>41988</v>
      </c>
      <c r="F49" s="2">
        <v>529</v>
      </c>
      <c r="G49" t="s">
        <v>67</v>
      </c>
      <c r="H49" t="s">
        <v>70</v>
      </c>
      <c r="I49" t="s">
        <v>77</v>
      </c>
      <c r="J49" t="s">
        <v>89</v>
      </c>
      <c r="K49" t="s">
        <v>124</v>
      </c>
      <c r="L49">
        <v>9</v>
      </c>
      <c r="M49">
        <v>6</v>
      </c>
      <c r="N49" t="s">
        <v>149</v>
      </c>
      <c r="O49" t="s">
        <v>154</v>
      </c>
      <c r="P49" t="s">
        <v>198</v>
      </c>
      <c r="Q49">
        <v>1</v>
      </c>
      <c r="R49" s="9">
        <v>41988</v>
      </c>
      <c r="S49" t="str">
        <f>IF(OR(Sheet1[[#This Row],[Salary_USD]]&lt;$V$13,Sheet1[[#This Row],[Salary_USD]]&gt;$V$12),"Outlier","Normal")</f>
        <v>Normal</v>
      </c>
    </row>
    <row r="50" spans="1:19" x14ac:dyDescent="0.25">
      <c r="A50" t="s">
        <v>17</v>
      </c>
      <c r="B50" t="s">
        <v>34</v>
      </c>
      <c r="C50" t="s">
        <v>37</v>
      </c>
      <c r="D50" t="s">
        <v>62</v>
      </c>
      <c r="E50" s="2">
        <v>65446</v>
      </c>
      <c r="F50" s="2">
        <v>2828</v>
      </c>
      <c r="G50" t="s">
        <v>63</v>
      </c>
      <c r="H50" t="s">
        <v>451</v>
      </c>
      <c r="I50" t="s">
        <v>74</v>
      </c>
      <c r="J50" t="s">
        <v>84</v>
      </c>
      <c r="K50" t="s">
        <v>74</v>
      </c>
      <c r="L50">
        <v>12</v>
      </c>
      <c r="M50">
        <v>12</v>
      </c>
      <c r="N50" t="s">
        <v>151</v>
      </c>
      <c r="O50" t="s">
        <v>155</v>
      </c>
      <c r="P50" t="s">
        <v>189</v>
      </c>
      <c r="Q50">
        <v>1.1000000000000001</v>
      </c>
      <c r="R50" s="9">
        <v>71990.600000000006</v>
      </c>
      <c r="S50" t="str">
        <f>IF(OR(Sheet1[[#This Row],[Salary_USD]]&lt;$V$13,Sheet1[[#This Row],[Salary_USD]]&gt;$V$12),"Outlier","Normal")</f>
        <v>Normal</v>
      </c>
    </row>
    <row r="51" spans="1:19" x14ac:dyDescent="0.25">
      <c r="A51" t="s">
        <v>19</v>
      </c>
      <c r="B51" t="s">
        <v>24</v>
      </c>
      <c r="C51" t="s">
        <v>42</v>
      </c>
      <c r="D51" t="s">
        <v>60</v>
      </c>
      <c r="E51" s="2">
        <v>66319</v>
      </c>
      <c r="F51" s="2">
        <v>4666</v>
      </c>
      <c r="G51" t="s">
        <v>64</v>
      </c>
      <c r="H51" t="s">
        <v>70</v>
      </c>
      <c r="I51" t="s">
        <v>78</v>
      </c>
      <c r="J51" t="s">
        <v>105</v>
      </c>
      <c r="K51" t="s">
        <v>133</v>
      </c>
      <c r="L51">
        <v>9</v>
      </c>
      <c r="M51">
        <v>7</v>
      </c>
      <c r="N51" t="s">
        <v>150</v>
      </c>
      <c r="O51" t="s">
        <v>154</v>
      </c>
      <c r="P51" t="s">
        <v>172</v>
      </c>
      <c r="Q51">
        <v>0.65</v>
      </c>
      <c r="R51" s="9">
        <v>43107.35</v>
      </c>
      <c r="S51" t="str">
        <f>IF(OR(Sheet1[[#This Row],[Salary_USD]]&lt;$V$13,Sheet1[[#This Row],[Salary_USD]]&gt;$V$12),"Outlier","Normal")</f>
        <v>Normal</v>
      </c>
    </row>
    <row r="52" spans="1:19" x14ac:dyDescent="0.25">
      <c r="A52" t="s">
        <v>21</v>
      </c>
      <c r="B52" t="s">
        <v>26</v>
      </c>
      <c r="C52" t="s">
        <v>36</v>
      </c>
      <c r="D52" t="s">
        <v>57</v>
      </c>
      <c r="E52" s="2">
        <v>56671</v>
      </c>
      <c r="F52" s="2">
        <v>3210</v>
      </c>
      <c r="G52" t="s">
        <v>63</v>
      </c>
      <c r="H52" t="s">
        <v>70</v>
      </c>
      <c r="I52" t="s">
        <v>80</v>
      </c>
      <c r="J52" t="s">
        <v>106</v>
      </c>
      <c r="K52" t="s">
        <v>106</v>
      </c>
      <c r="L52">
        <v>25</v>
      </c>
      <c r="M52">
        <v>24</v>
      </c>
      <c r="N52" t="s">
        <v>151</v>
      </c>
      <c r="O52" t="s">
        <v>156</v>
      </c>
      <c r="P52" t="s">
        <v>165</v>
      </c>
      <c r="Q52">
        <v>1.1000000000000001</v>
      </c>
      <c r="R52" s="9">
        <v>62338.100000000006</v>
      </c>
      <c r="S52" t="str">
        <f>IF(OR(Sheet1[[#This Row],[Salary_USD]]&lt;$V$13,Sheet1[[#This Row],[Salary_USD]]&gt;$V$12),"Outlier","Normal")</f>
        <v>Normal</v>
      </c>
    </row>
    <row r="53" spans="1:19" x14ac:dyDescent="0.25">
      <c r="A53" t="s">
        <v>19</v>
      </c>
      <c r="B53" t="s">
        <v>451</v>
      </c>
      <c r="C53" t="s">
        <v>451</v>
      </c>
      <c r="D53" t="s">
        <v>62</v>
      </c>
      <c r="E53" s="2">
        <v>0</v>
      </c>
      <c r="F53" s="2">
        <v>0</v>
      </c>
      <c r="G53" t="s">
        <v>66</v>
      </c>
      <c r="H53" t="s">
        <v>69</v>
      </c>
      <c r="I53" t="s">
        <v>79</v>
      </c>
      <c r="J53" t="s">
        <v>91</v>
      </c>
      <c r="K53" t="s">
        <v>451</v>
      </c>
      <c r="L53">
        <v>0</v>
      </c>
      <c r="M53">
        <v>12</v>
      </c>
      <c r="N53" t="s">
        <v>152</v>
      </c>
      <c r="O53" t="s">
        <v>452</v>
      </c>
      <c r="P53" t="s">
        <v>173</v>
      </c>
      <c r="Q53">
        <v>1.2E-2</v>
      </c>
      <c r="R53" s="9">
        <v>0</v>
      </c>
      <c r="S53" t="str">
        <f>IF(OR(Sheet1[[#This Row],[Salary_USD]]&lt;$V$13,Sheet1[[#This Row],[Salary_USD]]&gt;$V$12),"Outlier","Normal")</f>
        <v>Normal</v>
      </c>
    </row>
    <row r="54" spans="1:19" x14ac:dyDescent="0.25">
      <c r="A54" t="s">
        <v>19</v>
      </c>
      <c r="B54" t="s">
        <v>35</v>
      </c>
      <c r="C54" t="s">
        <v>51</v>
      </c>
      <c r="D54" t="s">
        <v>57</v>
      </c>
      <c r="E54" s="2">
        <v>94266</v>
      </c>
      <c r="F54" s="2">
        <v>0</v>
      </c>
      <c r="G54" t="s">
        <v>68</v>
      </c>
      <c r="H54" t="s">
        <v>70</v>
      </c>
      <c r="I54" t="s">
        <v>77</v>
      </c>
      <c r="J54" t="s">
        <v>97</v>
      </c>
      <c r="K54" t="s">
        <v>122</v>
      </c>
      <c r="L54">
        <v>4</v>
      </c>
      <c r="M54">
        <v>3</v>
      </c>
      <c r="N54" t="s">
        <v>151</v>
      </c>
      <c r="O54" t="s">
        <v>154</v>
      </c>
      <c r="P54" t="s">
        <v>199</v>
      </c>
      <c r="Q54">
        <v>1.25</v>
      </c>
      <c r="R54" s="9">
        <v>117832.5</v>
      </c>
      <c r="S54" t="str">
        <f>IF(OR(Sheet1[[#This Row],[Salary_USD]]&lt;$V$13,Sheet1[[#This Row],[Salary_USD]]&gt;$V$12),"Outlier","Normal")</f>
        <v>Normal</v>
      </c>
    </row>
    <row r="55" spans="1:19" x14ac:dyDescent="0.25">
      <c r="A55" t="s">
        <v>20</v>
      </c>
      <c r="B55" t="s">
        <v>22</v>
      </c>
      <c r="C55" t="s">
        <v>43</v>
      </c>
      <c r="D55" t="s">
        <v>61</v>
      </c>
      <c r="E55" s="2">
        <v>141460</v>
      </c>
      <c r="F55" s="2">
        <v>387</v>
      </c>
      <c r="G55" t="s">
        <v>64</v>
      </c>
      <c r="H55" t="s">
        <v>451</v>
      </c>
      <c r="I55" t="s">
        <v>72</v>
      </c>
      <c r="J55" t="s">
        <v>82</v>
      </c>
      <c r="K55" t="s">
        <v>112</v>
      </c>
      <c r="L55">
        <v>3</v>
      </c>
      <c r="M55">
        <v>0</v>
      </c>
      <c r="N55" t="s">
        <v>148</v>
      </c>
      <c r="O55" t="s">
        <v>156</v>
      </c>
      <c r="P55" t="s">
        <v>188</v>
      </c>
      <c r="Q55">
        <v>0.65</v>
      </c>
      <c r="R55" s="9">
        <v>91949</v>
      </c>
      <c r="S55" t="str">
        <f>IF(OR(Sheet1[[#This Row],[Salary_USD]]&lt;$V$13,Sheet1[[#This Row],[Salary_USD]]&gt;$V$12),"Outlier","Normal")</f>
        <v>Normal</v>
      </c>
    </row>
    <row r="56" spans="1:19" x14ac:dyDescent="0.25">
      <c r="A56" t="s">
        <v>20</v>
      </c>
      <c r="B56" t="s">
        <v>35</v>
      </c>
      <c r="C56" t="s">
        <v>50</v>
      </c>
      <c r="D56" t="s">
        <v>58</v>
      </c>
      <c r="E56" s="2">
        <v>79724</v>
      </c>
      <c r="F56" s="2">
        <v>201</v>
      </c>
      <c r="G56" t="s">
        <v>63</v>
      </c>
      <c r="H56" t="s">
        <v>69</v>
      </c>
      <c r="I56" t="s">
        <v>79</v>
      </c>
      <c r="J56" t="s">
        <v>107</v>
      </c>
      <c r="K56" t="s">
        <v>134</v>
      </c>
      <c r="L56">
        <v>6</v>
      </c>
      <c r="M56">
        <v>5</v>
      </c>
      <c r="N56" t="s">
        <v>152</v>
      </c>
      <c r="O56" t="s">
        <v>154</v>
      </c>
      <c r="P56" t="s">
        <v>200</v>
      </c>
      <c r="Q56">
        <v>1.1000000000000001</v>
      </c>
      <c r="R56" s="9">
        <v>87696.400000000009</v>
      </c>
      <c r="S56" t="str">
        <f>IF(OR(Sheet1[[#This Row],[Salary_USD]]&lt;$V$13,Sheet1[[#This Row],[Salary_USD]]&gt;$V$12),"Outlier","Normal")</f>
        <v>Normal</v>
      </c>
    </row>
    <row r="57" spans="1:19" x14ac:dyDescent="0.25">
      <c r="A57" t="s">
        <v>19</v>
      </c>
      <c r="B57" t="s">
        <v>35</v>
      </c>
      <c r="C57" t="s">
        <v>36</v>
      </c>
      <c r="D57" t="s">
        <v>57</v>
      </c>
      <c r="E57" s="2">
        <v>66097</v>
      </c>
      <c r="F57" s="2">
        <v>424</v>
      </c>
      <c r="G57" t="s">
        <v>65</v>
      </c>
      <c r="H57" t="s">
        <v>56</v>
      </c>
      <c r="I57" t="s">
        <v>76</v>
      </c>
      <c r="J57" t="s">
        <v>92</v>
      </c>
      <c r="K57" t="s">
        <v>119</v>
      </c>
      <c r="L57">
        <v>25</v>
      </c>
      <c r="M57">
        <v>23</v>
      </c>
      <c r="N57" t="s">
        <v>152</v>
      </c>
      <c r="O57" t="s">
        <v>156</v>
      </c>
      <c r="P57" t="s">
        <v>166</v>
      </c>
      <c r="Q57">
        <v>0.73</v>
      </c>
      <c r="R57" s="9">
        <v>48250.81</v>
      </c>
      <c r="S57" t="str">
        <f>IF(OR(Sheet1[[#This Row],[Salary_USD]]&lt;$V$13,Sheet1[[#This Row],[Salary_USD]]&gt;$V$12),"Outlier","Normal")</f>
        <v>Normal</v>
      </c>
    </row>
    <row r="58" spans="1:19" x14ac:dyDescent="0.25">
      <c r="A58" t="s">
        <v>17</v>
      </c>
      <c r="B58" t="s">
        <v>28</v>
      </c>
      <c r="C58" t="s">
        <v>49</v>
      </c>
      <c r="D58" t="s">
        <v>56</v>
      </c>
      <c r="E58" s="2">
        <v>85593</v>
      </c>
      <c r="F58" s="2">
        <v>7514</v>
      </c>
      <c r="G58" t="s">
        <v>65</v>
      </c>
      <c r="H58" t="s">
        <v>69</v>
      </c>
      <c r="I58" t="s">
        <v>80</v>
      </c>
      <c r="J58" t="s">
        <v>93</v>
      </c>
      <c r="K58" t="s">
        <v>93</v>
      </c>
      <c r="L58">
        <v>8</v>
      </c>
      <c r="M58">
        <v>7</v>
      </c>
      <c r="N58" t="s">
        <v>148</v>
      </c>
      <c r="O58" t="s">
        <v>156</v>
      </c>
      <c r="P58" t="s">
        <v>180</v>
      </c>
      <c r="Q58">
        <v>0.73</v>
      </c>
      <c r="R58" s="9">
        <v>62482.89</v>
      </c>
      <c r="S58" t="str">
        <f>IF(OR(Sheet1[[#This Row],[Salary_USD]]&lt;$V$13,Sheet1[[#This Row],[Salary_USD]]&gt;$V$12),"Outlier","Normal")</f>
        <v>Normal</v>
      </c>
    </row>
    <row r="59" spans="1:19" x14ac:dyDescent="0.25">
      <c r="A59" t="s">
        <v>19</v>
      </c>
      <c r="B59" t="s">
        <v>32</v>
      </c>
      <c r="C59" t="s">
        <v>52</v>
      </c>
      <c r="D59" t="s">
        <v>59</v>
      </c>
      <c r="E59" s="2">
        <v>441098</v>
      </c>
      <c r="F59" s="2">
        <v>0</v>
      </c>
      <c r="G59" t="s">
        <v>66</v>
      </c>
      <c r="H59" t="s">
        <v>70</v>
      </c>
      <c r="I59" t="s">
        <v>75</v>
      </c>
      <c r="J59" t="s">
        <v>85</v>
      </c>
      <c r="K59" t="s">
        <v>114</v>
      </c>
      <c r="L59">
        <v>6</v>
      </c>
      <c r="M59">
        <v>5</v>
      </c>
      <c r="N59" t="s">
        <v>148</v>
      </c>
      <c r="O59" t="s">
        <v>155</v>
      </c>
      <c r="P59" t="s">
        <v>188</v>
      </c>
      <c r="Q59">
        <v>1.2E-2</v>
      </c>
      <c r="R59" s="9">
        <v>5293.1760000000004</v>
      </c>
      <c r="S59" t="str">
        <f>IF(OR(Sheet1[[#This Row],[Salary_USD]]&lt;$V$13,Sheet1[[#This Row],[Salary_USD]]&gt;$V$12),"Outlier","Normal")</f>
        <v>Normal</v>
      </c>
    </row>
    <row r="60" spans="1:19" x14ac:dyDescent="0.25">
      <c r="A60" t="s">
        <v>21</v>
      </c>
      <c r="B60" t="s">
        <v>35</v>
      </c>
      <c r="C60" t="s">
        <v>52</v>
      </c>
      <c r="D60" t="s">
        <v>56</v>
      </c>
      <c r="E60" s="2">
        <v>1042403</v>
      </c>
      <c r="F60" s="2">
        <v>0</v>
      </c>
      <c r="G60" t="s">
        <v>66</v>
      </c>
      <c r="H60" t="s">
        <v>70</v>
      </c>
      <c r="I60" t="s">
        <v>80</v>
      </c>
      <c r="J60" t="s">
        <v>93</v>
      </c>
      <c r="K60" t="s">
        <v>93</v>
      </c>
      <c r="L60">
        <v>12</v>
      </c>
      <c r="M60">
        <v>12</v>
      </c>
      <c r="N60" t="s">
        <v>153</v>
      </c>
      <c r="O60" t="s">
        <v>156</v>
      </c>
      <c r="P60" t="s">
        <v>174</v>
      </c>
      <c r="Q60">
        <v>1.2E-2</v>
      </c>
      <c r="R60" s="9">
        <v>12508.836000000001</v>
      </c>
      <c r="S60" t="str">
        <f>IF(OR(Sheet1[[#This Row],[Salary_USD]]&lt;$V$13,Sheet1[[#This Row],[Salary_USD]]&gt;$V$12),"Outlier","Normal")</f>
        <v>Normal</v>
      </c>
    </row>
    <row r="61" spans="1:19" x14ac:dyDescent="0.25">
      <c r="A61" t="s">
        <v>18</v>
      </c>
      <c r="B61" t="s">
        <v>35</v>
      </c>
      <c r="C61" t="s">
        <v>40</v>
      </c>
      <c r="D61" t="s">
        <v>59</v>
      </c>
      <c r="E61" s="2">
        <v>112462</v>
      </c>
      <c r="F61" s="2">
        <v>1173</v>
      </c>
      <c r="G61" t="s">
        <v>64</v>
      </c>
      <c r="H61" t="s">
        <v>71</v>
      </c>
      <c r="I61" t="s">
        <v>73</v>
      </c>
      <c r="J61" t="s">
        <v>102</v>
      </c>
      <c r="K61" t="s">
        <v>102</v>
      </c>
      <c r="L61">
        <v>0</v>
      </c>
      <c r="M61">
        <v>0</v>
      </c>
      <c r="N61" t="s">
        <v>148</v>
      </c>
      <c r="O61" t="s">
        <v>156</v>
      </c>
      <c r="P61" t="s">
        <v>201</v>
      </c>
      <c r="Q61">
        <v>0.65</v>
      </c>
      <c r="R61" s="9">
        <v>73100.3</v>
      </c>
      <c r="S61" t="str">
        <f>IF(OR(Sheet1[[#This Row],[Salary_USD]]&lt;$V$13,Sheet1[[#This Row],[Salary_USD]]&gt;$V$12),"Outlier","Normal")</f>
        <v>Normal</v>
      </c>
    </row>
    <row r="62" spans="1:19" x14ac:dyDescent="0.25">
      <c r="A62" t="s">
        <v>21</v>
      </c>
      <c r="B62" t="s">
        <v>34</v>
      </c>
      <c r="C62" t="s">
        <v>53</v>
      </c>
      <c r="D62" t="s">
        <v>62</v>
      </c>
      <c r="E62" s="2">
        <v>615089</v>
      </c>
      <c r="F62" s="2">
        <v>1588</v>
      </c>
      <c r="G62" t="s">
        <v>66</v>
      </c>
      <c r="H62" t="s">
        <v>69</v>
      </c>
      <c r="I62" t="s">
        <v>75</v>
      </c>
      <c r="J62" t="s">
        <v>108</v>
      </c>
      <c r="K62" t="s">
        <v>135</v>
      </c>
      <c r="L62">
        <v>25</v>
      </c>
      <c r="M62">
        <v>22</v>
      </c>
      <c r="N62" t="s">
        <v>152</v>
      </c>
      <c r="O62" t="s">
        <v>157</v>
      </c>
      <c r="P62" t="s">
        <v>202</v>
      </c>
      <c r="Q62">
        <v>1.2E-2</v>
      </c>
      <c r="R62" s="9">
        <v>7381.0680000000002</v>
      </c>
      <c r="S62" t="str">
        <f>IF(OR(Sheet1[[#This Row],[Salary_USD]]&lt;$V$13,Sheet1[[#This Row],[Salary_USD]]&gt;$V$12),"Outlier","Normal")</f>
        <v>Normal</v>
      </c>
    </row>
    <row r="63" spans="1:19" x14ac:dyDescent="0.25">
      <c r="A63" t="s">
        <v>19</v>
      </c>
      <c r="B63" t="s">
        <v>451</v>
      </c>
      <c r="C63" t="s">
        <v>451</v>
      </c>
      <c r="D63" t="s">
        <v>55</v>
      </c>
      <c r="E63" s="2">
        <v>0</v>
      </c>
      <c r="F63" s="2">
        <v>5754</v>
      </c>
      <c r="G63" t="s">
        <v>63</v>
      </c>
      <c r="H63" t="s">
        <v>70</v>
      </c>
      <c r="I63" t="s">
        <v>80</v>
      </c>
      <c r="J63" t="s">
        <v>93</v>
      </c>
      <c r="K63" t="s">
        <v>451</v>
      </c>
      <c r="L63">
        <v>0</v>
      </c>
      <c r="M63">
        <v>23</v>
      </c>
      <c r="N63" t="s">
        <v>152</v>
      </c>
      <c r="O63" t="s">
        <v>452</v>
      </c>
      <c r="P63" t="s">
        <v>203</v>
      </c>
      <c r="Q63">
        <v>1.1000000000000001</v>
      </c>
      <c r="R63" s="9">
        <v>0</v>
      </c>
      <c r="S63" t="str">
        <f>IF(OR(Sheet1[[#This Row],[Salary_USD]]&lt;$V$13,Sheet1[[#This Row],[Salary_USD]]&gt;$V$12),"Outlier","Normal")</f>
        <v>Normal</v>
      </c>
    </row>
    <row r="64" spans="1:19" x14ac:dyDescent="0.25">
      <c r="A64" t="s">
        <v>21</v>
      </c>
      <c r="B64" t="s">
        <v>29</v>
      </c>
      <c r="C64" t="s">
        <v>52</v>
      </c>
      <c r="D64" t="s">
        <v>54</v>
      </c>
      <c r="E64" s="2">
        <v>123016</v>
      </c>
      <c r="F64" s="2">
        <v>23538</v>
      </c>
      <c r="G64" t="s">
        <v>67</v>
      </c>
      <c r="H64" t="s">
        <v>71</v>
      </c>
      <c r="I64" t="s">
        <v>78</v>
      </c>
      <c r="J64" t="s">
        <v>104</v>
      </c>
      <c r="K64" t="s">
        <v>131</v>
      </c>
      <c r="L64">
        <v>8</v>
      </c>
      <c r="M64">
        <v>5</v>
      </c>
      <c r="N64" t="s">
        <v>148</v>
      </c>
      <c r="O64" t="s">
        <v>156</v>
      </c>
      <c r="P64" t="s">
        <v>204</v>
      </c>
      <c r="Q64">
        <v>1</v>
      </c>
      <c r="R64" s="9">
        <v>123016</v>
      </c>
      <c r="S64" t="str">
        <f>IF(OR(Sheet1[[#This Row],[Salary_USD]]&lt;$V$13,Sheet1[[#This Row],[Salary_USD]]&gt;$V$12),"Outlier","Normal")</f>
        <v>Normal</v>
      </c>
    </row>
    <row r="65" spans="1:19" x14ac:dyDescent="0.25">
      <c r="A65" t="s">
        <v>17</v>
      </c>
      <c r="B65" t="s">
        <v>32</v>
      </c>
      <c r="C65" t="s">
        <v>38</v>
      </c>
      <c r="D65" t="s">
        <v>62</v>
      </c>
      <c r="E65" s="2">
        <v>520109</v>
      </c>
      <c r="F65" s="2">
        <v>29887</v>
      </c>
      <c r="G65" t="s">
        <v>66</v>
      </c>
      <c r="H65" t="s">
        <v>56</v>
      </c>
      <c r="I65" t="s">
        <v>78</v>
      </c>
      <c r="J65" t="s">
        <v>88</v>
      </c>
      <c r="K65" t="s">
        <v>136</v>
      </c>
      <c r="L65">
        <v>9</v>
      </c>
      <c r="M65">
        <v>9</v>
      </c>
      <c r="N65" t="s">
        <v>153</v>
      </c>
      <c r="O65" t="s">
        <v>157</v>
      </c>
      <c r="P65" t="s">
        <v>166</v>
      </c>
      <c r="Q65">
        <v>1.2E-2</v>
      </c>
      <c r="R65" s="9">
        <v>6241.308</v>
      </c>
      <c r="S65" t="str">
        <f>IF(OR(Sheet1[[#This Row],[Salary_USD]]&lt;$V$13,Sheet1[[#This Row],[Salary_USD]]&gt;$V$12),"Outlier","Normal")</f>
        <v>Normal</v>
      </c>
    </row>
    <row r="66" spans="1:19" x14ac:dyDescent="0.25">
      <c r="A66" t="s">
        <v>20</v>
      </c>
      <c r="B66" t="s">
        <v>35</v>
      </c>
      <c r="C66" t="s">
        <v>42</v>
      </c>
      <c r="D66" t="s">
        <v>61</v>
      </c>
      <c r="E66" s="2">
        <v>605854</v>
      </c>
      <c r="F66" s="2">
        <v>16955</v>
      </c>
      <c r="G66" t="s">
        <v>66</v>
      </c>
      <c r="H66" t="s">
        <v>70</v>
      </c>
      <c r="I66" t="s">
        <v>77</v>
      </c>
      <c r="J66" t="s">
        <v>89</v>
      </c>
      <c r="K66" t="s">
        <v>124</v>
      </c>
      <c r="L66">
        <v>4</v>
      </c>
      <c r="M66">
        <v>4</v>
      </c>
      <c r="N66" t="s">
        <v>149</v>
      </c>
      <c r="O66" t="s">
        <v>154</v>
      </c>
      <c r="P66" t="s">
        <v>165</v>
      </c>
      <c r="Q66">
        <v>1.2E-2</v>
      </c>
      <c r="R66" s="9">
        <v>7270.2480000000005</v>
      </c>
      <c r="S66" t="str">
        <f>IF(OR(Sheet1[[#This Row],[Salary_USD]]&lt;$V$13,Sheet1[[#This Row],[Salary_USD]]&gt;$V$12),"Outlier","Normal")</f>
        <v>Normal</v>
      </c>
    </row>
    <row r="67" spans="1:19" x14ac:dyDescent="0.25">
      <c r="A67" t="s">
        <v>20</v>
      </c>
      <c r="B67" t="s">
        <v>29</v>
      </c>
      <c r="C67" t="s">
        <v>41</v>
      </c>
      <c r="D67" t="s">
        <v>61</v>
      </c>
      <c r="E67" s="2">
        <v>61948</v>
      </c>
      <c r="F67" s="2">
        <v>7375</v>
      </c>
      <c r="G67" t="s">
        <v>65</v>
      </c>
      <c r="H67" t="s">
        <v>69</v>
      </c>
      <c r="I67" t="s">
        <v>79</v>
      </c>
      <c r="J67" t="s">
        <v>91</v>
      </c>
      <c r="K67" t="s">
        <v>118</v>
      </c>
      <c r="L67">
        <v>5</v>
      </c>
      <c r="M67">
        <v>2</v>
      </c>
      <c r="N67" t="s">
        <v>152</v>
      </c>
      <c r="O67" t="s">
        <v>154</v>
      </c>
      <c r="P67" t="s">
        <v>169</v>
      </c>
      <c r="Q67">
        <v>0.73</v>
      </c>
      <c r="R67" s="9">
        <v>45222.04</v>
      </c>
      <c r="S67" t="str">
        <f>IF(OR(Sheet1[[#This Row],[Salary_USD]]&lt;$V$13,Sheet1[[#This Row],[Salary_USD]]&gt;$V$12),"Outlier","Normal")</f>
        <v>Normal</v>
      </c>
    </row>
    <row r="68" spans="1:19" x14ac:dyDescent="0.25">
      <c r="A68" t="s">
        <v>18</v>
      </c>
      <c r="B68" t="s">
        <v>34</v>
      </c>
      <c r="C68" t="s">
        <v>40</v>
      </c>
      <c r="D68" t="s">
        <v>451</v>
      </c>
      <c r="E68" s="2">
        <v>73908</v>
      </c>
      <c r="F68" s="2">
        <v>47</v>
      </c>
      <c r="G68" t="s">
        <v>65</v>
      </c>
      <c r="H68" t="s">
        <v>56</v>
      </c>
      <c r="I68" t="s">
        <v>72</v>
      </c>
      <c r="J68" t="s">
        <v>82</v>
      </c>
      <c r="K68" t="s">
        <v>112</v>
      </c>
      <c r="L68">
        <v>0</v>
      </c>
      <c r="M68">
        <v>0</v>
      </c>
      <c r="N68" t="s">
        <v>148</v>
      </c>
      <c r="O68" t="s">
        <v>156</v>
      </c>
      <c r="P68" t="s">
        <v>205</v>
      </c>
      <c r="Q68">
        <v>0.73</v>
      </c>
      <c r="R68" s="9">
        <v>53952.84</v>
      </c>
      <c r="S68" t="str">
        <f>IF(OR(Sheet1[[#This Row],[Salary_USD]]&lt;$V$13,Sheet1[[#This Row],[Salary_USD]]&gt;$V$12),"Outlier","Normal")</f>
        <v>Normal</v>
      </c>
    </row>
    <row r="69" spans="1:19" x14ac:dyDescent="0.25">
      <c r="A69" t="s">
        <v>20</v>
      </c>
      <c r="B69" t="s">
        <v>35</v>
      </c>
      <c r="C69" t="s">
        <v>49</v>
      </c>
      <c r="D69" t="s">
        <v>451</v>
      </c>
      <c r="E69" s="2">
        <v>63614</v>
      </c>
      <c r="F69" s="2">
        <v>0</v>
      </c>
      <c r="G69" t="s">
        <v>64</v>
      </c>
      <c r="H69" t="s">
        <v>451</v>
      </c>
      <c r="I69" t="s">
        <v>78</v>
      </c>
      <c r="J69" t="s">
        <v>109</v>
      </c>
      <c r="K69" t="s">
        <v>137</v>
      </c>
      <c r="L69">
        <v>2</v>
      </c>
      <c r="M69">
        <v>2</v>
      </c>
      <c r="N69" t="s">
        <v>149</v>
      </c>
      <c r="O69" t="s">
        <v>157</v>
      </c>
      <c r="P69" t="s">
        <v>175</v>
      </c>
      <c r="Q69">
        <v>0.65</v>
      </c>
      <c r="R69" s="9">
        <v>41349.1</v>
      </c>
      <c r="S69" t="str">
        <f>IF(OR(Sheet1[[#This Row],[Salary_USD]]&lt;$V$13,Sheet1[[#This Row],[Salary_USD]]&gt;$V$12),"Outlier","Normal")</f>
        <v>Normal</v>
      </c>
    </row>
    <row r="70" spans="1:19" x14ac:dyDescent="0.25">
      <c r="A70" t="s">
        <v>20</v>
      </c>
      <c r="B70" t="s">
        <v>26</v>
      </c>
      <c r="C70" t="s">
        <v>50</v>
      </c>
      <c r="D70" t="s">
        <v>62</v>
      </c>
      <c r="E70" s="2">
        <v>95929</v>
      </c>
      <c r="F70" s="2">
        <v>1157</v>
      </c>
      <c r="G70" t="s">
        <v>68</v>
      </c>
      <c r="H70" t="s">
        <v>451</v>
      </c>
      <c r="I70" t="s">
        <v>72</v>
      </c>
      <c r="J70" t="s">
        <v>82</v>
      </c>
      <c r="K70" t="s">
        <v>112</v>
      </c>
      <c r="L70">
        <v>1</v>
      </c>
      <c r="M70">
        <v>0</v>
      </c>
      <c r="N70" t="s">
        <v>151</v>
      </c>
      <c r="O70" t="s">
        <v>154</v>
      </c>
      <c r="P70" t="s">
        <v>174</v>
      </c>
      <c r="Q70">
        <v>1.25</v>
      </c>
      <c r="R70" s="9">
        <v>119911.25</v>
      </c>
      <c r="S70" t="str">
        <f>IF(OR(Sheet1[[#This Row],[Salary_USD]]&lt;$V$13,Sheet1[[#This Row],[Salary_USD]]&gt;$V$12),"Outlier","Normal")</f>
        <v>Normal</v>
      </c>
    </row>
    <row r="71" spans="1:19" x14ac:dyDescent="0.25">
      <c r="A71" t="s">
        <v>20</v>
      </c>
      <c r="B71" t="s">
        <v>35</v>
      </c>
      <c r="C71" t="s">
        <v>45</v>
      </c>
      <c r="D71" t="s">
        <v>56</v>
      </c>
      <c r="E71" s="2">
        <v>27257</v>
      </c>
      <c r="F71" s="2">
        <v>0</v>
      </c>
      <c r="G71" t="s">
        <v>63</v>
      </c>
      <c r="H71" t="s">
        <v>56</v>
      </c>
      <c r="I71" t="s">
        <v>74</v>
      </c>
      <c r="J71" t="s">
        <v>84</v>
      </c>
      <c r="K71" t="s">
        <v>74</v>
      </c>
      <c r="L71">
        <v>6</v>
      </c>
      <c r="M71">
        <v>3</v>
      </c>
      <c r="N71" t="s">
        <v>149</v>
      </c>
      <c r="O71" t="s">
        <v>157</v>
      </c>
      <c r="P71" t="s">
        <v>206</v>
      </c>
      <c r="Q71">
        <v>1.1000000000000001</v>
      </c>
      <c r="R71" s="9">
        <v>29982.7</v>
      </c>
      <c r="S71" t="str">
        <f>IF(OR(Sheet1[[#This Row],[Salary_USD]]&lt;$V$13,Sheet1[[#This Row],[Salary_USD]]&gt;$V$12),"Outlier","Normal")</f>
        <v>Normal</v>
      </c>
    </row>
    <row r="72" spans="1:19" x14ac:dyDescent="0.25">
      <c r="A72" t="s">
        <v>19</v>
      </c>
      <c r="B72" t="s">
        <v>28</v>
      </c>
      <c r="C72" t="s">
        <v>45</v>
      </c>
      <c r="D72" t="s">
        <v>57</v>
      </c>
      <c r="E72" s="2">
        <v>123007</v>
      </c>
      <c r="F72" s="2">
        <v>0</v>
      </c>
      <c r="G72" t="s">
        <v>64</v>
      </c>
      <c r="H72" t="s">
        <v>70</v>
      </c>
      <c r="I72" t="s">
        <v>75</v>
      </c>
      <c r="J72" t="s">
        <v>96</v>
      </c>
      <c r="K72" t="s">
        <v>121</v>
      </c>
      <c r="L72">
        <v>3</v>
      </c>
      <c r="M72">
        <v>2</v>
      </c>
      <c r="N72" t="s">
        <v>148</v>
      </c>
      <c r="O72" t="s">
        <v>157</v>
      </c>
      <c r="P72" t="s">
        <v>207</v>
      </c>
      <c r="Q72">
        <v>0.65</v>
      </c>
      <c r="R72" s="9">
        <v>79954.55</v>
      </c>
      <c r="S72" t="str">
        <f>IF(OR(Sheet1[[#This Row],[Salary_USD]]&lt;$V$13,Sheet1[[#This Row],[Salary_USD]]&gt;$V$12),"Outlier","Normal")</f>
        <v>Normal</v>
      </c>
    </row>
    <row r="73" spans="1:19" x14ac:dyDescent="0.25">
      <c r="A73" t="s">
        <v>17</v>
      </c>
      <c r="B73" t="s">
        <v>35</v>
      </c>
      <c r="C73" t="s">
        <v>39</v>
      </c>
      <c r="D73" t="s">
        <v>60</v>
      </c>
      <c r="E73" s="2">
        <v>774928</v>
      </c>
      <c r="F73" s="2">
        <v>36779</v>
      </c>
      <c r="G73" t="s">
        <v>66</v>
      </c>
      <c r="H73" t="s">
        <v>70</v>
      </c>
      <c r="I73" t="s">
        <v>81</v>
      </c>
      <c r="J73" t="s">
        <v>98</v>
      </c>
      <c r="K73" t="s">
        <v>123</v>
      </c>
      <c r="L73">
        <v>10</v>
      </c>
      <c r="M73">
        <v>10</v>
      </c>
      <c r="N73" t="s">
        <v>148</v>
      </c>
      <c r="O73" t="s">
        <v>157</v>
      </c>
      <c r="P73" t="s">
        <v>175</v>
      </c>
      <c r="Q73">
        <v>1.2E-2</v>
      </c>
      <c r="R73" s="9">
        <v>9299.1360000000004</v>
      </c>
      <c r="S73" t="str">
        <f>IF(OR(Sheet1[[#This Row],[Salary_USD]]&lt;$V$13,Sheet1[[#This Row],[Salary_USD]]&gt;$V$12),"Outlier","Normal")</f>
        <v>Normal</v>
      </c>
    </row>
    <row r="74" spans="1:19" x14ac:dyDescent="0.25">
      <c r="A74" t="s">
        <v>19</v>
      </c>
      <c r="B74" t="s">
        <v>28</v>
      </c>
      <c r="C74" t="s">
        <v>43</v>
      </c>
      <c r="D74" t="s">
        <v>57</v>
      </c>
      <c r="E74" s="2">
        <v>15092</v>
      </c>
      <c r="F74" s="2">
        <v>10318</v>
      </c>
      <c r="G74" t="s">
        <v>67</v>
      </c>
      <c r="H74" t="s">
        <v>70</v>
      </c>
      <c r="I74" t="s">
        <v>74</v>
      </c>
      <c r="J74" t="s">
        <v>84</v>
      </c>
      <c r="K74" t="s">
        <v>74</v>
      </c>
      <c r="L74">
        <v>9</v>
      </c>
      <c r="M74">
        <v>9</v>
      </c>
      <c r="N74" t="s">
        <v>153</v>
      </c>
      <c r="O74" t="s">
        <v>156</v>
      </c>
      <c r="P74" t="s">
        <v>208</v>
      </c>
      <c r="Q74">
        <v>1</v>
      </c>
      <c r="R74" s="9">
        <v>15092</v>
      </c>
      <c r="S74" t="str">
        <f>IF(OR(Sheet1[[#This Row],[Salary_USD]]&lt;$V$13,Sheet1[[#This Row],[Salary_USD]]&gt;$V$12),"Outlier","Normal")</f>
        <v>Normal</v>
      </c>
    </row>
    <row r="75" spans="1:19" x14ac:dyDescent="0.25">
      <c r="A75" t="s">
        <v>20</v>
      </c>
      <c r="B75" t="s">
        <v>35</v>
      </c>
      <c r="C75" t="s">
        <v>40</v>
      </c>
      <c r="D75" t="s">
        <v>61</v>
      </c>
      <c r="E75" s="2">
        <v>492880</v>
      </c>
      <c r="F75" s="2">
        <v>15157</v>
      </c>
      <c r="G75" t="s">
        <v>66</v>
      </c>
      <c r="H75" t="s">
        <v>69</v>
      </c>
      <c r="I75" t="s">
        <v>79</v>
      </c>
      <c r="J75" t="s">
        <v>107</v>
      </c>
      <c r="K75" t="s">
        <v>134</v>
      </c>
      <c r="L75">
        <v>5</v>
      </c>
      <c r="M75">
        <v>5</v>
      </c>
      <c r="N75" t="s">
        <v>148</v>
      </c>
      <c r="O75" t="s">
        <v>157</v>
      </c>
      <c r="P75" t="s">
        <v>158</v>
      </c>
      <c r="Q75">
        <v>1.2E-2</v>
      </c>
      <c r="R75" s="9">
        <v>5914.56</v>
      </c>
      <c r="S75" t="str">
        <f>IF(OR(Sheet1[[#This Row],[Salary_USD]]&lt;$V$13,Sheet1[[#This Row],[Salary_USD]]&gt;$V$12),"Outlier","Normal")</f>
        <v>Normal</v>
      </c>
    </row>
    <row r="76" spans="1:19" x14ac:dyDescent="0.25">
      <c r="A76" t="s">
        <v>19</v>
      </c>
      <c r="B76" t="s">
        <v>35</v>
      </c>
      <c r="C76" t="s">
        <v>44</v>
      </c>
      <c r="D76" t="s">
        <v>451</v>
      </c>
      <c r="E76" s="2">
        <v>105033</v>
      </c>
      <c r="F76" s="2">
        <v>13302</v>
      </c>
      <c r="G76" t="s">
        <v>63</v>
      </c>
      <c r="H76" t="s">
        <v>71</v>
      </c>
      <c r="I76" t="s">
        <v>75</v>
      </c>
      <c r="J76" t="s">
        <v>96</v>
      </c>
      <c r="K76" t="s">
        <v>121</v>
      </c>
      <c r="L76">
        <v>18</v>
      </c>
      <c r="M76">
        <v>18</v>
      </c>
      <c r="N76" t="s">
        <v>149</v>
      </c>
      <c r="O76" t="s">
        <v>156</v>
      </c>
      <c r="P76" t="s">
        <v>209</v>
      </c>
      <c r="Q76">
        <v>1.1000000000000001</v>
      </c>
      <c r="R76" s="9">
        <v>115536.3</v>
      </c>
      <c r="S76" t="str">
        <f>IF(OR(Sheet1[[#This Row],[Salary_USD]]&lt;$V$13,Sheet1[[#This Row],[Salary_USD]]&gt;$V$12),"Outlier","Normal")</f>
        <v>Normal</v>
      </c>
    </row>
    <row r="77" spans="1:19" x14ac:dyDescent="0.25">
      <c r="A77" t="s">
        <v>21</v>
      </c>
      <c r="B77" t="s">
        <v>28</v>
      </c>
      <c r="C77" t="s">
        <v>45</v>
      </c>
      <c r="D77" t="s">
        <v>57</v>
      </c>
      <c r="E77" s="2">
        <v>46301</v>
      </c>
      <c r="F77" s="2">
        <v>2565</v>
      </c>
      <c r="G77" t="s">
        <v>64</v>
      </c>
      <c r="H77" t="s">
        <v>70</v>
      </c>
      <c r="I77" t="s">
        <v>76</v>
      </c>
      <c r="J77" t="s">
        <v>100</v>
      </c>
      <c r="K77" t="s">
        <v>132</v>
      </c>
      <c r="L77">
        <v>25</v>
      </c>
      <c r="M77">
        <v>25</v>
      </c>
      <c r="N77" t="s">
        <v>149</v>
      </c>
      <c r="O77" t="s">
        <v>155</v>
      </c>
      <c r="P77" t="s">
        <v>210</v>
      </c>
      <c r="Q77">
        <v>0.65</v>
      </c>
      <c r="R77" s="9">
        <v>30095.65</v>
      </c>
      <c r="S77" t="str">
        <f>IF(OR(Sheet1[[#This Row],[Salary_USD]]&lt;$V$13,Sheet1[[#This Row],[Salary_USD]]&gt;$V$12),"Outlier","Normal")</f>
        <v>Normal</v>
      </c>
    </row>
    <row r="78" spans="1:19" x14ac:dyDescent="0.25">
      <c r="A78" t="s">
        <v>20</v>
      </c>
      <c r="B78" t="s">
        <v>26</v>
      </c>
      <c r="C78" t="s">
        <v>48</v>
      </c>
      <c r="D78" t="s">
        <v>451</v>
      </c>
      <c r="E78" s="2">
        <v>79337</v>
      </c>
      <c r="F78" s="2">
        <v>6379</v>
      </c>
      <c r="G78" t="s">
        <v>63</v>
      </c>
      <c r="H78" t="s">
        <v>71</v>
      </c>
      <c r="I78" t="s">
        <v>72</v>
      </c>
      <c r="J78" t="s">
        <v>95</v>
      </c>
      <c r="K78" t="s">
        <v>120</v>
      </c>
      <c r="L78">
        <v>7</v>
      </c>
      <c r="M78">
        <v>5</v>
      </c>
      <c r="N78" t="s">
        <v>149</v>
      </c>
      <c r="O78" t="s">
        <v>157</v>
      </c>
      <c r="P78" t="s">
        <v>211</v>
      </c>
      <c r="Q78">
        <v>1.1000000000000001</v>
      </c>
      <c r="R78" s="9">
        <v>87270.700000000012</v>
      </c>
      <c r="S78" t="str">
        <f>IF(OR(Sheet1[[#This Row],[Salary_USD]]&lt;$V$13,Sheet1[[#This Row],[Salary_USD]]&gt;$V$12),"Outlier","Normal")</f>
        <v>Normal</v>
      </c>
    </row>
    <row r="79" spans="1:19" x14ac:dyDescent="0.25">
      <c r="A79" t="s">
        <v>17</v>
      </c>
      <c r="B79" t="s">
        <v>28</v>
      </c>
      <c r="C79" t="s">
        <v>41</v>
      </c>
      <c r="D79" t="s">
        <v>58</v>
      </c>
      <c r="E79" s="2">
        <v>80281</v>
      </c>
      <c r="F79" s="2">
        <v>4220</v>
      </c>
      <c r="G79" t="s">
        <v>63</v>
      </c>
      <c r="H79" t="s">
        <v>70</v>
      </c>
      <c r="I79" t="s">
        <v>73</v>
      </c>
      <c r="J79" t="s">
        <v>83</v>
      </c>
      <c r="K79" t="s">
        <v>113</v>
      </c>
      <c r="L79">
        <v>9</v>
      </c>
      <c r="M79">
        <v>9</v>
      </c>
      <c r="N79" t="s">
        <v>150</v>
      </c>
      <c r="O79" t="s">
        <v>155</v>
      </c>
      <c r="P79" t="s">
        <v>188</v>
      </c>
      <c r="Q79">
        <v>1.1000000000000001</v>
      </c>
      <c r="R79" s="9">
        <v>88309.1</v>
      </c>
      <c r="S79" t="str">
        <f>IF(OR(Sheet1[[#This Row],[Salary_USD]]&lt;$V$13,Sheet1[[#This Row],[Salary_USD]]&gt;$V$12),"Outlier","Normal")</f>
        <v>Normal</v>
      </c>
    </row>
    <row r="80" spans="1:19" x14ac:dyDescent="0.25">
      <c r="A80" t="s">
        <v>19</v>
      </c>
      <c r="B80" t="s">
        <v>35</v>
      </c>
      <c r="C80" t="s">
        <v>41</v>
      </c>
      <c r="D80" t="s">
        <v>60</v>
      </c>
      <c r="E80" s="2">
        <v>786898</v>
      </c>
      <c r="F80" s="2">
        <v>22413</v>
      </c>
      <c r="G80" t="s">
        <v>66</v>
      </c>
      <c r="H80" t="s">
        <v>69</v>
      </c>
      <c r="I80" t="s">
        <v>72</v>
      </c>
      <c r="J80" t="s">
        <v>95</v>
      </c>
      <c r="K80" t="s">
        <v>120</v>
      </c>
      <c r="L80">
        <v>5</v>
      </c>
      <c r="M80">
        <v>2</v>
      </c>
      <c r="N80" t="s">
        <v>153</v>
      </c>
      <c r="O80" t="s">
        <v>154</v>
      </c>
      <c r="P80" t="s">
        <v>188</v>
      </c>
      <c r="Q80">
        <v>1.2E-2</v>
      </c>
      <c r="R80" s="9">
        <v>9442.7759999999998</v>
      </c>
      <c r="S80" t="str">
        <f>IF(OR(Sheet1[[#This Row],[Salary_USD]]&lt;$V$13,Sheet1[[#This Row],[Salary_USD]]&gt;$V$12),"Outlier","Normal")</f>
        <v>Normal</v>
      </c>
    </row>
    <row r="81" spans="1:19" x14ac:dyDescent="0.25">
      <c r="A81" t="s">
        <v>19</v>
      </c>
      <c r="B81" t="s">
        <v>31</v>
      </c>
      <c r="C81" t="s">
        <v>42</v>
      </c>
      <c r="D81" t="s">
        <v>58</v>
      </c>
      <c r="E81" s="2">
        <v>839732</v>
      </c>
      <c r="F81" s="2">
        <v>34799</v>
      </c>
      <c r="G81" t="s">
        <v>66</v>
      </c>
      <c r="H81" t="s">
        <v>69</v>
      </c>
      <c r="I81" t="s">
        <v>75</v>
      </c>
      <c r="J81" t="s">
        <v>96</v>
      </c>
      <c r="K81" t="s">
        <v>121</v>
      </c>
      <c r="L81">
        <v>2</v>
      </c>
      <c r="M81">
        <v>0</v>
      </c>
      <c r="N81" t="s">
        <v>150</v>
      </c>
      <c r="O81" t="s">
        <v>155</v>
      </c>
      <c r="P81" t="s">
        <v>212</v>
      </c>
      <c r="Q81">
        <v>1.2E-2</v>
      </c>
      <c r="R81" s="9">
        <v>10076.784</v>
      </c>
      <c r="S81" t="str">
        <f>IF(OR(Sheet1[[#This Row],[Salary_USD]]&lt;$V$13,Sheet1[[#This Row],[Salary_USD]]&gt;$V$12),"Outlier","Normal")</f>
        <v>Normal</v>
      </c>
    </row>
    <row r="82" spans="1:19" x14ac:dyDescent="0.25">
      <c r="A82" t="s">
        <v>19</v>
      </c>
      <c r="B82" t="s">
        <v>35</v>
      </c>
      <c r="C82" t="s">
        <v>44</v>
      </c>
      <c r="D82" t="s">
        <v>60</v>
      </c>
      <c r="E82" s="2">
        <v>89281</v>
      </c>
      <c r="F82" s="2">
        <v>1714</v>
      </c>
      <c r="G82" t="s">
        <v>63</v>
      </c>
      <c r="H82" t="s">
        <v>451</v>
      </c>
      <c r="I82" t="s">
        <v>78</v>
      </c>
      <c r="J82" t="s">
        <v>90</v>
      </c>
      <c r="K82" t="s">
        <v>138</v>
      </c>
      <c r="L82">
        <v>8</v>
      </c>
      <c r="M82">
        <v>6</v>
      </c>
      <c r="N82" t="s">
        <v>148</v>
      </c>
      <c r="O82" t="s">
        <v>154</v>
      </c>
      <c r="P82" t="s">
        <v>188</v>
      </c>
      <c r="Q82">
        <v>1.1000000000000001</v>
      </c>
      <c r="R82" s="9">
        <v>98209.1</v>
      </c>
      <c r="S82" t="str">
        <f>IF(OR(Sheet1[[#This Row],[Salary_USD]]&lt;$V$13,Sheet1[[#This Row],[Salary_USD]]&gt;$V$12),"Outlier","Normal")</f>
        <v>Normal</v>
      </c>
    </row>
    <row r="83" spans="1:19" x14ac:dyDescent="0.25">
      <c r="A83" t="s">
        <v>18</v>
      </c>
      <c r="B83" t="s">
        <v>23</v>
      </c>
      <c r="C83" t="s">
        <v>37</v>
      </c>
      <c r="D83" t="s">
        <v>62</v>
      </c>
      <c r="E83" s="2">
        <v>108312</v>
      </c>
      <c r="F83" s="2">
        <v>5107</v>
      </c>
      <c r="G83" t="s">
        <v>68</v>
      </c>
      <c r="H83" t="s">
        <v>56</v>
      </c>
      <c r="I83" t="s">
        <v>73</v>
      </c>
      <c r="J83" t="s">
        <v>83</v>
      </c>
      <c r="K83" t="s">
        <v>113</v>
      </c>
      <c r="L83">
        <v>0</v>
      </c>
      <c r="M83">
        <v>0</v>
      </c>
      <c r="N83" t="s">
        <v>148</v>
      </c>
      <c r="O83" t="s">
        <v>155</v>
      </c>
      <c r="P83" t="s">
        <v>213</v>
      </c>
      <c r="Q83">
        <v>1.25</v>
      </c>
      <c r="R83" s="9">
        <v>135390</v>
      </c>
      <c r="S83" t="str">
        <f>IF(OR(Sheet1[[#This Row],[Salary_USD]]&lt;$V$13,Sheet1[[#This Row],[Salary_USD]]&gt;$V$12),"Outlier","Normal")</f>
        <v>Normal</v>
      </c>
    </row>
    <row r="84" spans="1:19" x14ac:dyDescent="0.25">
      <c r="A84" t="s">
        <v>19</v>
      </c>
      <c r="B84" t="s">
        <v>28</v>
      </c>
      <c r="C84" t="s">
        <v>48</v>
      </c>
      <c r="D84" t="s">
        <v>57</v>
      </c>
      <c r="E84" s="2">
        <v>8781</v>
      </c>
      <c r="F84" s="2">
        <v>10240</v>
      </c>
      <c r="G84" t="s">
        <v>68</v>
      </c>
      <c r="H84" t="s">
        <v>69</v>
      </c>
      <c r="I84" t="s">
        <v>74</v>
      </c>
      <c r="J84" t="s">
        <v>84</v>
      </c>
      <c r="K84" t="s">
        <v>74</v>
      </c>
      <c r="L84">
        <v>8</v>
      </c>
      <c r="M84">
        <v>5</v>
      </c>
      <c r="N84" t="s">
        <v>152</v>
      </c>
      <c r="O84" t="s">
        <v>157</v>
      </c>
      <c r="P84" t="s">
        <v>202</v>
      </c>
      <c r="Q84">
        <v>1.25</v>
      </c>
      <c r="R84" s="9">
        <v>10976.25</v>
      </c>
      <c r="S84" t="str">
        <f>IF(OR(Sheet1[[#This Row],[Salary_USD]]&lt;$V$13,Sheet1[[#This Row],[Salary_USD]]&gt;$V$12),"Outlier","Normal")</f>
        <v>Normal</v>
      </c>
    </row>
    <row r="85" spans="1:19" x14ac:dyDescent="0.25">
      <c r="A85" t="s">
        <v>19</v>
      </c>
      <c r="B85" t="s">
        <v>28</v>
      </c>
      <c r="C85" t="s">
        <v>40</v>
      </c>
      <c r="D85" t="s">
        <v>56</v>
      </c>
      <c r="E85" s="2">
        <v>18665</v>
      </c>
      <c r="F85" s="2">
        <v>0</v>
      </c>
      <c r="G85" t="s">
        <v>64</v>
      </c>
      <c r="H85" t="s">
        <v>56</v>
      </c>
      <c r="I85" t="s">
        <v>77</v>
      </c>
      <c r="J85" t="s">
        <v>110</v>
      </c>
      <c r="K85" t="s">
        <v>139</v>
      </c>
      <c r="L85">
        <v>12</v>
      </c>
      <c r="M85">
        <v>12</v>
      </c>
      <c r="N85" t="s">
        <v>148</v>
      </c>
      <c r="O85" t="s">
        <v>156</v>
      </c>
      <c r="P85" t="s">
        <v>214</v>
      </c>
      <c r="Q85">
        <v>0.65</v>
      </c>
      <c r="R85" s="9">
        <v>12132.25</v>
      </c>
      <c r="S85" t="str">
        <f>IF(OR(Sheet1[[#This Row],[Salary_USD]]&lt;$V$13,Sheet1[[#This Row],[Salary_USD]]&gt;$V$12),"Outlier","Normal")</f>
        <v>Normal</v>
      </c>
    </row>
    <row r="86" spans="1:19" x14ac:dyDescent="0.25">
      <c r="A86" t="s">
        <v>21</v>
      </c>
      <c r="B86" t="s">
        <v>24</v>
      </c>
      <c r="C86" t="s">
        <v>44</v>
      </c>
      <c r="D86" t="s">
        <v>60</v>
      </c>
      <c r="E86" s="2">
        <v>47693</v>
      </c>
      <c r="F86" s="2">
        <v>0</v>
      </c>
      <c r="G86" t="s">
        <v>68</v>
      </c>
      <c r="H86" t="s">
        <v>56</v>
      </c>
      <c r="I86" t="s">
        <v>77</v>
      </c>
      <c r="J86" t="s">
        <v>89</v>
      </c>
      <c r="K86" t="s">
        <v>124</v>
      </c>
      <c r="L86">
        <v>10</v>
      </c>
      <c r="M86">
        <v>9</v>
      </c>
      <c r="N86" t="s">
        <v>153</v>
      </c>
      <c r="O86" t="s">
        <v>157</v>
      </c>
      <c r="P86" t="s">
        <v>178</v>
      </c>
      <c r="Q86">
        <v>1.25</v>
      </c>
      <c r="R86" s="9">
        <v>59616.25</v>
      </c>
      <c r="S86" t="str">
        <f>IF(OR(Sheet1[[#This Row],[Salary_USD]]&lt;$V$13,Sheet1[[#This Row],[Salary_USD]]&gt;$V$12),"Outlier","Normal")</f>
        <v>Normal</v>
      </c>
    </row>
    <row r="87" spans="1:19" x14ac:dyDescent="0.25">
      <c r="A87" t="s">
        <v>19</v>
      </c>
      <c r="B87" t="s">
        <v>24</v>
      </c>
      <c r="C87" t="s">
        <v>37</v>
      </c>
      <c r="D87" t="s">
        <v>62</v>
      </c>
      <c r="E87" s="2">
        <v>120358</v>
      </c>
      <c r="F87" s="2">
        <v>10790</v>
      </c>
      <c r="G87" t="s">
        <v>67</v>
      </c>
      <c r="H87" t="s">
        <v>70</v>
      </c>
      <c r="I87" t="s">
        <v>81</v>
      </c>
      <c r="J87" t="s">
        <v>103</v>
      </c>
      <c r="K87" t="s">
        <v>140</v>
      </c>
      <c r="L87">
        <v>5</v>
      </c>
      <c r="M87">
        <v>5</v>
      </c>
      <c r="N87" t="s">
        <v>148</v>
      </c>
      <c r="O87" t="s">
        <v>155</v>
      </c>
      <c r="P87" t="s">
        <v>178</v>
      </c>
      <c r="Q87">
        <v>1</v>
      </c>
      <c r="R87" s="9">
        <v>120358</v>
      </c>
      <c r="S87" t="str">
        <f>IF(OR(Sheet1[[#This Row],[Salary_USD]]&lt;$V$13,Sheet1[[#This Row],[Salary_USD]]&gt;$V$12),"Outlier","Normal")</f>
        <v>Normal</v>
      </c>
    </row>
    <row r="88" spans="1:19" x14ac:dyDescent="0.25">
      <c r="A88" t="s">
        <v>19</v>
      </c>
      <c r="B88" t="s">
        <v>451</v>
      </c>
      <c r="C88" t="s">
        <v>451</v>
      </c>
      <c r="D88" t="s">
        <v>60</v>
      </c>
      <c r="E88" s="2">
        <v>0</v>
      </c>
      <c r="F88" s="2">
        <v>7811</v>
      </c>
      <c r="G88" t="s">
        <v>63</v>
      </c>
      <c r="H88" t="s">
        <v>56</v>
      </c>
      <c r="I88" t="s">
        <v>79</v>
      </c>
      <c r="J88" t="s">
        <v>91</v>
      </c>
      <c r="K88" t="s">
        <v>451</v>
      </c>
      <c r="L88">
        <v>0</v>
      </c>
      <c r="M88">
        <v>4</v>
      </c>
      <c r="N88" t="s">
        <v>150</v>
      </c>
      <c r="O88" t="s">
        <v>452</v>
      </c>
      <c r="P88" t="s">
        <v>215</v>
      </c>
      <c r="Q88">
        <v>1.1000000000000001</v>
      </c>
      <c r="R88" s="9">
        <v>0</v>
      </c>
      <c r="S88" t="str">
        <f>IF(OR(Sheet1[[#This Row],[Salary_USD]]&lt;$V$13,Sheet1[[#This Row],[Salary_USD]]&gt;$V$12),"Outlier","Normal")</f>
        <v>Normal</v>
      </c>
    </row>
    <row r="89" spans="1:19" x14ac:dyDescent="0.25">
      <c r="A89" t="s">
        <v>20</v>
      </c>
      <c r="B89" t="s">
        <v>23</v>
      </c>
      <c r="C89" t="s">
        <v>39</v>
      </c>
      <c r="D89" t="s">
        <v>56</v>
      </c>
      <c r="E89" s="2">
        <v>67864</v>
      </c>
      <c r="F89" s="2">
        <v>4878</v>
      </c>
      <c r="G89" t="s">
        <v>64</v>
      </c>
      <c r="H89" t="s">
        <v>69</v>
      </c>
      <c r="I89" t="s">
        <v>77</v>
      </c>
      <c r="J89" t="s">
        <v>97</v>
      </c>
      <c r="K89" t="s">
        <v>122</v>
      </c>
      <c r="L89">
        <v>6</v>
      </c>
      <c r="M89">
        <v>6</v>
      </c>
      <c r="N89" t="s">
        <v>149</v>
      </c>
      <c r="O89" t="s">
        <v>154</v>
      </c>
      <c r="P89" t="s">
        <v>212</v>
      </c>
      <c r="Q89">
        <v>0.65</v>
      </c>
      <c r="R89" s="9">
        <v>44111.6</v>
      </c>
      <c r="S89" t="str">
        <f>IF(OR(Sheet1[[#This Row],[Salary_USD]]&lt;$V$13,Sheet1[[#This Row],[Salary_USD]]&gt;$V$12),"Outlier","Normal")</f>
        <v>Normal</v>
      </c>
    </row>
    <row r="90" spans="1:19" x14ac:dyDescent="0.25">
      <c r="A90" t="s">
        <v>20</v>
      </c>
      <c r="B90" t="s">
        <v>29</v>
      </c>
      <c r="C90" t="s">
        <v>46</v>
      </c>
      <c r="D90" t="s">
        <v>61</v>
      </c>
      <c r="E90" s="2">
        <v>91974</v>
      </c>
      <c r="F90" s="2">
        <v>0</v>
      </c>
      <c r="G90" t="s">
        <v>65</v>
      </c>
      <c r="H90" t="s">
        <v>56</v>
      </c>
      <c r="I90" t="s">
        <v>77</v>
      </c>
      <c r="J90" t="s">
        <v>110</v>
      </c>
      <c r="K90" t="s">
        <v>139</v>
      </c>
      <c r="L90">
        <v>6</v>
      </c>
      <c r="M90">
        <v>4</v>
      </c>
      <c r="N90" t="s">
        <v>153</v>
      </c>
      <c r="O90" t="s">
        <v>154</v>
      </c>
      <c r="P90" t="s">
        <v>167</v>
      </c>
      <c r="Q90">
        <v>0.73</v>
      </c>
      <c r="R90" s="9">
        <v>67141.02</v>
      </c>
      <c r="S90" t="str">
        <f>IF(OR(Sheet1[[#This Row],[Salary_USD]]&lt;$V$13,Sheet1[[#This Row],[Salary_USD]]&gt;$V$12),"Outlier","Normal")</f>
        <v>Normal</v>
      </c>
    </row>
    <row r="91" spans="1:19" x14ac:dyDescent="0.25">
      <c r="A91" t="s">
        <v>20</v>
      </c>
      <c r="B91" t="s">
        <v>23</v>
      </c>
      <c r="C91" t="s">
        <v>52</v>
      </c>
      <c r="D91" t="s">
        <v>61</v>
      </c>
      <c r="E91" s="2">
        <v>130119</v>
      </c>
      <c r="F91" s="2">
        <v>13404</v>
      </c>
      <c r="G91" t="s">
        <v>64</v>
      </c>
      <c r="H91" t="s">
        <v>71</v>
      </c>
      <c r="I91" t="s">
        <v>79</v>
      </c>
      <c r="J91" t="s">
        <v>107</v>
      </c>
      <c r="K91" t="s">
        <v>134</v>
      </c>
      <c r="L91">
        <v>3</v>
      </c>
      <c r="M91">
        <v>2</v>
      </c>
      <c r="N91" t="s">
        <v>153</v>
      </c>
      <c r="O91" t="s">
        <v>155</v>
      </c>
      <c r="P91" t="s">
        <v>178</v>
      </c>
      <c r="Q91">
        <v>0.65</v>
      </c>
      <c r="R91" s="9">
        <v>84577.35</v>
      </c>
      <c r="S91" t="str">
        <f>IF(OR(Sheet1[[#This Row],[Salary_USD]]&lt;$V$13,Sheet1[[#This Row],[Salary_USD]]&gt;$V$12),"Outlier","Normal")</f>
        <v>Normal</v>
      </c>
    </row>
    <row r="92" spans="1:19" x14ac:dyDescent="0.25">
      <c r="A92" t="s">
        <v>20</v>
      </c>
      <c r="B92" t="s">
        <v>24</v>
      </c>
      <c r="C92" t="s">
        <v>51</v>
      </c>
      <c r="D92" t="s">
        <v>57</v>
      </c>
      <c r="E92" s="2">
        <v>90905</v>
      </c>
      <c r="F92" s="2">
        <v>0</v>
      </c>
      <c r="G92" t="s">
        <v>64</v>
      </c>
      <c r="H92" t="s">
        <v>69</v>
      </c>
      <c r="I92" t="s">
        <v>77</v>
      </c>
      <c r="J92" t="s">
        <v>97</v>
      </c>
      <c r="K92" t="s">
        <v>122</v>
      </c>
      <c r="L92">
        <v>7</v>
      </c>
      <c r="M92">
        <v>7</v>
      </c>
      <c r="N92" t="s">
        <v>151</v>
      </c>
      <c r="O92" t="s">
        <v>155</v>
      </c>
      <c r="P92" t="s">
        <v>216</v>
      </c>
      <c r="Q92">
        <v>0.65</v>
      </c>
      <c r="R92" s="9">
        <v>59088.25</v>
      </c>
      <c r="S92" t="str">
        <f>IF(OR(Sheet1[[#This Row],[Salary_USD]]&lt;$V$13,Sheet1[[#This Row],[Salary_USD]]&gt;$V$12),"Outlier","Normal")</f>
        <v>Normal</v>
      </c>
    </row>
    <row r="93" spans="1:19" x14ac:dyDescent="0.25">
      <c r="A93" t="s">
        <v>19</v>
      </c>
      <c r="B93" t="s">
        <v>35</v>
      </c>
      <c r="C93" t="s">
        <v>42</v>
      </c>
      <c r="D93" t="s">
        <v>451</v>
      </c>
      <c r="E93" s="2">
        <v>71493</v>
      </c>
      <c r="F93" s="2">
        <v>0</v>
      </c>
      <c r="G93" t="s">
        <v>68</v>
      </c>
      <c r="H93" t="s">
        <v>71</v>
      </c>
      <c r="I93" t="s">
        <v>79</v>
      </c>
      <c r="J93" t="s">
        <v>91</v>
      </c>
      <c r="K93" t="s">
        <v>118</v>
      </c>
      <c r="L93">
        <v>25</v>
      </c>
      <c r="M93">
        <v>25</v>
      </c>
      <c r="N93" t="s">
        <v>153</v>
      </c>
      <c r="O93" t="s">
        <v>155</v>
      </c>
      <c r="P93" t="s">
        <v>188</v>
      </c>
      <c r="Q93">
        <v>1.25</v>
      </c>
      <c r="R93" s="9">
        <v>89366.25</v>
      </c>
      <c r="S93" t="str">
        <f>IF(OR(Sheet1[[#This Row],[Salary_USD]]&lt;$V$13,Sheet1[[#This Row],[Salary_USD]]&gt;$V$12),"Outlier","Normal")</f>
        <v>Normal</v>
      </c>
    </row>
    <row r="94" spans="1:19" x14ac:dyDescent="0.25">
      <c r="A94" t="s">
        <v>20</v>
      </c>
      <c r="B94" t="s">
        <v>33</v>
      </c>
      <c r="C94" t="s">
        <v>43</v>
      </c>
      <c r="D94" t="s">
        <v>59</v>
      </c>
      <c r="E94" s="2">
        <v>1409249</v>
      </c>
      <c r="F94" s="2">
        <v>102411</v>
      </c>
      <c r="G94" t="s">
        <v>66</v>
      </c>
      <c r="H94" t="s">
        <v>71</v>
      </c>
      <c r="I94" t="s">
        <v>79</v>
      </c>
      <c r="J94" t="s">
        <v>107</v>
      </c>
      <c r="K94" t="s">
        <v>134</v>
      </c>
      <c r="L94">
        <v>6</v>
      </c>
      <c r="M94">
        <v>5</v>
      </c>
      <c r="N94" t="s">
        <v>148</v>
      </c>
      <c r="O94" t="s">
        <v>155</v>
      </c>
      <c r="P94" t="s">
        <v>174</v>
      </c>
      <c r="Q94">
        <v>1.2E-2</v>
      </c>
      <c r="R94" s="9">
        <v>16910.988000000001</v>
      </c>
      <c r="S94" t="str">
        <f>IF(OR(Sheet1[[#This Row],[Salary_USD]]&lt;$V$13,Sheet1[[#This Row],[Salary_USD]]&gt;$V$12),"Outlier","Normal")</f>
        <v>Normal</v>
      </c>
    </row>
    <row r="95" spans="1:19" x14ac:dyDescent="0.25">
      <c r="A95" t="s">
        <v>20</v>
      </c>
      <c r="B95" t="s">
        <v>34</v>
      </c>
      <c r="C95" t="s">
        <v>37</v>
      </c>
      <c r="D95" t="s">
        <v>56</v>
      </c>
      <c r="E95" s="2">
        <v>38301</v>
      </c>
      <c r="F95" s="2">
        <v>0</v>
      </c>
      <c r="G95" t="s">
        <v>64</v>
      </c>
      <c r="H95" t="s">
        <v>70</v>
      </c>
      <c r="I95" t="s">
        <v>75</v>
      </c>
      <c r="J95" t="s">
        <v>85</v>
      </c>
      <c r="K95" t="s">
        <v>114</v>
      </c>
      <c r="L95">
        <v>4</v>
      </c>
      <c r="M95">
        <v>1</v>
      </c>
      <c r="N95" t="s">
        <v>149</v>
      </c>
      <c r="O95" t="s">
        <v>157</v>
      </c>
      <c r="P95" t="s">
        <v>189</v>
      </c>
      <c r="Q95">
        <v>0.65</v>
      </c>
      <c r="R95" s="9">
        <v>24895.65</v>
      </c>
      <c r="S95" t="str">
        <f>IF(OR(Sheet1[[#This Row],[Salary_USD]]&lt;$V$13,Sheet1[[#This Row],[Salary_USD]]&gt;$V$12),"Outlier","Normal")</f>
        <v>Normal</v>
      </c>
    </row>
    <row r="96" spans="1:19" x14ac:dyDescent="0.25">
      <c r="A96" t="s">
        <v>17</v>
      </c>
      <c r="B96" t="s">
        <v>35</v>
      </c>
      <c r="C96" t="s">
        <v>50</v>
      </c>
      <c r="D96" t="s">
        <v>451</v>
      </c>
      <c r="E96" s="2">
        <v>162037</v>
      </c>
      <c r="F96" s="2">
        <v>7892</v>
      </c>
      <c r="G96" t="s">
        <v>67</v>
      </c>
      <c r="H96" t="s">
        <v>451</v>
      </c>
      <c r="I96" t="s">
        <v>80</v>
      </c>
      <c r="J96" t="s">
        <v>93</v>
      </c>
      <c r="K96" t="s">
        <v>93</v>
      </c>
      <c r="L96">
        <v>8</v>
      </c>
      <c r="M96">
        <v>8</v>
      </c>
      <c r="N96" t="s">
        <v>151</v>
      </c>
      <c r="O96" t="s">
        <v>155</v>
      </c>
      <c r="P96" t="s">
        <v>189</v>
      </c>
      <c r="Q96">
        <v>1</v>
      </c>
      <c r="R96" s="9">
        <v>162037</v>
      </c>
      <c r="S96" t="str">
        <f>IF(OR(Sheet1[[#This Row],[Salary_USD]]&lt;$V$13,Sheet1[[#This Row],[Salary_USD]]&gt;$V$12),"Outlier","Normal")</f>
        <v>Normal</v>
      </c>
    </row>
    <row r="97" spans="1:19" x14ac:dyDescent="0.25">
      <c r="A97" t="s">
        <v>19</v>
      </c>
      <c r="B97" t="s">
        <v>29</v>
      </c>
      <c r="C97" t="s">
        <v>44</v>
      </c>
      <c r="D97" t="s">
        <v>59</v>
      </c>
      <c r="E97" s="2">
        <v>82839</v>
      </c>
      <c r="F97" s="2">
        <v>704</v>
      </c>
      <c r="G97" t="s">
        <v>64</v>
      </c>
      <c r="H97" t="s">
        <v>56</v>
      </c>
      <c r="I97" t="s">
        <v>79</v>
      </c>
      <c r="J97" t="s">
        <v>107</v>
      </c>
      <c r="K97" t="s">
        <v>134</v>
      </c>
      <c r="L97">
        <v>2</v>
      </c>
      <c r="M97">
        <v>0</v>
      </c>
      <c r="N97" t="s">
        <v>151</v>
      </c>
      <c r="O97" t="s">
        <v>155</v>
      </c>
      <c r="P97" t="s">
        <v>217</v>
      </c>
      <c r="Q97">
        <v>0.65</v>
      </c>
      <c r="R97" s="9">
        <v>53845.35</v>
      </c>
      <c r="S97" t="str">
        <f>IF(OR(Sheet1[[#This Row],[Salary_USD]]&lt;$V$13,Sheet1[[#This Row],[Salary_USD]]&gt;$V$12),"Outlier","Normal")</f>
        <v>Normal</v>
      </c>
    </row>
    <row r="98" spans="1:19" x14ac:dyDescent="0.25">
      <c r="A98" t="s">
        <v>19</v>
      </c>
      <c r="B98" t="s">
        <v>35</v>
      </c>
      <c r="C98" t="s">
        <v>47</v>
      </c>
      <c r="D98" t="s">
        <v>59</v>
      </c>
      <c r="E98" s="2">
        <v>90710</v>
      </c>
      <c r="F98" s="2">
        <v>23735</v>
      </c>
      <c r="G98" t="s">
        <v>65</v>
      </c>
      <c r="H98" t="s">
        <v>70</v>
      </c>
      <c r="I98" t="s">
        <v>81</v>
      </c>
      <c r="J98" t="s">
        <v>94</v>
      </c>
      <c r="K98" t="s">
        <v>129</v>
      </c>
      <c r="L98">
        <v>4</v>
      </c>
      <c r="M98">
        <v>1</v>
      </c>
      <c r="N98" t="s">
        <v>152</v>
      </c>
      <c r="O98" t="s">
        <v>157</v>
      </c>
      <c r="P98" t="s">
        <v>171</v>
      </c>
      <c r="Q98">
        <v>0.73</v>
      </c>
      <c r="R98" s="9">
        <v>66218.3</v>
      </c>
      <c r="S98" t="str">
        <f>IF(OR(Sheet1[[#This Row],[Salary_USD]]&lt;$V$13,Sheet1[[#This Row],[Salary_USD]]&gt;$V$12),"Outlier","Normal")</f>
        <v>Normal</v>
      </c>
    </row>
    <row r="99" spans="1:19" x14ac:dyDescent="0.25">
      <c r="A99" t="s">
        <v>17</v>
      </c>
      <c r="B99" t="s">
        <v>23</v>
      </c>
      <c r="C99" t="s">
        <v>48</v>
      </c>
      <c r="D99" t="s">
        <v>58</v>
      </c>
      <c r="E99" s="2">
        <v>100105</v>
      </c>
      <c r="F99" s="2">
        <v>282</v>
      </c>
      <c r="G99" t="s">
        <v>63</v>
      </c>
      <c r="H99" t="s">
        <v>70</v>
      </c>
      <c r="I99" t="s">
        <v>81</v>
      </c>
      <c r="J99" t="s">
        <v>94</v>
      </c>
      <c r="K99" t="s">
        <v>129</v>
      </c>
      <c r="L99">
        <v>20</v>
      </c>
      <c r="M99">
        <v>20</v>
      </c>
      <c r="N99" t="s">
        <v>151</v>
      </c>
      <c r="O99" t="s">
        <v>155</v>
      </c>
      <c r="P99" t="s">
        <v>167</v>
      </c>
      <c r="Q99">
        <v>1.1000000000000001</v>
      </c>
      <c r="R99" s="9">
        <v>110115.50000000001</v>
      </c>
      <c r="S99" t="str">
        <f>IF(OR(Sheet1[[#This Row],[Salary_USD]]&lt;$V$13,Sheet1[[#This Row],[Salary_USD]]&gt;$V$12),"Outlier","Normal")</f>
        <v>Normal</v>
      </c>
    </row>
    <row r="100" spans="1:19" x14ac:dyDescent="0.25">
      <c r="A100" t="s">
        <v>19</v>
      </c>
      <c r="B100" t="s">
        <v>23</v>
      </c>
      <c r="C100" t="s">
        <v>53</v>
      </c>
      <c r="D100" t="s">
        <v>60</v>
      </c>
      <c r="E100" s="2">
        <v>134782</v>
      </c>
      <c r="F100" s="2">
        <v>28438</v>
      </c>
      <c r="G100" t="s">
        <v>67</v>
      </c>
      <c r="H100" t="s">
        <v>56</v>
      </c>
      <c r="I100" t="s">
        <v>79</v>
      </c>
      <c r="J100" t="s">
        <v>91</v>
      </c>
      <c r="K100" t="s">
        <v>118</v>
      </c>
      <c r="L100">
        <v>5</v>
      </c>
      <c r="M100">
        <v>3</v>
      </c>
      <c r="N100" t="s">
        <v>150</v>
      </c>
      <c r="O100" t="s">
        <v>156</v>
      </c>
      <c r="P100" t="s">
        <v>209</v>
      </c>
      <c r="Q100">
        <v>1</v>
      </c>
      <c r="R100" s="9">
        <v>134782</v>
      </c>
      <c r="S100" t="str">
        <f>IF(OR(Sheet1[[#This Row],[Salary_USD]]&lt;$V$13,Sheet1[[#This Row],[Salary_USD]]&gt;$V$12),"Outlier","Normal")</f>
        <v>Normal</v>
      </c>
    </row>
    <row r="101" spans="1:19" x14ac:dyDescent="0.25">
      <c r="A101" t="s">
        <v>21</v>
      </c>
      <c r="B101" t="s">
        <v>29</v>
      </c>
      <c r="C101" t="s">
        <v>47</v>
      </c>
      <c r="D101" t="s">
        <v>451</v>
      </c>
      <c r="E101" s="2">
        <v>114964</v>
      </c>
      <c r="F101" s="2">
        <v>12307</v>
      </c>
      <c r="G101" t="s">
        <v>67</v>
      </c>
      <c r="H101" t="s">
        <v>69</v>
      </c>
      <c r="I101" t="s">
        <v>72</v>
      </c>
      <c r="J101" t="s">
        <v>95</v>
      </c>
      <c r="K101" t="s">
        <v>120</v>
      </c>
      <c r="L101">
        <v>10</v>
      </c>
      <c r="M101">
        <v>9</v>
      </c>
      <c r="N101" t="s">
        <v>151</v>
      </c>
      <c r="O101" t="s">
        <v>154</v>
      </c>
      <c r="P101" t="s">
        <v>218</v>
      </c>
      <c r="Q101">
        <v>1</v>
      </c>
      <c r="R101" s="9">
        <v>114964</v>
      </c>
      <c r="S101" t="str">
        <f>IF(OR(Sheet1[[#This Row],[Salary_USD]]&lt;$V$13,Sheet1[[#This Row],[Salary_USD]]&gt;$V$12),"Outlier","Normal")</f>
        <v>Normal</v>
      </c>
    </row>
    <row r="102" spans="1:19" x14ac:dyDescent="0.25">
      <c r="A102" t="s">
        <v>21</v>
      </c>
      <c r="B102" t="s">
        <v>26</v>
      </c>
      <c r="C102" t="s">
        <v>47</v>
      </c>
      <c r="D102" t="s">
        <v>60</v>
      </c>
      <c r="E102" s="2">
        <v>42718</v>
      </c>
      <c r="F102" s="2">
        <v>2889</v>
      </c>
      <c r="G102" t="s">
        <v>63</v>
      </c>
      <c r="H102" t="s">
        <v>71</v>
      </c>
      <c r="I102" t="s">
        <v>78</v>
      </c>
      <c r="J102" t="s">
        <v>104</v>
      </c>
      <c r="K102" t="s">
        <v>131</v>
      </c>
      <c r="L102">
        <v>9</v>
      </c>
      <c r="M102">
        <v>9</v>
      </c>
      <c r="N102" t="s">
        <v>150</v>
      </c>
      <c r="O102" t="s">
        <v>154</v>
      </c>
      <c r="P102" t="s">
        <v>162</v>
      </c>
      <c r="Q102">
        <v>1.1000000000000001</v>
      </c>
      <c r="R102" s="9">
        <v>46989.8</v>
      </c>
      <c r="S102" t="str">
        <f>IF(OR(Sheet1[[#This Row],[Salary_USD]]&lt;$V$13,Sheet1[[#This Row],[Salary_USD]]&gt;$V$12),"Outlier","Normal")</f>
        <v>Normal</v>
      </c>
    </row>
    <row r="103" spans="1:19" x14ac:dyDescent="0.25">
      <c r="A103" t="s">
        <v>20</v>
      </c>
      <c r="B103" t="s">
        <v>35</v>
      </c>
      <c r="C103" t="s">
        <v>49</v>
      </c>
      <c r="D103" t="s">
        <v>58</v>
      </c>
      <c r="E103" s="2">
        <v>85237</v>
      </c>
      <c r="F103" s="2">
        <v>280</v>
      </c>
      <c r="G103" t="s">
        <v>65</v>
      </c>
      <c r="H103" t="s">
        <v>56</v>
      </c>
      <c r="I103" t="s">
        <v>76</v>
      </c>
      <c r="J103" t="s">
        <v>86</v>
      </c>
      <c r="K103" t="s">
        <v>115</v>
      </c>
      <c r="L103">
        <v>7</v>
      </c>
      <c r="M103">
        <v>4</v>
      </c>
      <c r="N103" t="s">
        <v>152</v>
      </c>
      <c r="O103" t="s">
        <v>156</v>
      </c>
      <c r="P103" t="s">
        <v>175</v>
      </c>
      <c r="Q103">
        <v>0.73</v>
      </c>
      <c r="R103" s="9">
        <v>62223.01</v>
      </c>
      <c r="S103" t="str">
        <f>IF(OR(Sheet1[[#This Row],[Salary_USD]]&lt;$V$13,Sheet1[[#This Row],[Salary_USD]]&gt;$V$12),"Outlier","Normal")</f>
        <v>Normal</v>
      </c>
    </row>
    <row r="104" spans="1:19" x14ac:dyDescent="0.25">
      <c r="A104" t="s">
        <v>20</v>
      </c>
      <c r="B104" t="s">
        <v>26</v>
      </c>
      <c r="C104" t="s">
        <v>43</v>
      </c>
      <c r="D104" t="s">
        <v>59</v>
      </c>
      <c r="E104" s="2">
        <v>63568</v>
      </c>
      <c r="F104" s="2">
        <v>1035</v>
      </c>
      <c r="G104" t="s">
        <v>68</v>
      </c>
      <c r="H104" t="s">
        <v>56</v>
      </c>
      <c r="I104" t="s">
        <v>78</v>
      </c>
      <c r="J104" t="s">
        <v>90</v>
      </c>
      <c r="K104" t="s">
        <v>138</v>
      </c>
      <c r="L104">
        <v>4</v>
      </c>
      <c r="M104">
        <v>4</v>
      </c>
      <c r="N104" t="s">
        <v>153</v>
      </c>
      <c r="O104" t="s">
        <v>157</v>
      </c>
      <c r="P104" t="s">
        <v>219</v>
      </c>
      <c r="Q104">
        <v>1.25</v>
      </c>
      <c r="R104" s="9">
        <v>79460</v>
      </c>
      <c r="S104" t="str">
        <f>IF(OR(Sheet1[[#This Row],[Salary_USD]]&lt;$V$13,Sheet1[[#This Row],[Salary_USD]]&gt;$V$12),"Outlier","Normal")</f>
        <v>Normal</v>
      </c>
    </row>
    <row r="105" spans="1:19" x14ac:dyDescent="0.25">
      <c r="A105" t="s">
        <v>20</v>
      </c>
      <c r="B105" t="s">
        <v>32</v>
      </c>
      <c r="C105" t="s">
        <v>45</v>
      </c>
      <c r="D105" t="s">
        <v>59</v>
      </c>
      <c r="E105" s="2">
        <v>26557</v>
      </c>
      <c r="F105" s="2">
        <v>215</v>
      </c>
      <c r="G105" t="s">
        <v>63</v>
      </c>
      <c r="H105" t="s">
        <v>69</v>
      </c>
      <c r="I105" t="s">
        <v>74</v>
      </c>
      <c r="J105" t="s">
        <v>84</v>
      </c>
      <c r="K105" t="s">
        <v>74</v>
      </c>
      <c r="L105">
        <v>2</v>
      </c>
      <c r="M105">
        <v>2</v>
      </c>
      <c r="N105" t="s">
        <v>150</v>
      </c>
      <c r="O105" t="s">
        <v>157</v>
      </c>
      <c r="P105" t="s">
        <v>178</v>
      </c>
      <c r="Q105">
        <v>1.1000000000000001</v>
      </c>
      <c r="R105" s="9">
        <v>29212.7</v>
      </c>
      <c r="S105" t="str">
        <f>IF(OR(Sheet1[[#This Row],[Salary_USD]]&lt;$V$13,Sheet1[[#This Row],[Salary_USD]]&gt;$V$12),"Outlier","Normal")</f>
        <v>Normal</v>
      </c>
    </row>
    <row r="106" spans="1:19" x14ac:dyDescent="0.25">
      <c r="A106" t="s">
        <v>17</v>
      </c>
      <c r="B106" t="s">
        <v>35</v>
      </c>
      <c r="C106" t="s">
        <v>42</v>
      </c>
      <c r="D106" t="s">
        <v>59</v>
      </c>
      <c r="E106" s="2">
        <v>109385</v>
      </c>
      <c r="F106" s="2">
        <v>0</v>
      </c>
      <c r="G106" t="s">
        <v>64</v>
      </c>
      <c r="H106" t="s">
        <v>70</v>
      </c>
      <c r="I106" t="s">
        <v>76</v>
      </c>
      <c r="J106" t="s">
        <v>100</v>
      </c>
      <c r="K106" t="s">
        <v>132</v>
      </c>
      <c r="L106">
        <v>18</v>
      </c>
      <c r="M106">
        <v>18</v>
      </c>
      <c r="N106" t="s">
        <v>153</v>
      </c>
      <c r="O106" t="s">
        <v>156</v>
      </c>
      <c r="P106" t="s">
        <v>220</v>
      </c>
      <c r="Q106">
        <v>0.65</v>
      </c>
      <c r="R106" s="9">
        <v>71100.25</v>
      </c>
      <c r="S106" t="str">
        <f>IF(OR(Sheet1[[#This Row],[Salary_USD]]&lt;$V$13,Sheet1[[#This Row],[Salary_USD]]&gt;$V$12),"Outlier","Normal")</f>
        <v>Normal</v>
      </c>
    </row>
    <row r="107" spans="1:19" x14ac:dyDescent="0.25">
      <c r="A107" t="s">
        <v>19</v>
      </c>
      <c r="B107" t="s">
        <v>35</v>
      </c>
      <c r="C107" t="s">
        <v>50</v>
      </c>
      <c r="D107" t="s">
        <v>62</v>
      </c>
      <c r="E107" s="2">
        <v>198742</v>
      </c>
      <c r="F107" s="2">
        <v>3691</v>
      </c>
      <c r="G107" t="s">
        <v>66</v>
      </c>
      <c r="H107" t="s">
        <v>70</v>
      </c>
      <c r="I107" t="s">
        <v>79</v>
      </c>
      <c r="J107" t="s">
        <v>91</v>
      </c>
      <c r="K107" t="s">
        <v>118</v>
      </c>
      <c r="L107">
        <v>25</v>
      </c>
      <c r="M107">
        <v>25</v>
      </c>
      <c r="N107" t="s">
        <v>149</v>
      </c>
      <c r="O107" t="s">
        <v>154</v>
      </c>
      <c r="P107" t="s">
        <v>171</v>
      </c>
      <c r="Q107">
        <v>1.2E-2</v>
      </c>
      <c r="R107" s="9">
        <v>2384.904</v>
      </c>
      <c r="S107" t="str">
        <f>IF(OR(Sheet1[[#This Row],[Salary_USD]]&lt;$V$13,Sheet1[[#This Row],[Salary_USD]]&gt;$V$12),"Outlier","Normal")</f>
        <v>Normal</v>
      </c>
    </row>
    <row r="108" spans="1:19" x14ac:dyDescent="0.25">
      <c r="A108" t="s">
        <v>20</v>
      </c>
      <c r="B108" t="s">
        <v>35</v>
      </c>
      <c r="C108" t="s">
        <v>43</v>
      </c>
      <c r="D108" t="s">
        <v>62</v>
      </c>
      <c r="E108" s="2">
        <v>47252</v>
      </c>
      <c r="F108" s="2">
        <v>3784</v>
      </c>
      <c r="G108" t="s">
        <v>68</v>
      </c>
      <c r="H108" t="s">
        <v>69</v>
      </c>
      <c r="I108" t="s">
        <v>76</v>
      </c>
      <c r="J108" t="s">
        <v>86</v>
      </c>
      <c r="K108" t="s">
        <v>115</v>
      </c>
      <c r="L108">
        <v>1</v>
      </c>
      <c r="M108">
        <v>1</v>
      </c>
      <c r="N108" t="s">
        <v>149</v>
      </c>
      <c r="O108" t="s">
        <v>157</v>
      </c>
      <c r="P108" t="s">
        <v>169</v>
      </c>
      <c r="Q108">
        <v>1.25</v>
      </c>
      <c r="R108" s="9">
        <v>59065</v>
      </c>
      <c r="S108" t="str">
        <f>IF(OR(Sheet1[[#This Row],[Salary_USD]]&lt;$V$13,Sheet1[[#This Row],[Salary_USD]]&gt;$V$12),"Outlier","Normal")</f>
        <v>Normal</v>
      </c>
    </row>
    <row r="109" spans="1:19" x14ac:dyDescent="0.25">
      <c r="A109" t="s">
        <v>17</v>
      </c>
      <c r="B109" t="s">
        <v>33</v>
      </c>
      <c r="C109" t="s">
        <v>41</v>
      </c>
      <c r="D109" t="s">
        <v>60</v>
      </c>
      <c r="E109" s="2">
        <v>1368201</v>
      </c>
      <c r="F109" s="2">
        <v>59189</v>
      </c>
      <c r="G109" t="s">
        <v>66</v>
      </c>
      <c r="H109" t="s">
        <v>56</v>
      </c>
      <c r="I109" t="s">
        <v>72</v>
      </c>
      <c r="J109" t="s">
        <v>82</v>
      </c>
      <c r="K109" t="s">
        <v>112</v>
      </c>
      <c r="L109">
        <v>10</v>
      </c>
      <c r="M109">
        <v>9</v>
      </c>
      <c r="N109" t="s">
        <v>150</v>
      </c>
      <c r="O109" t="s">
        <v>157</v>
      </c>
      <c r="P109" t="s">
        <v>170</v>
      </c>
      <c r="Q109">
        <v>1.2E-2</v>
      </c>
      <c r="R109" s="9">
        <v>16418.412</v>
      </c>
      <c r="S109" t="str">
        <f>IF(OR(Sheet1[[#This Row],[Salary_USD]]&lt;$V$13,Sheet1[[#This Row],[Salary_USD]]&gt;$V$12),"Outlier","Normal")</f>
        <v>Normal</v>
      </c>
    </row>
    <row r="110" spans="1:19" x14ac:dyDescent="0.25">
      <c r="A110" t="s">
        <v>21</v>
      </c>
      <c r="B110" t="s">
        <v>33</v>
      </c>
      <c r="C110" t="s">
        <v>42</v>
      </c>
      <c r="D110" t="s">
        <v>62</v>
      </c>
      <c r="E110" s="2">
        <v>563042</v>
      </c>
      <c r="F110" s="2">
        <v>37620</v>
      </c>
      <c r="G110" t="s">
        <v>66</v>
      </c>
      <c r="H110" t="s">
        <v>70</v>
      </c>
      <c r="I110" t="s">
        <v>81</v>
      </c>
      <c r="J110" t="s">
        <v>101</v>
      </c>
      <c r="K110" t="s">
        <v>127</v>
      </c>
      <c r="L110">
        <v>15</v>
      </c>
      <c r="M110">
        <v>14</v>
      </c>
      <c r="N110" t="s">
        <v>151</v>
      </c>
      <c r="O110" t="s">
        <v>156</v>
      </c>
      <c r="P110" t="s">
        <v>169</v>
      </c>
      <c r="Q110">
        <v>1.2E-2</v>
      </c>
      <c r="R110" s="9">
        <v>6756.5039999999999</v>
      </c>
      <c r="S110" t="str">
        <f>IF(OR(Sheet1[[#This Row],[Salary_USD]]&lt;$V$13,Sheet1[[#This Row],[Salary_USD]]&gt;$V$12),"Outlier","Normal")</f>
        <v>Normal</v>
      </c>
    </row>
    <row r="111" spans="1:19" x14ac:dyDescent="0.25">
      <c r="A111" t="s">
        <v>17</v>
      </c>
      <c r="B111" t="s">
        <v>33</v>
      </c>
      <c r="C111" t="s">
        <v>48</v>
      </c>
      <c r="D111" t="s">
        <v>59</v>
      </c>
      <c r="E111" s="2">
        <v>106987</v>
      </c>
      <c r="F111" s="2">
        <v>3719</v>
      </c>
      <c r="G111" t="s">
        <v>65</v>
      </c>
      <c r="H111" t="s">
        <v>71</v>
      </c>
      <c r="I111" t="s">
        <v>78</v>
      </c>
      <c r="J111" t="s">
        <v>104</v>
      </c>
      <c r="K111" t="s">
        <v>131</v>
      </c>
      <c r="L111">
        <v>15</v>
      </c>
      <c r="M111">
        <v>15</v>
      </c>
      <c r="N111" t="s">
        <v>149</v>
      </c>
      <c r="O111" t="s">
        <v>157</v>
      </c>
      <c r="P111" t="s">
        <v>221</v>
      </c>
      <c r="Q111">
        <v>0.73</v>
      </c>
      <c r="R111" s="9">
        <v>78100.509999999995</v>
      </c>
      <c r="S111" t="str">
        <f>IF(OR(Sheet1[[#This Row],[Salary_USD]]&lt;$V$13,Sheet1[[#This Row],[Salary_USD]]&gt;$V$12),"Outlier","Normal")</f>
        <v>Normal</v>
      </c>
    </row>
    <row r="112" spans="1:19" x14ac:dyDescent="0.25">
      <c r="A112" t="s">
        <v>19</v>
      </c>
      <c r="B112" t="s">
        <v>35</v>
      </c>
      <c r="C112" t="s">
        <v>45</v>
      </c>
      <c r="D112" t="s">
        <v>57</v>
      </c>
      <c r="E112" s="2">
        <v>72350</v>
      </c>
      <c r="F112" s="2">
        <v>742</v>
      </c>
      <c r="G112" t="s">
        <v>65</v>
      </c>
      <c r="H112" t="s">
        <v>70</v>
      </c>
      <c r="I112" t="s">
        <v>75</v>
      </c>
      <c r="J112" t="s">
        <v>96</v>
      </c>
      <c r="K112" t="s">
        <v>121</v>
      </c>
      <c r="L112">
        <v>18</v>
      </c>
      <c r="M112">
        <v>18</v>
      </c>
      <c r="N112" t="s">
        <v>150</v>
      </c>
      <c r="O112" t="s">
        <v>157</v>
      </c>
      <c r="P112" t="s">
        <v>171</v>
      </c>
      <c r="Q112">
        <v>0.73</v>
      </c>
      <c r="R112" s="9">
        <v>52815.5</v>
      </c>
      <c r="S112" t="str">
        <f>IF(OR(Sheet1[[#This Row],[Salary_USD]]&lt;$V$13,Sheet1[[#This Row],[Salary_USD]]&gt;$V$12),"Outlier","Normal")</f>
        <v>Normal</v>
      </c>
    </row>
    <row r="113" spans="1:19" x14ac:dyDescent="0.25">
      <c r="A113" t="s">
        <v>20</v>
      </c>
      <c r="B113" t="s">
        <v>35</v>
      </c>
      <c r="C113" t="s">
        <v>40</v>
      </c>
      <c r="D113" t="s">
        <v>57</v>
      </c>
      <c r="E113" s="2">
        <v>27538</v>
      </c>
      <c r="F113" s="2">
        <v>0</v>
      </c>
      <c r="G113" t="s">
        <v>63</v>
      </c>
      <c r="H113" t="s">
        <v>69</v>
      </c>
      <c r="I113" t="s">
        <v>72</v>
      </c>
      <c r="J113" t="s">
        <v>95</v>
      </c>
      <c r="K113" t="s">
        <v>120</v>
      </c>
      <c r="L113">
        <v>1</v>
      </c>
      <c r="M113">
        <v>0</v>
      </c>
      <c r="N113" t="s">
        <v>151</v>
      </c>
      <c r="O113" t="s">
        <v>155</v>
      </c>
      <c r="P113" t="s">
        <v>222</v>
      </c>
      <c r="Q113">
        <v>1.1000000000000001</v>
      </c>
      <c r="R113" s="9">
        <v>30291.800000000003</v>
      </c>
      <c r="S113" t="str">
        <f>IF(OR(Sheet1[[#This Row],[Salary_USD]]&lt;$V$13,Sheet1[[#This Row],[Salary_USD]]&gt;$V$12),"Outlier","Normal")</f>
        <v>Normal</v>
      </c>
    </row>
    <row r="114" spans="1:19" x14ac:dyDescent="0.25">
      <c r="A114" t="s">
        <v>19</v>
      </c>
      <c r="B114" t="s">
        <v>31</v>
      </c>
      <c r="C114" t="s">
        <v>48</v>
      </c>
      <c r="D114" t="s">
        <v>61</v>
      </c>
      <c r="E114" s="2">
        <v>64107</v>
      </c>
      <c r="F114" s="2">
        <v>0</v>
      </c>
      <c r="G114" t="s">
        <v>65</v>
      </c>
      <c r="H114" t="s">
        <v>69</v>
      </c>
      <c r="I114" t="s">
        <v>79</v>
      </c>
      <c r="J114" t="s">
        <v>91</v>
      </c>
      <c r="K114" t="s">
        <v>118</v>
      </c>
      <c r="L114">
        <v>3</v>
      </c>
      <c r="M114">
        <v>3</v>
      </c>
      <c r="N114" t="s">
        <v>151</v>
      </c>
      <c r="O114" t="s">
        <v>154</v>
      </c>
      <c r="P114" t="s">
        <v>180</v>
      </c>
      <c r="Q114">
        <v>0.73</v>
      </c>
      <c r="R114" s="9">
        <v>46798.11</v>
      </c>
      <c r="S114" t="str">
        <f>IF(OR(Sheet1[[#This Row],[Salary_USD]]&lt;$V$13,Sheet1[[#This Row],[Salary_USD]]&gt;$V$12),"Outlier","Normal")</f>
        <v>Normal</v>
      </c>
    </row>
    <row r="115" spans="1:19" x14ac:dyDescent="0.25">
      <c r="A115" t="s">
        <v>20</v>
      </c>
      <c r="B115" t="s">
        <v>33</v>
      </c>
      <c r="C115" t="s">
        <v>41</v>
      </c>
      <c r="D115" t="s">
        <v>57</v>
      </c>
      <c r="E115" s="2">
        <v>44113</v>
      </c>
      <c r="F115" s="2">
        <v>101</v>
      </c>
      <c r="G115" t="s">
        <v>65</v>
      </c>
      <c r="H115" t="s">
        <v>71</v>
      </c>
      <c r="I115" t="s">
        <v>81</v>
      </c>
      <c r="J115" t="s">
        <v>101</v>
      </c>
      <c r="K115" t="s">
        <v>127</v>
      </c>
      <c r="L115">
        <v>4</v>
      </c>
      <c r="M115">
        <v>3</v>
      </c>
      <c r="N115" t="s">
        <v>153</v>
      </c>
      <c r="O115" t="s">
        <v>156</v>
      </c>
      <c r="P115" t="s">
        <v>215</v>
      </c>
      <c r="Q115">
        <v>0.73</v>
      </c>
      <c r="R115" s="9">
        <v>32202.489999999998</v>
      </c>
      <c r="S115" t="str">
        <f>IF(OR(Sheet1[[#This Row],[Salary_USD]]&lt;$V$13,Sheet1[[#This Row],[Salary_USD]]&gt;$V$12),"Outlier","Normal")</f>
        <v>Normal</v>
      </c>
    </row>
    <row r="116" spans="1:19" x14ac:dyDescent="0.25">
      <c r="A116" t="s">
        <v>19</v>
      </c>
      <c r="B116" t="s">
        <v>26</v>
      </c>
      <c r="C116" t="s">
        <v>45</v>
      </c>
      <c r="D116" t="s">
        <v>59</v>
      </c>
      <c r="E116" s="2">
        <v>105296</v>
      </c>
      <c r="F116" s="2">
        <v>7706</v>
      </c>
      <c r="G116" t="s">
        <v>67</v>
      </c>
      <c r="H116" t="s">
        <v>69</v>
      </c>
      <c r="I116" t="s">
        <v>77</v>
      </c>
      <c r="J116" t="s">
        <v>89</v>
      </c>
      <c r="K116" t="s">
        <v>124</v>
      </c>
      <c r="L116">
        <v>15</v>
      </c>
      <c r="M116">
        <v>15</v>
      </c>
      <c r="N116" t="s">
        <v>153</v>
      </c>
      <c r="O116" t="s">
        <v>157</v>
      </c>
      <c r="P116" t="s">
        <v>162</v>
      </c>
      <c r="Q116">
        <v>1</v>
      </c>
      <c r="R116" s="9">
        <v>105296</v>
      </c>
      <c r="S116" t="str">
        <f>IF(OR(Sheet1[[#This Row],[Salary_USD]]&lt;$V$13,Sheet1[[#This Row],[Salary_USD]]&gt;$V$12),"Outlier","Normal")</f>
        <v>Normal</v>
      </c>
    </row>
    <row r="117" spans="1:19" x14ac:dyDescent="0.25">
      <c r="A117" t="s">
        <v>21</v>
      </c>
      <c r="B117" t="s">
        <v>22</v>
      </c>
      <c r="C117" t="s">
        <v>42</v>
      </c>
      <c r="D117" t="s">
        <v>451</v>
      </c>
      <c r="E117" s="2">
        <v>1036261</v>
      </c>
      <c r="F117" s="2">
        <v>19136</v>
      </c>
      <c r="G117" t="s">
        <v>66</v>
      </c>
      <c r="H117" t="s">
        <v>451</v>
      </c>
      <c r="I117" t="s">
        <v>79</v>
      </c>
      <c r="J117" t="s">
        <v>91</v>
      </c>
      <c r="K117" t="s">
        <v>118</v>
      </c>
      <c r="L117">
        <v>15</v>
      </c>
      <c r="M117">
        <v>15</v>
      </c>
      <c r="N117" t="s">
        <v>149</v>
      </c>
      <c r="O117" t="s">
        <v>155</v>
      </c>
      <c r="P117" t="s">
        <v>223</v>
      </c>
      <c r="Q117">
        <v>1.2E-2</v>
      </c>
      <c r="R117" s="9">
        <v>12435.132</v>
      </c>
      <c r="S117" t="str">
        <f>IF(OR(Sheet1[[#This Row],[Salary_USD]]&lt;$V$13,Sheet1[[#This Row],[Salary_USD]]&gt;$V$12),"Outlier","Normal")</f>
        <v>Normal</v>
      </c>
    </row>
    <row r="118" spans="1:19" x14ac:dyDescent="0.25">
      <c r="A118" t="s">
        <v>20</v>
      </c>
      <c r="B118" t="s">
        <v>32</v>
      </c>
      <c r="C118" t="s">
        <v>39</v>
      </c>
      <c r="D118" t="s">
        <v>59</v>
      </c>
      <c r="E118" s="2">
        <v>307654</v>
      </c>
      <c r="F118" s="2">
        <v>45451</v>
      </c>
      <c r="G118" t="s">
        <v>66</v>
      </c>
      <c r="H118" t="s">
        <v>70</v>
      </c>
      <c r="I118" t="s">
        <v>75</v>
      </c>
      <c r="J118" t="s">
        <v>96</v>
      </c>
      <c r="K118" t="s">
        <v>121</v>
      </c>
      <c r="L118">
        <v>1</v>
      </c>
      <c r="M118">
        <v>1</v>
      </c>
      <c r="N118" t="s">
        <v>150</v>
      </c>
      <c r="O118" t="s">
        <v>157</v>
      </c>
      <c r="P118" t="s">
        <v>224</v>
      </c>
      <c r="Q118">
        <v>1.2E-2</v>
      </c>
      <c r="R118" s="9">
        <v>3691.848</v>
      </c>
      <c r="S118" t="str">
        <f>IF(OR(Sheet1[[#This Row],[Salary_USD]]&lt;$V$13,Sheet1[[#This Row],[Salary_USD]]&gt;$V$12),"Outlier","Normal")</f>
        <v>Normal</v>
      </c>
    </row>
    <row r="119" spans="1:19" x14ac:dyDescent="0.25">
      <c r="A119" t="s">
        <v>17</v>
      </c>
      <c r="B119" t="s">
        <v>35</v>
      </c>
      <c r="C119" t="s">
        <v>53</v>
      </c>
      <c r="D119" t="s">
        <v>59</v>
      </c>
      <c r="E119" s="2">
        <v>873934</v>
      </c>
      <c r="F119" s="2">
        <v>162867</v>
      </c>
      <c r="G119" t="s">
        <v>66</v>
      </c>
      <c r="H119" t="s">
        <v>71</v>
      </c>
      <c r="I119" t="s">
        <v>78</v>
      </c>
      <c r="J119" t="s">
        <v>105</v>
      </c>
      <c r="K119" t="s">
        <v>133</v>
      </c>
      <c r="L119">
        <v>9</v>
      </c>
      <c r="M119">
        <v>8</v>
      </c>
      <c r="N119" t="s">
        <v>153</v>
      </c>
      <c r="O119" t="s">
        <v>157</v>
      </c>
      <c r="P119" t="s">
        <v>225</v>
      </c>
      <c r="Q119">
        <v>1.2E-2</v>
      </c>
      <c r="R119" s="9">
        <v>10487.208000000001</v>
      </c>
      <c r="S119" t="str">
        <f>IF(OR(Sheet1[[#This Row],[Salary_USD]]&lt;$V$13,Sheet1[[#This Row],[Salary_USD]]&gt;$V$12),"Outlier","Normal")</f>
        <v>Normal</v>
      </c>
    </row>
    <row r="120" spans="1:19" x14ac:dyDescent="0.25">
      <c r="A120" t="s">
        <v>17</v>
      </c>
      <c r="B120" t="s">
        <v>32</v>
      </c>
      <c r="C120" t="s">
        <v>46</v>
      </c>
      <c r="D120" t="s">
        <v>61</v>
      </c>
      <c r="E120" s="2">
        <v>83876</v>
      </c>
      <c r="F120" s="2">
        <v>1084</v>
      </c>
      <c r="G120" t="s">
        <v>65</v>
      </c>
      <c r="H120" t="s">
        <v>69</v>
      </c>
      <c r="I120" t="s">
        <v>81</v>
      </c>
      <c r="J120" t="s">
        <v>98</v>
      </c>
      <c r="K120" t="s">
        <v>123</v>
      </c>
      <c r="L120">
        <v>10</v>
      </c>
      <c r="M120">
        <v>9</v>
      </c>
      <c r="N120" t="s">
        <v>149</v>
      </c>
      <c r="O120" t="s">
        <v>156</v>
      </c>
      <c r="P120" t="s">
        <v>226</v>
      </c>
      <c r="Q120">
        <v>0.73</v>
      </c>
      <c r="R120" s="9">
        <v>61229.479999999996</v>
      </c>
      <c r="S120" t="str">
        <f>IF(OR(Sheet1[[#This Row],[Salary_USD]]&lt;$V$13,Sheet1[[#This Row],[Salary_USD]]&gt;$V$12),"Outlier","Normal")</f>
        <v>Normal</v>
      </c>
    </row>
    <row r="121" spans="1:19" x14ac:dyDescent="0.25">
      <c r="A121" t="s">
        <v>19</v>
      </c>
      <c r="B121" t="s">
        <v>31</v>
      </c>
      <c r="C121" t="s">
        <v>47</v>
      </c>
      <c r="D121" t="s">
        <v>54</v>
      </c>
      <c r="E121" s="2">
        <v>43516</v>
      </c>
      <c r="F121" s="2">
        <v>4984</v>
      </c>
      <c r="G121" t="s">
        <v>64</v>
      </c>
      <c r="H121" t="s">
        <v>451</v>
      </c>
      <c r="I121" t="s">
        <v>80</v>
      </c>
      <c r="J121" t="s">
        <v>106</v>
      </c>
      <c r="K121" t="s">
        <v>106</v>
      </c>
      <c r="L121">
        <v>4</v>
      </c>
      <c r="M121">
        <v>2</v>
      </c>
      <c r="N121" t="s">
        <v>153</v>
      </c>
      <c r="O121" t="s">
        <v>155</v>
      </c>
      <c r="P121" t="s">
        <v>165</v>
      </c>
      <c r="Q121">
        <v>0.65</v>
      </c>
      <c r="R121" s="9">
        <v>28285.4</v>
      </c>
      <c r="S121" t="str">
        <f>IF(OR(Sheet1[[#This Row],[Salary_USD]]&lt;$V$13,Sheet1[[#This Row],[Salary_USD]]&gt;$V$12),"Outlier","Normal")</f>
        <v>Normal</v>
      </c>
    </row>
    <row r="122" spans="1:19" x14ac:dyDescent="0.25">
      <c r="A122" t="s">
        <v>21</v>
      </c>
      <c r="B122" t="s">
        <v>22</v>
      </c>
      <c r="C122" t="s">
        <v>40</v>
      </c>
      <c r="D122" t="s">
        <v>58</v>
      </c>
      <c r="E122" s="2">
        <v>83192</v>
      </c>
      <c r="F122" s="2">
        <v>10176</v>
      </c>
      <c r="G122" t="s">
        <v>65</v>
      </c>
      <c r="H122" t="s">
        <v>56</v>
      </c>
      <c r="I122" t="s">
        <v>74</v>
      </c>
      <c r="J122" t="s">
        <v>84</v>
      </c>
      <c r="K122" t="s">
        <v>74</v>
      </c>
      <c r="L122">
        <v>9</v>
      </c>
      <c r="M122">
        <v>9</v>
      </c>
      <c r="N122" t="s">
        <v>150</v>
      </c>
      <c r="O122" t="s">
        <v>155</v>
      </c>
      <c r="P122" t="s">
        <v>173</v>
      </c>
      <c r="Q122">
        <v>0.73</v>
      </c>
      <c r="R122" s="9">
        <v>60730.159999999996</v>
      </c>
      <c r="S122" t="str">
        <f>IF(OR(Sheet1[[#This Row],[Salary_USD]]&lt;$V$13,Sheet1[[#This Row],[Salary_USD]]&gt;$V$12),"Outlier","Normal")</f>
        <v>Normal</v>
      </c>
    </row>
    <row r="123" spans="1:19" x14ac:dyDescent="0.25">
      <c r="A123" t="s">
        <v>21</v>
      </c>
      <c r="B123" t="s">
        <v>29</v>
      </c>
      <c r="C123" t="s">
        <v>45</v>
      </c>
      <c r="D123" t="s">
        <v>58</v>
      </c>
      <c r="E123" s="2">
        <v>97274</v>
      </c>
      <c r="F123" s="2">
        <v>0</v>
      </c>
      <c r="G123" t="s">
        <v>67</v>
      </c>
      <c r="H123" t="s">
        <v>70</v>
      </c>
      <c r="I123" t="s">
        <v>81</v>
      </c>
      <c r="J123" t="s">
        <v>101</v>
      </c>
      <c r="K123" t="s">
        <v>127</v>
      </c>
      <c r="L123">
        <v>20</v>
      </c>
      <c r="M123">
        <v>19</v>
      </c>
      <c r="N123" t="s">
        <v>149</v>
      </c>
      <c r="O123" t="s">
        <v>156</v>
      </c>
      <c r="P123" t="s">
        <v>212</v>
      </c>
      <c r="Q123">
        <v>1</v>
      </c>
      <c r="R123" s="9">
        <v>97274</v>
      </c>
      <c r="S123" t="str">
        <f>IF(OR(Sheet1[[#This Row],[Salary_USD]]&lt;$V$13,Sheet1[[#This Row],[Salary_USD]]&gt;$V$12),"Outlier","Normal")</f>
        <v>Normal</v>
      </c>
    </row>
    <row r="124" spans="1:19" x14ac:dyDescent="0.25">
      <c r="A124" t="s">
        <v>19</v>
      </c>
      <c r="B124" t="s">
        <v>24</v>
      </c>
      <c r="C124" t="s">
        <v>51</v>
      </c>
      <c r="D124" t="s">
        <v>57</v>
      </c>
      <c r="E124" s="2">
        <v>77766</v>
      </c>
      <c r="F124" s="2">
        <v>17653</v>
      </c>
      <c r="G124" t="s">
        <v>65</v>
      </c>
      <c r="H124" t="s">
        <v>70</v>
      </c>
      <c r="I124" t="s">
        <v>77</v>
      </c>
      <c r="J124" t="s">
        <v>110</v>
      </c>
      <c r="K124" t="s">
        <v>139</v>
      </c>
      <c r="L124">
        <v>4</v>
      </c>
      <c r="M124">
        <v>4</v>
      </c>
      <c r="N124" t="s">
        <v>151</v>
      </c>
      <c r="O124" t="s">
        <v>154</v>
      </c>
      <c r="P124" t="s">
        <v>181</v>
      </c>
      <c r="Q124">
        <v>0.73</v>
      </c>
      <c r="R124" s="9">
        <v>56769.18</v>
      </c>
      <c r="S124" t="str">
        <f>IF(OR(Sheet1[[#This Row],[Salary_USD]]&lt;$V$13,Sheet1[[#This Row],[Salary_USD]]&gt;$V$12),"Outlier","Normal")</f>
        <v>Normal</v>
      </c>
    </row>
    <row r="125" spans="1:19" x14ac:dyDescent="0.25">
      <c r="A125" t="s">
        <v>21</v>
      </c>
      <c r="B125" t="s">
        <v>33</v>
      </c>
      <c r="C125" t="s">
        <v>52</v>
      </c>
      <c r="D125" t="s">
        <v>57</v>
      </c>
      <c r="E125" s="2">
        <v>103236</v>
      </c>
      <c r="F125" s="2">
        <v>0</v>
      </c>
      <c r="G125" t="s">
        <v>64</v>
      </c>
      <c r="H125" t="s">
        <v>69</v>
      </c>
      <c r="I125" t="s">
        <v>74</v>
      </c>
      <c r="J125" t="s">
        <v>84</v>
      </c>
      <c r="K125" t="s">
        <v>74</v>
      </c>
      <c r="L125">
        <v>10</v>
      </c>
      <c r="M125">
        <v>8</v>
      </c>
      <c r="N125" t="s">
        <v>149</v>
      </c>
      <c r="O125" t="s">
        <v>155</v>
      </c>
      <c r="P125" t="s">
        <v>227</v>
      </c>
      <c r="Q125">
        <v>0.65</v>
      </c>
      <c r="R125" s="9">
        <v>67103.400000000009</v>
      </c>
      <c r="S125" t="str">
        <f>IF(OR(Sheet1[[#This Row],[Salary_USD]]&lt;$V$13,Sheet1[[#This Row],[Salary_USD]]&gt;$V$12),"Outlier","Normal")</f>
        <v>Normal</v>
      </c>
    </row>
    <row r="126" spans="1:19" x14ac:dyDescent="0.25">
      <c r="A126" t="s">
        <v>20</v>
      </c>
      <c r="B126" t="s">
        <v>29</v>
      </c>
      <c r="C126" t="s">
        <v>52</v>
      </c>
      <c r="D126" t="s">
        <v>61</v>
      </c>
      <c r="E126" s="2">
        <v>1539582</v>
      </c>
      <c r="F126" s="2">
        <v>65597</v>
      </c>
      <c r="G126" t="s">
        <v>66</v>
      </c>
      <c r="H126" t="s">
        <v>451</v>
      </c>
      <c r="I126" t="s">
        <v>77</v>
      </c>
      <c r="J126" t="s">
        <v>89</v>
      </c>
      <c r="K126" t="s">
        <v>124</v>
      </c>
      <c r="L126">
        <v>1</v>
      </c>
      <c r="M126">
        <v>0</v>
      </c>
      <c r="N126" t="s">
        <v>149</v>
      </c>
      <c r="O126" t="s">
        <v>157</v>
      </c>
      <c r="P126" t="s">
        <v>228</v>
      </c>
      <c r="Q126">
        <v>1.2E-2</v>
      </c>
      <c r="R126" s="9">
        <v>18474.984</v>
      </c>
      <c r="S126" t="str">
        <f>IF(OR(Sheet1[[#This Row],[Salary_USD]]&lt;$V$13,Sheet1[[#This Row],[Salary_USD]]&gt;$V$12),"Outlier","Normal")</f>
        <v>Normal</v>
      </c>
    </row>
    <row r="127" spans="1:19" x14ac:dyDescent="0.25">
      <c r="A127" t="s">
        <v>21</v>
      </c>
      <c r="B127" t="s">
        <v>29</v>
      </c>
      <c r="C127" t="s">
        <v>42</v>
      </c>
      <c r="D127" t="s">
        <v>57</v>
      </c>
      <c r="E127" s="2">
        <v>43669</v>
      </c>
      <c r="F127" s="2">
        <v>722</v>
      </c>
      <c r="G127" t="s">
        <v>65</v>
      </c>
      <c r="H127" t="s">
        <v>71</v>
      </c>
      <c r="I127" t="s">
        <v>72</v>
      </c>
      <c r="J127" t="s">
        <v>95</v>
      </c>
      <c r="K127" t="s">
        <v>120</v>
      </c>
      <c r="L127">
        <v>12</v>
      </c>
      <c r="M127">
        <v>10</v>
      </c>
      <c r="N127" t="s">
        <v>153</v>
      </c>
      <c r="O127" t="s">
        <v>155</v>
      </c>
      <c r="P127" t="s">
        <v>189</v>
      </c>
      <c r="Q127">
        <v>0.73</v>
      </c>
      <c r="R127" s="9">
        <v>31878.37</v>
      </c>
      <c r="S127" t="str">
        <f>IF(OR(Sheet1[[#This Row],[Salary_USD]]&lt;$V$13,Sheet1[[#This Row],[Salary_USD]]&gt;$V$12),"Outlier","Normal")</f>
        <v>Normal</v>
      </c>
    </row>
    <row r="128" spans="1:19" x14ac:dyDescent="0.25">
      <c r="A128" t="s">
        <v>19</v>
      </c>
      <c r="B128" t="s">
        <v>35</v>
      </c>
      <c r="C128" t="s">
        <v>38</v>
      </c>
      <c r="D128" t="s">
        <v>55</v>
      </c>
      <c r="E128" s="2">
        <v>85090</v>
      </c>
      <c r="F128" s="2">
        <v>4032</v>
      </c>
      <c r="G128" t="s">
        <v>68</v>
      </c>
      <c r="H128" t="s">
        <v>70</v>
      </c>
      <c r="I128" t="s">
        <v>74</v>
      </c>
      <c r="J128" t="s">
        <v>84</v>
      </c>
      <c r="K128" t="s">
        <v>74</v>
      </c>
      <c r="L128">
        <v>10</v>
      </c>
      <c r="M128">
        <v>10</v>
      </c>
      <c r="N128" t="s">
        <v>149</v>
      </c>
      <c r="O128" t="s">
        <v>154</v>
      </c>
      <c r="P128" t="s">
        <v>229</v>
      </c>
      <c r="Q128">
        <v>1.25</v>
      </c>
      <c r="R128" s="9">
        <v>106362.5</v>
      </c>
      <c r="S128" t="str">
        <f>IF(OR(Sheet1[[#This Row],[Salary_USD]]&lt;$V$13,Sheet1[[#This Row],[Salary_USD]]&gt;$V$12),"Outlier","Normal")</f>
        <v>Normal</v>
      </c>
    </row>
    <row r="129" spans="1:19" x14ac:dyDescent="0.25">
      <c r="A129" t="s">
        <v>20</v>
      </c>
      <c r="B129" t="s">
        <v>34</v>
      </c>
      <c r="C129" t="s">
        <v>43</v>
      </c>
      <c r="D129" t="s">
        <v>55</v>
      </c>
      <c r="E129" s="2">
        <v>141303</v>
      </c>
      <c r="F129" s="2">
        <v>90</v>
      </c>
      <c r="G129" t="s">
        <v>64</v>
      </c>
      <c r="H129" t="s">
        <v>56</v>
      </c>
      <c r="I129" t="s">
        <v>73</v>
      </c>
      <c r="J129" t="s">
        <v>99</v>
      </c>
      <c r="K129" t="s">
        <v>125</v>
      </c>
      <c r="L129">
        <v>5</v>
      </c>
      <c r="M129">
        <v>4</v>
      </c>
      <c r="N129" t="s">
        <v>153</v>
      </c>
      <c r="O129" t="s">
        <v>157</v>
      </c>
      <c r="P129" t="s">
        <v>230</v>
      </c>
      <c r="Q129">
        <v>0.65</v>
      </c>
      <c r="R129" s="9">
        <v>91846.95</v>
      </c>
      <c r="S129" t="str">
        <f>IF(OR(Sheet1[[#This Row],[Salary_USD]]&lt;$V$13,Sheet1[[#This Row],[Salary_USD]]&gt;$V$12),"Outlier","Normal")</f>
        <v>Normal</v>
      </c>
    </row>
    <row r="130" spans="1:19" x14ac:dyDescent="0.25">
      <c r="A130" t="s">
        <v>19</v>
      </c>
      <c r="B130" t="s">
        <v>451</v>
      </c>
      <c r="C130" t="s">
        <v>451</v>
      </c>
      <c r="D130" t="s">
        <v>60</v>
      </c>
      <c r="E130" s="2">
        <v>0</v>
      </c>
      <c r="F130" s="2">
        <v>0</v>
      </c>
      <c r="G130" t="s">
        <v>63</v>
      </c>
      <c r="H130" t="s">
        <v>69</v>
      </c>
      <c r="I130" t="s">
        <v>80</v>
      </c>
      <c r="J130" t="s">
        <v>106</v>
      </c>
      <c r="K130" t="s">
        <v>451</v>
      </c>
      <c r="L130">
        <v>0</v>
      </c>
      <c r="M130">
        <v>2</v>
      </c>
      <c r="N130" t="s">
        <v>149</v>
      </c>
      <c r="O130" t="s">
        <v>452</v>
      </c>
      <c r="P130" t="s">
        <v>221</v>
      </c>
      <c r="Q130">
        <v>1.1000000000000001</v>
      </c>
      <c r="R130" s="9">
        <v>0</v>
      </c>
      <c r="S130" t="str">
        <f>IF(OR(Sheet1[[#This Row],[Salary_USD]]&lt;$V$13,Sheet1[[#This Row],[Salary_USD]]&gt;$V$12),"Outlier","Normal")</f>
        <v>Normal</v>
      </c>
    </row>
    <row r="131" spans="1:19" x14ac:dyDescent="0.25">
      <c r="A131" t="s">
        <v>19</v>
      </c>
      <c r="B131" t="s">
        <v>451</v>
      </c>
      <c r="C131" t="s">
        <v>451</v>
      </c>
      <c r="D131" t="s">
        <v>451</v>
      </c>
      <c r="E131" s="2">
        <v>0</v>
      </c>
      <c r="F131" s="2">
        <v>3198</v>
      </c>
      <c r="G131" t="s">
        <v>63</v>
      </c>
      <c r="H131" t="s">
        <v>56</v>
      </c>
      <c r="I131" t="s">
        <v>79</v>
      </c>
      <c r="J131" t="s">
        <v>107</v>
      </c>
      <c r="K131" t="s">
        <v>451</v>
      </c>
      <c r="L131">
        <v>0</v>
      </c>
      <c r="M131">
        <v>1</v>
      </c>
      <c r="N131" t="s">
        <v>152</v>
      </c>
      <c r="O131" t="s">
        <v>452</v>
      </c>
      <c r="P131" t="s">
        <v>173</v>
      </c>
      <c r="Q131">
        <v>1.1000000000000001</v>
      </c>
      <c r="R131" s="9">
        <v>0</v>
      </c>
      <c r="S131" t="str">
        <f>IF(OR(Sheet1[[#This Row],[Salary_USD]]&lt;$V$13,Sheet1[[#This Row],[Salary_USD]]&gt;$V$12),"Outlier","Normal")</f>
        <v>Normal</v>
      </c>
    </row>
    <row r="132" spans="1:19" x14ac:dyDescent="0.25">
      <c r="A132" t="s">
        <v>19</v>
      </c>
      <c r="B132" t="s">
        <v>32</v>
      </c>
      <c r="C132" t="s">
        <v>41</v>
      </c>
      <c r="D132" t="s">
        <v>60</v>
      </c>
      <c r="E132" s="2">
        <v>47696</v>
      </c>
      <c r="F132" s="2">
        <v>156</v>
      </c>
      <c r="G132" t="s">
        <v>68</v>
      </c>
      <c r="H132" t="s">
        <v>70</v>
      </c>
      <c r="I132" t="s">
        <v>76</v>
      </c>
      <c r="J132" t="s">
        <v>100</v>
      </c>
      <c r="K132" t="s">
        <v>126</v>
      </c>
      <c r="L132">
        <v>5</v>
      </c>
      <c r="M132">
        <v>5</v>
      </c>
      <c r="N132" t="s">
        <v>148</v>
      </c>
      <c r="O132" t="s">
        <v>156</v>
      </c>
      <c r="P132" t="s">
        <v>174</v>
      </c>
      <c r="Q132">
        <v>1.25</v>
      </c>
      <c r="R132" s="9">
        <v>59620</v>
      </c>
      <c r="S132" t="str">
        <f>IF(OR(Sheet1[[#This Row],[Salary_USD]]&lt;$V$13,Sheet1[[#This Row],[Salary_USD]]&gt;$V$12),"Outlier","Normal")</f>
        <v>Normal</v>
      </c>
    </row>
    <row r="133" spans="1:19" x14ac:dyDescent="0.25">
      <c r="A133" t="s">
        <v>19</v>
      </c>
      <c r="B133" t="s">
        <v>23</v>
      </c>
      <c r="C133" t="s">
        <v>53</v>
      </c>
      <c r="D133" t="s">
        <v>61</v>
      </c>
      <c r="E133" s="2">
        <v>1221456</v>
      </c>
      <c r="F133" s="2">
        <v>59986</v>
      </c>
      <c r="G133" t="s">
        <v>66</v>
      </c>
      <c r="H133" t="s">
        <v>56</v>
      </c>
      <c r="I133" t="s">
        <v>72</v>
      </c>
      <c r="J133" t="s">
        <v>82</v>
      </c>
      <c r="K133" t="s">
        <v>112</v>
      </c>
      <c r="L133">
        <v>9</v>
      </c>
      <c r="M133">
        <v>9</v>
      </c>
      <c r="N133" t="s">
        <v>149</v>
      </c>
      <c r="O133" t="s">
        <v>155</v>
      </c>
      <c r="P133" t="s">
        <v>231</v>
      </c>
      <c r="Q133">
        <v>1.2E-2</v>
      </c>
      <c r="R133" s="9">
        <v>14657.472</v>
      </c>
      <c r="S133" t="str">
        <f>IF(OR(Sheet1[[#This Row],[Salary_USD]]&lt;$V$13,Sheet1[[#This Row],[Salary_USD]]&gt;$V$12),"Outlier","Normal")</f>
        <v>Normal</v>
      </c>
    </row>
    <row r="134" spans="1:19" x14ac:dyDescent="0.25">
      <c r="A134" t="s">
        <v>19</v>
      </c>
      <c r="B134" t="s">
        <v>26</v>
      </c>
      <c r="C134" t="s">
        <v>42</v>
      </c>
      <c r="D134" t="s">
        <v>62</v>
      </c>
      <c r="E134" s="2">
        <v>29260</v>
      </c>
      <c r="F134" s="2">
        <v>432</v>
      </c>
      <c r="G134" t="s">
        <v>68</v>
      </c>
      <c r="H134" t="s">
        <v>451</v>
      </c>
      <c r="I134" t="s">
        <v>74</v>
      </c>
      <c r="J134" t="s">
        <v>84</v>
      </c>
      <c r="K134" t="s">
        <v>74</v>
      </c>
      <c r="L134">
        <v>25</v>
      </c>
      <c r="M134">
        <v>25</v>
      </c>
      <c r="N134" t="s">
        <v>152</v>
      </c>
      <c r="O134" t="s">
        <v>154</v>
      </c>
      <c r="P134" t="s">
        <v>232</v>
      </c>
      <c r="Q134">
        <v>1.25</v>
      </c>
      <c r="R134" s="9">
        <v>36575</v>
      </c>
      <c r="S134" t="str">
        <f>IF(OR(Sheet1[[#This Row],[Salary_USD]]&lt;$V$13,Sheet1[[#This Row],[Salary_USD]]&gt;$V$12),"Outlier","Normal")</f>
        <v>Normal</v>
      </c>
    </row>
    <row r="135" spans="1:19" x14ac:dyDescent="0.25">
      <c r="A135" t="s">
        <v>20</v>
      </c>
      <c r="B135" t="s">
        <v>26</v>
      </c>
      <c r="C135" t="s">
        <v>37</v>
      </c>
      <c r="D135" t="s">
        <v>54</v>
      </c>
      <c r="E135" s="2">
        <v>78469</v>
      </c>
      <c r="F135" s="2">
        <v>4772</v>
      </c>
      <c r="G135" t="s">
        <v>64</v>
      </c>
      <c r="H135" t="s">
        <v>56</v>
      </c>
      <c r="I135" t="s">
        <v>77</v>
      </c>
      <c r="J135" t="s">
        <v>111</v>
      </c>
      <c r="K135" t="s">
        <v>141</v>
      </c>
      <c r="L135">
        <v>6</v>
      </c>
      <c r="M135">
        <v>4</v>
      </c>
      <c r="N135" t="s">
        <v>149</v>
      </c>
      <c r="O135" t="s">
        <v>157</v>
      </c>
      <c r="P135" t="s">
        <v>169</v>
      </c>
      <c r="Q135">
        <v>0.65</v>
      </c>
      <c r="R135" s="9">
        <v>51004.85</v>
      </c>
      <c r="S135" t="str">
        <f>IF(OR(Sheet1[[#This Row],[Salary_USD]]&lt;$V$13,Sheet1[[#This Row],[Salary_USD]]&gt;$V$12),"Outlier","Normal")</f>
        <v>Normal</v>
      </c>
    </row>
    <row r="136" spans="1:19" x14ac:dyDescent="0.25">
      <c r="A136" t="s">
        <v>19</v>
      </c>
      <c r="B136" t="s">
        <v>32</v>
      </c>
      <c r="C136" t="s">
        <v>37</v>
      </c>
      <c r="D136" t="s">
        <v>62</v>
      </c>
      <c r="E136" s="2">
        <v>121666</v>
      </c>
      <c r="F136" s="2">
        <v>0</v>
      </c>
      <c r="G136" t="s">
        <v>67</v>
      </c>
      <c r="H136" t="s">
        <v>71</v>
      </c>
      <c r="I136" t="s">
        <v>74</v>
      </c>
      <c r="J136" t="s">
        <v>84</v>
      </c>
      <c r="K136" t="s">
        <v>74</v>
      </c>
      <c r="L136">
        <v>4</v>
      </c>
      <c r="M136">
        <v>4</v>
      </c>
      <c r="N136" t="s">
        <v>152</v>
      </c>
      <c r="O136" t="s">
        <v>155</v>
      </c>
      <c r="P136" t="s">
        <v>233</v>
      </c>
      <c r="Q136">
        <v>1</v>
      </c>
      <c r="R136" s="9">
        <v>121666</v>
      </c>
      <c r="S136" t="str">
        <f>IF(OR(Sheet1[[#This Row],[Salary_USD]]&lt;$V$13,Sheet1[[#This Row],[Salary_USD]]&gt;$V$12),"Outlier","Normal")</f>
        <v>Normal</v>
      </c>
    </row>
    <row r="137" spans="1:19" x14ac:dyDescent="0.25">
      <c r="A137" t="s">
        <v>20</v>
      </c>
      <c r="B137" t="s">
        <v>23</v>
      </c>
      <c r="C137" t="s">
        <v>39</v>
      </c>
      <c r="D137" t="s">
        <v>58</v>
      </c>
      <c r="E137" s="2">
        <v>88730</v>
      </c>
      <c r="F137" s="2">
        <v>13771</v>
      </c>
      <c r="G137" t="s">
        <v>68</v>
      </c>
      <c r="H137" t="s">
        <v>451</v>
      </c>
      <c r="I137" t="s">
        <v>78</v>
      </c>
      <c r="J137" t="s">
        <v>105</v>
      </c>
      <c r="K137" t="s">
        <v>133</v>
      </c>
      <c r="L137">
        <v>4</v>
      </c>
      <c r="M137">
        <v>2</v>
      </c>
      <c r="N137" t="s">
        <v>150</v>
      </c>
      <c r="O137" t="s">
        <v>156</v>
      </c>
      <c r="P137" t="s">
        <v>158</v>
      </c>
      <c r="Q137">
        <v>1.25</v>
      </c>
      <c r="R137" s="9">
        <v>110912.5</v>
      </c>
      <c r="S137" t="str">
        <f>IF(OR(Sheet1[[#This Row],[Salary_USD]]&lt;$V$13,Sheet1[[#This Row],[Salary_USD]]&gt;$V$12),"Outlier","Normal")</f>
        <v>Normal</v>
      </c>
    </row>
    <row r="138" spans="1:19" x14ac:dyDescent="0.25">
      <c r="A138" t="s">
        <v>18</v>
      </c>
      <c r="B138" t="s">
        <v>23</v>
      </c>
      <c r="C138" t="s">
        <v>44</v>
      </c>
      <c r="D138" t="s">
        <v>55</v>
      </c>
      <c r="E138" s="2">
        <v>49938</v>
      </c>
      <c r="F138" s="2">
        <v>617</v>
      </c>
      <c r="G138" t="s">
        <v>68</v>
      </c>
      <c r="H138" t="s">
        <v>71</v>
      </c>
      <c r="I138" t="s">
        <v>72</v>
      </c>
      <c r="J138" t="s">
        <v>95</v>
      </c>
      <c r="K138" t="s">
        <v>120</v>
      </c>
      <c r="L138">
        <v>0</v>
      </c>
      <c r="M138">
        <v>0</v>
      </c>
      <c r="N138" t="s">
        <v>152</v>
      </c>
      <c r="O138" t="s">
        <v>156</v>
      </c>
      <c r="P138" t="s">
        <v>234</v>
      </c>
      <c r="Q138">
        <v>1.25</v>
      </c>
      <c r="R138" s="9">
        <v>62422.5</v>
      </c>
      <c r="S138" t="str">
        <f>IF(OR(Sheet1[[#This Row],[Salary_USD]]&lt;$V$13,Sheet1[[#This Row],[Salary_USD]]&gt;$V$12),"Outlier","Normal")</f>
        <v>Normal</v>
      </c>
    </row>
    <row r="139" spans="1:19" x14ac:dyDescent="0.25">
      <c r="A139" t="s">
        <v>17</v>
      </c>
      <c r="B139" t="s">
        <v>35</v>
      </c>
      <c r="C139" t="s">
        <v>45</v>
      </c>
      <c r="D139" t="s">
        <v>56</v>
      </c>
      <c r="E139" s="2">
        <v>24418</v>
      </c>
      <c r="F139" s="2">
        <v>2665</v>
      </c>
      <c r="G139" t="s">
        <v>63</v>
      </c>
      <c r="H139" t="s">
        <v>71</v>
      </c>
      <c r="I139" t="s">
        <v>74</v>
      </c>
      <c r="J139" t="s">
        <v>84</v>
      </c>
      <c r="K139" t="s">
        <v>74</v>
      </c>
      <c r="L139">
        <v>10</v>
      </c>
      <c r="M139">
        <v>9</v>
      </c>
      <c r="N139" t="s">
        <v>150</v>
      </c>
      <c r="O139" t="s">
        <v>154</v>
      </c>
      <c r="P139" t="s">
        <v>235</v>
      </c>
      <c r="Q139">
        <v>1.1000000000000001</v>
      </c>
      <c r="R139" s="9">
        <v>26859.800000000003</v>
      </c>
      <c r="S139" t="str">
        <f>IF(OR(Sheet1[[#This Row],[Salary_USD]]&lt;$V$13,Sheet1[[#This Row],[Salary_USD]]&gt;$V$12),"Outlier","Normal")</f>
        <v>Normal</v>
      </c>
    </row>
    <row r="140" spans="1:19" x14ac:dyDescent="0.25">
      <c r="A140" t="s">
        <v>17</v>
      </c>
      <c r="B140" t="s">
        <v>34</v>
      </c>
      <c r="C140" t="s">
        <v>52</v>
      </c>
      <c r="D140" t="s">
        <v>61</v>
      </c>
      <c r="E140" s="2">
        <v>93863</v>
      </c>
      <c r="F140" s="2">
        <v>0</v>
      </c>
      <c r="G140" t="s">
        <v>65</v>
      </c>
      <c r="H140" t="s">
        <v>69</v>
      </c>
      <c r="I140" t="s">
        <v>75</v>
      </c>
      <c r="J140" t="s">
        <v>85</v>
      </c>
      <c r="K140" t="s">
        <v>114</v>
      </c>
      <c r="L140">
        <v>20</v>
      </c>
      <c r="M140">
        <v>20</v>
      </c>
      <c r="N140" t="s">
        <v>149</v>
      </c>
      <c r="O140" t="s">
        <v>155</v>
      </c>
      <c r="P140" t="s">
        <v>230</v>
      </c>
      <c r="Q140">
        <v>0.73</v>
      </c>
      <c r="R140" s="9">
        <v>68519.990000000005</v>
      </c>
      <c r="S140" t="str">
        <f>IF(OR(Sheet1[[#This Row],[Salary_USD]]&lt;$V$13,Sheet1[[#This Row],[Salary_USD]]&gt;$V$12),"Outlier","Normal")</f>
        <v>Normal</v>
      </c>
    </row>
    <row r="141" spans="1:19" x14ac:dyDescent="0.25">
      <c r="A141" t="s">
        <v>21</v>
      </c>
      <c r="B141" t="s">
        <v>32</v>
      </c>
      <c r="C141" t="s">
        <v>53</v>
      </c>
      <c r="D141" t="s">
        <v>58</v>
      </c>
      <c r="E141" s="2">
        <v>73199</v>
      </c>
      <c r="F141" s="2">
        <v>0</v>
      </c>
      <c r="G141" t="s">
        <v>64</v>
      </c>
      <c r="H141" t="s">
        <v>451</v>
      </c>
      <c r="I141" t="s">
        <v>75</v>
      </c>
      <c r="J141" t="s">
        <v>108</v>
      </c>
      <c r="K141" t="s">
        <v>135</v>
      </c>
      <c r="L141">
        <v>10</v>
      </c>
      <c r="M141">
        <v>8</v>
      </c>
      <c r="N141" t="s">
        <v>153</v>
      </c>
      <c r="O141" t="s">
        <v>154</v>
      </c>
      <c r="P141" t="s">
        <v>236</v>
      </c>
      <c r="Q141">
        <v>0.65</v>
      </c>
      <c r="R141" s="9">
        <v>47579.35</v>
      </c>
      <c r="S141" t="str">
        <f>IF(OR(Sheet1[[#This Row],[Salary_USD]]&lt;$V$13,Sheet1[[#This Row],[Salary_USD]]&gt;$V$12),"Outlier","Normal")</f>
        <v>Normal</v>
      </c>
    </row>
    <row r="142" spans="1:19" x14ac:dyDescent="0.25">
      <c r="A142" t="s">
        <v>20</v>
      </c>
      <c r="B142" t="s">
        <v>23</v>
      </c>
      <c r="C142" t="s">
        <v>40</v>
      </c>
      <c r="D142" t="s">
        <v>54</v>
      </c>
      <c r="E142" s="2">
        <v>81061</v>
      </c>
      <c r="F142" s="2">
        <v>1237</v>
      </c>
      <c r="G142" t="s">
        <v>67</v>
      </c>
      <c r="H142" t="s">
        <v>56</v>
      </c>
      <c r="I142" t="s">
        <v>81</v>
      </c>
      <c r="J142" t="s">
        <v>101</v>
      </c>
      <c r="K142" t="s">
        <v>127</v>
      </c>
      <c r="L142">
        <v>5</v>
      </c>
      <c r="M142">
        <v>5</v>
      </c>
      <c r="N142" t="s">
        <v>151</v>
      </c>
      <c r="O142" t="s">
        <v>156</v>
      </c>
      <c r="P142" t="s">
        <v>237</v>
      </c>
      <c r="Q142">
        <v>1</v>
      </c>
      <c r="R142" s="9">
        <v>81061</v>
      </c>
      <c r="S142" t="str">
        <f>IF(OR(Sheet1[[#This Row],[Salary_USD]]&lt;$V$13,Sheet1[[#This Row],[Salary_USD]]&gt;$V$12),"Outlier","Normal")</f>
        <v>Normal</v>
      </c>
    </row>
    <row r="143" spans="1:19" x14ac:dyDescent="0.25">
      <c r="A143" t="s">
        <v>20</v>
      </c>
      <c r="B143" t="s">
        <v>35</v>
      </c>
      <c r="C143" t="s">
        <v>44</v>
      </c>
      <c r="D143" t="s">
        <v>58</v>
      </c>
      <c r="E143" s="2">
        <v>83983</v>
      </c>
      <c r="F143" s="2">
        <v>4621</v>
      </c>
      <c r="G143" t="s">
        <v>68</v>
      </c>
      <c r="H143" t="s">
        <v>56</v>
      </c>
      <c r="I143" t="s">
        <v>81</v>
      </c>
      <c r="J143" t="s">
        <v>98</v>
      </c>
      <c r="K143" t="s">
        <v>123</v>
      </c>
      <c r="L143">
        <v>3</v>
      </c>
      <c r="M143">
        <v>2</v>
      </c>
      <c r="N143" t="s">
        <v>150</v>
      </c>
      <c r="O143" t="s">
        <v>155</v>
      </c>
      <c r="P143" t="s">
        <v>238</v>
      </c>
      <c r="Q143">
        <v>1.25</v>
      </c>
      <c r="R143" s="9">
        <v>104978.75</v>
      </c>
      <c r="S143" t="str">
        <f>IF(OR(Sheet1[[#This Row],[Salary_USD]]&lt;$V$13,Sheet1[[#This Row],[Salary_USD]]&gt;$V$12),"Outlier","Normal")</f>
        <v>Normal</v>
      </c>
    </row>
    <row r="144" spans="1:19" x14ac:dyDescent="0.25">
      <c r="A144" t="s">
        <v>20</v>
      </c>
      <c r="B144" t="s">
        <v>451</v>
      </c>
      <c r="C144" t="s">
        <v>451</v>
      </c>
      <c r="D144" t="s">
        <v>54</v>
      </c>
      <c r="E144" s="2">
        <v>0</v>
      </c>
      <c r="F144" s="2">
        <v>165208</v>
      </c>
      <c r="G144" t="s">
        <v>66</v>
      </c>
      <c r="H144" t="s">
        <v>71</v>
      </c>
      <c r="I144" t="s">
        <v>80</v>
      </c>
      <c r="J144" t="s">
        <v>106</v>
      </c>
      <c r="K144" t="s">
        <v>451</v>
      </c>
      <c r="L144">
        <v>0</v>
      </c>
      <c r="M144">
        <v>5</v>
      </c>
      <c r="N144" t="s">
        <v>151</v>
      </c>
      <c r="O144" t="s">
        <v>452</v>
      </c>
      <c r="P144" t="s">
        <v>239</v>
      </c>
      <c r="Q144">
        <v>1.2E-2</v>
      </c>
      <c r="R144" s="9">
        <v>0</v>
      </c>
      <c r="S144" t="str">
        <f>IF(OR(Sheet1[[#This Row],[Salary_USD]]&lt;$V$13,Sheet1[[#This Row],[Salary_USD]]&gt;$V$12),"Outlier","Normal")</f>
        <v>Normal</v>
      </c>
    </row>
    <row r="145" spans="1:19" x14ac:dyDescent="0.25">
      <c r="A145" t="s">
        <v>21</v>
      </c>
      <c r="B145" t="s">
        <v>33</v>
      </c>
      <c r="C145" t="s">
        <v>38</v>
      </c>
      <c r="D145" t="s">
        <v>56</v>
      </c>
      <c r="E145" s="2">
        <v>59986</v>
      </c>
      <c r="F145" s="2">
        <v>8094</v>
      </c>
      <c r="G145" t="s">
        <v>68</v>
      </c>
      <c r="H145" t="s">
        <v>70</v>
      </c>
      <c r="I145" t="s">
        <v>79</v>
      </c>
      <c r="J145" t="s">
        <v>91</v>
      </c>
      <c r="K145" t="s">
        <v>118</v>
      </c>
      <c r="L145">
        <v>8</v>
      </c>
      <c r="M145">
        <v>8</v>
      </c>
      <c r="N145" t="s">
        <v>149</v>
      </c>
      <c r="O145" t="s">
        <v>154</v>
      </c>
      <c r="P145" t="s">
        <v>178</v>
      </c>
      <c r="Q145">
        <v>1.25</v>
      </c>
      <c r="R145" s="9">
        <v>74982.5</v>
      </c>
      <c r="S145" t="str">
        <f>IF(OR(Sheet1[[#This Row],[Salary_USD]]&lt;$V$13,Sheet1[[#This Row],[Salary_USD]]&gt;$V$12),"Outlier","Normal")</f>
        <v>Normal</v>
      </c>
    </row>
    <row r="146" spans="1:19" x14ac:dyDescent="0.25">
      <c r="A146" t="s">
        <v>17</v>
      </c>
      <c r="B146" t="s">
        <v>22</v>
      </c>
      <c r="C146" t="s">
        <v>42</v>
      </c>
      <c r="D146" t="s">
        <v>62</v>
      </c>
      <c r="E146" s="2">
        <v>57638</v>
      </c>
      <c r="F146" s="2">
        <v>1605</v>
      </c>
      <c r="G146" t="s">
        <v>68</v>
      </c>
      <c r="H146" t="s">
        <v>451</v>
      </c>
      <c r="I146" t="s">
        <v>75</v>
      </c>
      <c r="J146" t="s">
        <v>108</v>
      </c>
      <c r="K146" t="s">
        <v>135</v>
      </c>
      <c r="L146">
        <v>15</v>
      </c>
      <c r="M146">
        <v>15</v>
      </c>
      <c r="N146" t="s">
        <v>152</v>
      </c>
      <c r="O146" t="s">
        <v>155</v>
      </c>
      <c r="P146" t="s">
        <v>167</v>
      </c>
      <c r="Q146">
        <v>1.25</v>
      </c>
      <c r="R146" s="9">
        <v>72047.5</v>
      </c>
      <c r="S146" t="str">
        <f>IF(OR(Sheet1[[#This Row],[Salary_USD]]&lt;$V$13,Sheet1[[#This Row],[Salary_USD]]&gt;$V$12),"Outlier","Normal")</f>
        <v>Normal</v>
      </c>
    </row>
    <row r="147" spans="1:19" x14ac:dyDescent="0.25">
      <c r="A147" t="s">
        <v>20</v>
      </c>
      <c r="B147" t="s">
        <v>24</v>
      </c>
      <c r="C147" t="s">
        <v>51</v>
      </c>
      <c r="D147" t="s">
        <v>56</v>
      </c>
      <c r="E147" s="2">
        <v>914346</v>
      </c>
      <c r="F147" s="2">
        <v>6861</v>
      </c>
      <c r="G147" t="s">
        <v>66</v>
      </c>
      <c r="H147" t="s">
        <v>56</v>
      </c>
      <c r="I147" t="s">
        <v>79</v>
      </c>
      <c r="J147" t="s">
        <v>107</v>
      </c>
      <c r="K147" t="s">
        <v>134</v>
      </c>
      <c r="L147">
        <v>3</v>
      </c>
      <c r="M147">
        <v>0</v>
      </c>
      <c r="N147" t="s">
        <v>152</v>
      </c>
      <c r="O147" t="s">
        <v>156</v>
      </c>
      <c r="P147" t="s">
        <v>240</v>
      </c>
      <c r="Q147">
        <v>1.2E-2</v>
      </c>
      <c r="R147" s="9">
        <v>10972.152</v>
      </c>
      <c r="S147" t="str">
        <f>IF(OR(Sheet1[[#This Row],[Salary_USD]]&lt;$V$13,Sheet1[[#This Row],[Salary_USD]]&gt;$V$12),"Outlier","Normal")</f>
        <v>Normal</v>
      </c>
    </row>
    <row r="148" spans="1:19" x14ac:dyDescent="0.25">
      <c r="A148" t="s">
        <v>20</v>
      </c>
      <c r="B148" t="s">
        <v>451</v>
      </c>
      <c r="C148" t="s">
        <v>451</v>
      </c>
      <c r="D148" t="s">
        <v>59</v>
      </c>
      <c r="E148" s="2">
        <v>0</v>
      </c>
      <c r="F148" s="2">
        <v>12468</v>
      </c>
      <c r="G148" t="s">
        <v>65</v>
      </c>
      <c r="H148" t="s">
        <v>451</v>
      </c>
      <c r="I148" t="s">
        <v>73</v>
      </c>
      <c r="J148" t="s">
        <v>102</v>
      </c>
      <c r="K148" t="s">
        <v>451</v>
      </c>
      <c r="L148">
        <v>0</v>
      </c>
      <c r="M148">
        <v>0</v>
      </c>
      <c r="N148" t="s">
        <v>148</v>
      </c>
      <c r="O148" t="s">
        <v>452</v>
      </c>
      <c r="P148" t="s">
        <v>241</v>
      </c>
      <c r="Q148">
        <v>0.73</v>
      </c>
      <c r="R148" s="9">
        <v>0</v>
      </c>
      <c r="S148" t="str">
        <f>IF(OR(Sheet1[[#This Row],[Salary_USD]]&lt;$V$13,Sheet1[[#This Row],[Salary_USD]]&gt;$V$12),"Outlier","Normal")</f>
        <v>Normal</v>
      </c>
    </row>
    <row r="149" spans="1:19" x14ac:dyDescent="0.25">
      <c r="A149" t="s">
        <v>20</v>
      </c>
      <c r="B149" t="s">
        <v>29</v>
      </c>
      <c r="C149" t="s">
        <v>44</v>
      </c>
      <c r="D149" t="s">
        <v>55</v>
      </c>
      <c r="E149" s="2">
        <v>88470</v>
      </c>
      <c r="F149" s="2">
        <v>0</v>
      </c>
      <c r="G149" t="s">
        <v>64</v>
      </c>
      <c r="H149" t="s">
        <v>71</v>
      </c>
      <c r="I149" t="s">
        <v>80</v>
      </c>
      <c r="J149" t="s">
        <v>93</v>
      </c>
      <c r="K149" t="s">
        <v>93</v>
      </c>
      <c r="L149">
        <v>0</v>
      </c>
      <c r="M149">
        <v>0</v>
      </c>
      <c r="N149" t="s">
        <v>153</v>
      </c>
      <c r="O149" t="s">
        <v>154</v>
      </c>
      <c r="P149" t="s">
        <v>242</v>
      </c>
      <c r="Q149">
        <v>0.65</v>
      </c>
      <c r="R149" s="9">
        <v>57505.5</v>
      </c>
      <c r="S149" t="str">
        <f>IF(OR(Sheet1[[#This Row],[Salary_USD]]&lt;$V$13,Sheet1[[#This Row],[Salary_USD]]&gt;$V$12),"Outlier","Normal")</f>
        <v>Normal</v>
      </c>
    </row>
    <row r="150" spans="1:19" x14ac:dyDescent="0.25">
      <c r="A150" t="s">
        <v>20</v>
      </c>
      <c r="B150" t="s">
        <v>35</v>
      </c>
      <c r="C150" t="s">
        <v>44</v>
      </c>
      <c r="D150" t="s">
        <v>54</v>
      </c>
      <c r="E150" s="2">
        <v>36108</v>
      </c>
      <c r="F150" s="2">
        <v>5099</v>
      </c>
      <c r="G150" t="s">
        <v>63</v>
      </c>
      <c r="H150" t="s">
        <v>56</v>
      </c>
      <c r="I150" t="s">
        <v>79</v>
      </c>
      <c r="J150" t="s">
        <v>107</v>
      </c>
      <c r="K150" t="s">
        <v>134</v>
      </c>
      <c r="L150">
        <v>3</v>
      </c>
      <c r="M150">
        <v>3</v>
      </c>
      <c r="N150" t="s">
        <v>150</v>
      </c>
      <c r="O150" t="s">
        <v>155</v>
      </c>
      <c r="P150" t="s">
        <v>243</v>
      </c>
      <c r="Q150">
        <v>1.1000000000000001</v>
      </c>
      <c r="R150" s="9">
        <v>39718.800000000003</v>
      </c>
      <c r="S150" t="str">
        <f>IF(OR(Sheet1[[#This Row],[Salary_USD]]&lt;$V$13,Sheet1[[#This Row],[Salary_USD]]&gt;$V$12),"Outlier","Normal")</f>
        <v>Normal</v>
      </c>
    </row>
    <row r="151" spans="1:19" x14ac:dyDescent="0.25">
      <c r="A151" t="s">
        <v>19</v>
      </c>
      <c r="B151" t="s">
        <v>32</v>
      </c>
      <c r="C151" t="s">
        <v>48</v>
      </c>
      <c r="D151" t="s">
        <v>59</v>
      </c>
      <c r="E151" s="2">
        <v>127251</v>
      </c>
      <c r="F151" s="2">
        <v>2993</v>
      </c>
      <c r="G151" t="s">
        <v>67</v>
      </c>
      <c r="H151" t="s">
        <v>451</v>
      </c>
      <c r="I151" t="s">
        <v>76</v>
      </c>
      <c r="J151" t="s">
        <v>92</v>
      </c>
      <c r="K151" t="s">
        <v>119</v>
      </c>
      <c r="L151">
        <v>20</v>
      </c>
      <c r="M151">
        <v>20</v>
      </c>
      <c r="N151" t="s">
        <v>151</v>
      </c>
      <c r="O151" t="s">
        <v>156</v>
      </c>
      <c r="P151" t="s">
        <v>172</v>
      </c>
      <c r="Q151">
        <v>1</v>
      </c>
      <c r="R151" s="9">
        <v>127251</v>
      </c>
      <c r="S151" t="str">
        <f>IF(OR(Sheet1[[#This Row],[Salary_USD]]&lt;$V$13,Sheet1[[#This Row],[Salary_USD]]&gt;$V$12),"Outlier","Normal")</f>
        <v>Normal</v>
      </c>
    </row>
    <row r="152" spans="1:19" x14ac:dyDescent="0.25">
      <c r="A152" t="s">
        <v>20</v>
      </c>
      <c r="B152" t="s">
        <v>35</v>
      </c>
      <c r="C152" t="s">
        <v>46</v>
      </c>
      <c r="D152" t="s">
        <v>56</v>
      </c>
      <c r="E152" s="2">
        <v>103504</v>
      </c>
      <c r="F152" s="2">
        <v>19416</v>
      </c>
      <c r="G152" t="s">
        <v>67</v>
      </c>
      <c r="H152" t="s">
        <v>69</v>
      </c>
      <c r="I152" t="s">
        <v>78</v>
      </c>
      <c r="J152" t="s">
        <v>105</v>
      </c>
      <c r="K152" t="s">
        <v>142</v>
      </c>
      <c r="L152">
        <v>0</v>
      </c>
      <c r="M152">
        <v>0</v>
      </c>
      <c r="N152" t="s">
        <v>153</v>
      </c>
      <c r="O152" t="s">
        <v>154</v>
      </c>
      <c r="P152" t="s">
        <v>244</v>
      </c>
      <c r="Q152">
        <v>1</v>
      </c>
      <c r="R152" s="9">
        <v>103504</v>
      </c>
      <c r="S152" t="str">
        <f>IF(OR(Sheet1[[#This Row],[Salary_USD]]&lt;$V$13,Sheet1[[#This Row],[Salary_USD]]&gt;$V$12),"Outlier","Normal")</f>
        <v>Normal</v>
      </c>
    </row>
    <row r="153" spans="1:19" x14ac:dyDescent="0.25">
      <c r="A153" t="s">
        <v>20</v>
      </c>
      <c r="B153" t="s">
        <v>33</v>
      </c>
      <c r="C153" t="s">
        <v>36</v>
      </c>
      <c r="D153" t="s">
        <v>61</v>
      </c>
      <c r="E153" s="2">
        <v>844369</v>
      </c>
      <c r="F153" s="2">
        <v>44286</v>
      </c>
      <c r="G153" t="s">
        <v>66</v>
      </c>
      <c r="H153" t="s">
        <v>71</v>
      </c>
      <c r="I153" t="s">
        <v>78</v>
      </c>
      <c r="J153" t="s">
        <v>109</v>
      </c>
      <c r="K153" t="s">
        <v>137</v>
      </c>
      <c r="L153">
        <v>7</v>
      </c>
      <c r="M153">
        <v>7</v>
      </c>
      <c r="N153" t="s">
        <v>149</v>
      </c>
      <c r="O153" t="s">
        <v>155</v>
      </c>
      <c r="P153" t="s">
        <v>245</v>
      </c>
      <c r="Q153">
        <v>1.2E-2</v>
      </c>
      <c r="R153" s="9">
        <v>10132.428</v>
      </c>
      <c r="S153" t="str">
        <f>IF(OR(Sheet1[[#This Row],[Salary_USD]]&lt;$V$13,Sheet1[[#This Row],[Salary_USD]]&gt;$V$12),"Outlier","Normal")</f>
        <v>Normal</v>
      </c>
    </row>
    <row r="154" spans="1:19" x14ac:dyDescent="0.25">
      <c r="A154" t="s">
        <v>21</v>
      </c>
      <c r="B154" t="s">
        <v>32</v>
      </c>
      <c r="C154" t="s">
        <v>51</v>
      </c>
      <c r="D154" t="s">
        <v>55</v>
      </c>
      <c r="E154" s="2">
        <v>78925</v>
      </c>
      <c r="F154" s="2">
        <v>712</v>
      </c>
      <c r="G154" t="s">
        <v>65</v>
      </c>
      <c r="H154" t="s">
        <v>71</v>
      </c>
      <c r="I154" t="s">
        <v>72</v>
      </c>
      <c r="J154" t="s">
        <v>95</v>
      </c>
      <c r="K154" t="s">
        <v>120</v>
      </c>
      <c r="L154">
        <v>15</v>
      </c>
      <c r="M154">
        <v>15</v>
      </c>
      <c r="N154" t="s">
        <v>151</v>
      </c>
      <c r="O154" t="s">
        <v>157</v>
      </c>
      <c r="P154" t="s">
        <v>237</v>
      </c>
      <c r="Q154">
        <v>0.73</v>
      </c>
      <c r="R154" s="9">
        <v>57615.25</v>
      </c>
      <c r="S154" t="str">
        <f>IF(OR(Sheet1[[#This Row],[Salary_USD]]&lt;$V$13,Sheet1[[#This Row],[Salary_USD]]&gt;$V$12),"Outlier","Normal")</f>
        <v>Normal</v>
      </c>
    </row>
    <row r="155" spans="1:19" x14ac:dyDescent="0.25">
      <c r="A155" t="s">
        <v>17</v>
      </c>
      <c r="B155" t="s">
        <v>29</v>
      </c>
      <c r="C155" t="s">
        <v>47</v>
      </c>
      <c r="D155" t="s">
        <v>451</v>
      </c>
      <c r="E155" s="2">
        <v>100188</v>
      </c>
      <c r="F155" s="2">
        <v>1228</v>
      </c>
      <c r="G155" t="s">
        <v>63</v>
      </c>
      <c r="H155" t="s">
        <v>56</v>
      </c>
      <c r="I155" t="s">
        <v>77</v>
      </c>
      <c r="J155" t="s">
        <v>87</v>
      </c>
      <c r="K155" t="s">
        <v>143</v>
      </c>
      <c r="L155">
        <v>20</v>
      </c>
      <c r="M155">
        <v>20</v>
      </c>
      <c r="N155" t="s">
        <v>151</v>
      </c>
      <c r="O155" t="s">
        <v>154</v>
      </c>
      <c r="P155" t="s">
        <v>246</v>
      </c>
      <c r="Q155">
        <v>1.1000000000000001</v>
      </c>
      <c r="R155" s="9">
        <v>110206.8</v>
      </c>
      <c r="S155" t="str">
        <f>IF(OR(Sheet1[[#This Row],[Salary_USD]]&lt;$V$13,Sheet1[[#This Row],[Salary_USD]]&gt;$V$12),"Outlier","Normal")</f>
        <v>Normal</v>
      </c>
    </row>
    <row r="156" spans="1:19" x14ac:dyDescent="0.25">
      <c r="A156" t="s">
        <v>19</v>
      </c>
      <c r="B156" t="s">
        <v>29</v>
      </c>
      <c r="C156" t="s">
        <v>43</v>
      </c>
      <c r="D156" t="s">
        <v>54</v>
      </c>
      <c r="E156" s="2">
        <v>25644</v>
      </c>
      <c r="F156" s="2">
        <v>717</v>
      </c>
      <c r="G156" t="s">
        <v>63</v>
      </c>
      <c r="H156" t="s">
        <v>69</v>
      </c>
      <c r="I156" t="s">
        <v>72</v>
      </c>
      <c r="J156" t="s">
        <v>82</v>
      </c>
      <c r="K156" t="s">
        <v>112</v>
      </c>
      <c r="L156">
        <v>8</v>
      </c>
      <c r="M156">
        <v>6</v>
      </c>
      <c r="N156" t="s">
        <v>151</v>
      </c>
      <c r="O156" t="s">
        <v>155</v>
      </c>
      <c r="P156" t="s">
        <v>169</v>
      </c>
      <c r="Q156">
        <v>1.1000000000000001</v>
      </c>
      <c r="R156" s="9">
        <v>28208.400000000001</v>
      </c>
      <c r="S156" t="str">
        <f>IF(OR(Sheet1[[#This Row],[Salary_USD]]&lt;$V$13,Sheet1[[#This Row],[Salary_USD]]&gt;$V$12),"Outlier","Normal")</f>
        <v>Normal</v>
      </c>
    </row>
    <row r="157" spans="1:19" x14ac:dyDescent="0.25">
      <c r="A157" t="s">
        <v>17</v>
      </c>
      <c r="B157" t="s">
        <v>31</v>
      </c>
      <c r="C157" t="s">
        <v>42</v>
      </c>
      <c r="D157" t="s">
        <v>60</v>
      </c>
      <c r="E157" s="2">
        <v>74289</v>
      </c>
      <c r="F157" s="2">
        <v>0</v>
      </c>
      <c r="G157" t="s">
        <v>65</v>
      </c>
      <c r="H157" t="s">
        <v>69</v>
      </c>
      <c r="I157" t="s">
        <v>74</v>
      </c>
      <c r="J157" t="s">
        <v>84</v>
      </c>
      <c r="K157" t="s">
        <v>74</v>
      </c>
      <c r="L157">
        <v>8</v>
      </c>
      <c r="M157">
        <v>8</v>
      </c>
      <c r="N157" t="s">
        <v>148</v>
      </c>
      <c r="O157" t="s">
        <v>154</v>
      </c>
      <c r="P157" t="s">
        <v>234</v>
      </c>
      <c r="Q157">
        <v>0.73</v>
      </c>
      <c r="R157" s="9">
        <v>54230.97</v>
      </c>
      <c r="S157" t="str">
        <f>IF(OR(Sheet1[[#This Row],[Salary_USD]]&lt;$V$13,Sheet1[[#This Row],[Salary_USD]]&gt;$V$12),"Outlier","Normal")</f>
        <v>Normal</v>
      </c>
    </row>
    <row r="158" spans="1:19" x14ac:dyDescent="0.25">
      <c r="A158" t="s">
        <v>17</v>
      </c>
      <c r="B158" t="s">
        <v>29</v>
      </c>
      <c r="C158" t="s">
        <v>42</v>
      </c>
      <c r="D158" t="s">
        <v>61</v>
      </c>
      <c r="E158" s="2">
        <v>86746</v>
      </c>
      <c r="F158" s="2">
        <v>3939</v>
      </c>
      <c r="G158" t="s">
        <v>64</v>
      </c>
      <c r="H158" t="s">
        <v>451</v>
      </c>
      <c r="I158" t="s">
        <v>74</v>
      </c>
      <c r="J158" t="s">
        <v>84</v>
      </c>
      <c r="K158" t="s">
        <v>74</v>
      </c>
      <c r="L158">
        <v>18</v>
      </c>
      <c r="M158">
        <v>16</v>
      </c>
      <c r="N158" t="s">
        <v>148</v>
      </c>
      <c r="O158" t="s">
        <v>155</v>
      </c>
      <c r="P158" t="s">
        <v>169</v>
      </c>
      <c r="Q158">
        <v>0.65</v>
      </c>
      <c r="R158" s="9">
        <v>56384.9</v>
      </c>
      <c r="S158" t="str">
        <f>IF(OR(Sheet1[[#This Row],[Salary_USD]]&lt;$V$13,Sheet1[[#This Row],[Salary_USD]]&gt;$V$12),"Outlier","Normal")</f>
        <v>Normal</v>
      </c>
    </row>
    <row r="159" spans="1:19" x14ac:dyDescent="0.25">
      <c r="A159" t="s">
        <v>19</v>
      </c>
      <c r="B159" t="s">
        <v>24</v>
      </c>
      <c r="C159" t="s">
        <v>39</v>
      </c>
      <c r="D159" t="s">
        <v>451</v>
      </c>
      <c r="E159" s="2">
        <v>97333</v>
      </c>
      <c r="F159" s="2">
        <v>14508</v>
      </c>
      <c r="G159" t="s">
        <v>67</v>
      </c>
      <c r="H159" t="s">
        <v>56</v>
      </c>
      <c r="I159" t="s">
        <v>81</v>
      </c>
      <c r="J159" t="s">
        <v>103</v>
      </c>
      <c r="K159" t="s">
        <v>130</v>
      </c>
      <c r="L159">
        <v>5</v>
      </c>
      <c r="M159">
        <v>2</v>
      </c>
      <c r="N159" t="s">
        <v>151</v>
      </c>
      <c r="O159" t="s">
        <v>155</v>
      </c>
      <c r="P159" t="s">
        <v>243</v>
      </c>
      <c r="Q159">
        <v>1</v>
      </c>
      <c r="R159" s="9">
        <v>97333</v>
      </c>
      <c r="S159" t="str">
        <f>IF(OR(Sheet1[[#This Row],[Salary_USD]]&lt;$V$13,Sheet1[[#This Row],[Salary_USD]]&gt;$V$12),"Outlier","Normal")</f>
        <v>Normal</v>
      </c>
    </row>
    <row r="160" spans="1:19" x14ac:dyDescent="0.25">
      <c r="A160" t="s">
        <v>17</v>
      </c>
      <c r="B160" t="s">
        <v>22</v>
      </c>
      <c r="C160" t="s">
        <v>52</v>
      </c>
      <c r="D160" t="s">
        <v>57</v>
      </c>
      <c r="E160" s="2">
        <v>104164</v>
      </c>
      <c r="F160" s="2">
        <v>23399</v>
      </c>
      <c r="G160" t="s">
        <v>68</v>
      </c>
      <c r="H160" t="s">
        <v>71</v>
      </c>
      <c r="I160" t="s">
        <v>74</v>
      </c>
      <c r="J160" t="s">
        <v>84</v>
      </c>
      <c r="K160" t="s">
        <v>74</v>
      </c>
      <c r="L160">
        <v>10</v>
      </c>
      <c r="M160">
        <v>10</v>
      </c>
      <c r="N160" t="s">
        <v>150</v>
      </c>
      <c r="O160" t="s">
        <v>156</v>
      </c>
      <c r="P160" t="s">
        <v>247</v>
      </c>
      <c r="Q160">
        <v>1.25</v>
      </c>
      <c r="R160" s="9">
        <v>130205</v>
      </c>
      <c r="S160" t="str">
        <f>IF(OR(Sheet1[[#This Row],[Salary_USD]]&lt;$V$13,Sheet1[[#This Row],[Salary_USD]]&gt;$V$12),"Outlier","Normal")</f>
        <v>Normal</v>
      </c>
    </row>
    <row r="161" spans="1:19" x14ac:dyDescent="0.25">
      <c r="A161" t="s">
        <v>19</v>
      </c>
      <c r="B161" t="s">
        <v>35</v>
      </c>
      <c r="C161" t="s">
        <v>46</v>
      </c>
      <c r="D161" t="s">
        <v>55</v>
      </c>
      <c r="E161" s="2">
        <v>654555</v>
      </c>
      <c r="F161" s="2">
        <v>2880</v>
      </c>
      <c r="G161" t="s">
        <v>66</v>
      </c>
      <c r="H161" t="s">
        <v>451</v>
      </c>
      <c r="I161" t="s">
        <v>77</v>
      </c>
      <c r="J161" t="s">
        <v>87</v>
      </c>
      <c r="K161" t="s">
        <v>144</v>
      </c>
      <c r="L161">
        <v>12</v>
      </c>
      <c r="M161">
        <v>10</v>
      </c>
      <c r="N161" t="s">
        <v>149</v>
      </c>
      <c r="O161" t="s">
        <v>157</v>
      </c>
      <c r="P161" t="s">
        <v>163</v>
      </c>
      <c r="Q161">
        <v>1.2E-2</v>
      </c>
      <c r="R161" s="9">
        <v>7854.66</v>
      </c>
      <c r="S161" t="str">
        <f>IF(OR(Sheet1[[#This Row],[Salary_USD]]&lt;$V$13,Sheet1[[#This Row],[Salary_USD]]&gt;$V$12),"Outlier","Normal")</f>
        <v>Normal</v>
      </c>
    </row>
    <row r="162" spans="1:19" x14ac:dyDescent="0.25">
      <c r="A162" t="s">
        <v>18</v>
      </c>
      <c r="B162" t="s">
        <v>35</v>
      </c>
      <c r="C162" t="s">
        <v>50</v>
      </c>
      <c r="D162" t="s">
        <v>451</v>
      </c>
      <c r="E162" s="2">
        <v>1006019</v>
      </c>
      <c r="F162" s="2">
        <v>40458</v>
      </c>
      <c r="G162" t="s">
        <v>66</v>
      </c>
      <c r="H162" t="s">
        <v>71</v>
      </c>
      <c r="I162" t="s">
        <v>78</v>
      </c>
      <c r="J162" t="s">
        <v>104</v>
      </c>
      <c r="K162" t="s">
        <v>131</v>
      </c>
      <c r="L162">
        <v>1</v>
      </c>
      <c r="M162">
        <v>0</v>
      </c>
      <c r="N162" t="s">
        <v>148</v>
      </c>
      <c r="O162" t="s">
        <v>154</v>
      </c>
      <c r="P162" t="s">
        <v>248</v>
      </c>
      <c r="Q162">
        <v>1.2E-2</v>
      </c>
      <c r="R162" s="9">
        <v>12072.228000000001</v>
      </c>
      <c r="S162" t="str">
        <f>IF(OR(Sheet1[[#This Row],[Salary_USD]]&lt;$V$13,Sheet1[[#This Row],[Salary_USD]]&gt;$V$12),"Outlier","Normal")</f>
        <v>Normal</v>
      </c>
    </row>
    <row r="163" spans="1:19" x14ac:dyDescent="0.25">
      <c r="A163" t="s">
        <v>20</v>
      </c>
      <c r="B163" t="s">
        <v>26</v>
      </c>
      <c r="C163" t="s">
        <v>52</v>
      </c>
      <c r="D163" t="s">
        <v>57</v>
      </c>
      <c r="E163" s="2">
        <v>18694</v>
      </c>
      <c r="F163" s="2">
        <v>3123</v>
      </c>
      <c r="G163" t="s">
        <v>63</v>
      </c>
      <c r="H163" t="s">
        <v>70</v>
      </c>
      <c r="I163" t="s">
        <v>72</v>
      </c>
      <c r="J163" t="s">
        <v>95</v>
      </c>
      <c r="K163" t="s">
        <v>120</v>
      </c>
      <c r="L163">
        <v>7</v>
      </c>
      <c r="M163">
        <v>4</v>
      </c>
      <c r="N163" t="s">
        <v>149</v>
      </c>
      <c r="O163" t="s">
        <v>157</v>
      </c>
      <c r="P163" t="s">
        <v>167</v>
      </c>
      <c r="Q163">
        <v>1.1000000000000001</v>
      </c>
      <c r="R163" s="9">
        <v>20563.400000000001</v>
      </c>
      <c r="S163" t="str">
        <f>IF(OR(Sheet1[[#This Row],[Salary_USD]]&lt;$V$13,Sheet1[[#This Row],[Salary_USD]]&gt;$V$12),"Outlier","Normal")</f>
        <v>Normal</v>
      </c>
    </row>
    <row r="164" spans="1:19" x14ac:dyDescent="0.25">
      <c r="A164" t="s">
        <v>19</v>
      </c>
      <c r="B164" t="s">
        <v>31</v>
      </c>
      <c r="C164" t="s">
        <v>39</v>
      </c>
      <c r="D164" t="s">
        <v>61</v>
      </c>
      <c r="E164" s="2">
        <v>72142</v>
      </c>
      <c r="F164" s="2">
        <v>0</v>
      </c>
      <c r="G164" t="s">
        <v>67</v>
      </c>
      <c r="H164" t="s">
        <v>71</v>
      </c>
      <c r="I164" t="s">
        <v>75</v>
      </c>
      <c r="J164" t="s">
        <v>96</v>
      </c>
      <c r="K164" t="s">
        <v>121</v>
      </c>
      <c r="L164">
        <v>15</v>
      </c>
      <c r="M164">
        <v>15</v>
      </c>
      <c r="N164" t="s">
        <v>149</v>
      </c>
      <c r="O164" t="s">
        <v>154</v>
      </c>
      <c r="P164" t="s">
        <v>249</v>
      </c>
      <c r="Q164">
        <v>1</v>
      </c>
      <c r="R164" s="9">
        <v>72142</v>
      </c>
      <c r="S164" t="str">
        <f>IF(OR(Sheet1[[#This Row],[Salary_USD]]&lt;$V$13,Sheet1[[#This Row],[Salary_USD]]&gt;$V$12),"Outlier","Normal")</f>
        <v>Normal</v>
      </c>
    </row>
    <row r="165" spans="1:19" x14ac:dyDescent="0.25">
      <c r="A165" t="s">
        <v>20</v>
      </c>
      <c r="B165" t="s">
        <v>28</v>
      </c>
      <c r="C165" t="s">
        <v>37</v>
      </c>
      <c r="D165" t="s">
        <v>61</v>
      </c>
      <c r="E165" s="2">
        <v>60713</v>
      </c>
      <c r="F165" s="2">
        <v>2891</v>
      </c>
      <c r="G165" t="s">
        <v>63</v>
      </c>
      <c r="H165" t="s">
        <v>56</v>
      </c>
      <c r="I165" t="s">
        <v>76</v>
      </c>
      <c r="J165" t="s">
        <v>86</v>
      </c>
      <c r="K165" t="s">
        <v>115</v>
      </c>
      <c r="L165">
        <v>0</v>
      </c>
      <c r="M165">
        <v>0</v>
      </c>
      <c r="N165" t="s">
        <v>153</v>
      </c>
      <c r="O165" t="s">
        <v>154</v>
      </c>
      <c r="P165" t="s">
        <v>235</v>
      </c>
      <c r="Q165">
        <v>1.1000000000000001</v>
      </c>
      <c r="R165" s="9">
        <v>66784.3</v>
      </c>
      <c r="S165" t="str">
        <f>IF(OR(Sheet1[[#This Row],[Salary_USD]]&lt;$V$13,Sheet1[[#This Row],[Salary_USD]]&gt;$V$12),"Outlier","Normal")</f>
        <v>Normal</v>
      </c>
    </row>
    <row r="166" spans="1:19" x14ac:dyDescent="0.25">
      <c r="A166" t="s">
        <v>21</v>
      </c>
      <c r="B166" t="s">
        <v>26</v>
      </c>
      <c r="C166" t="s">
        <v>52</v>
      </c>
      <c r="D166" t="s">
        <v>62</v>
      </c>
      <c r="E166" s="2">
        <v>92403</v>
      </c>
      <c r="F166" s="2">
        <v>24578</v>
      </c>
      <c r="G166" t="s">
        <v>65</v>
      </c>
      <c r="H166" t="s">
        <v>56</v>
      </c>
      <c r="I166" t="s">
        <v>79</v>
      </c>
      <c r="J166" t="s">
        <v>107</v>
      </c>
      <c r="K166" t="s">
        <v>134</v>
      </c>
      <c r="L166">
        <v>9</v>
      </c>
      <c r="M166">
        <v>6</v>
      </c>
      <c r="N166" t="s">
        <v>149</v>
      </c>
      <c r="O166" t="s">
        <v>157</v>
      </c>
      <c r="P166" t="s">
        <v>178</v>
      </c>
      <c r="Q166">
        <v>0.73</v>
      </c>
      <c r="R166" s="9">
        <v>67454.19</v>
      </c>
      <c r="S166" t="str">
        <f>IF(OR(Sheet1[[#This Row],[Salary_USD]]&lt;$V$13,Sheet1[[#This Row],[Salary_USD]]&gt;$V$12),"Outlier","Normal")</f>
        <v>Normal</v>
      </c>
    </row>
    <row r="167" spans="1:19" x14ac:dyDescent="0.25">
      <c r="A167" t="s">
        <v>18</v>
      </c>
      <c r="B167" t="s">
        <v>24</v>
      </c>
      <c r="C167" t="s">
        <v>46</v>
      </c>
      <c r="D167" t="s">
        <v>60</v>
      </c>
      <c r="E167" s="2">
        <v>92862</v>
      </c>
      <c r="F167" s="2">
        <v>9109</v>
      </c>
      <c r="G167" t="s">
        <v>67</v>
      </c>
      <c r="H167" t="s">
        <v>71</v>
      </c>
      <c r="I167" t="s">
        <v>76</v>
      </c>
      <c r="J167" t="s">
        <v>100</v>
      </c>
      <c r="K167" t="s">
        <v>132</v>
      </c>
      <c r="L167">
        <v>0</v>
      </c>
      <c r="M167">
        <v>0</v>
      </c>
      <c r="N167" t="s">
        <v>148</v>
      </c>
      <c r="O167" t="s">
        <v>155</v>
      </c>
      <c r="P167" t="s">
        <v>167</v>
      </c>
      <c r="Q167">
        <v>1</v>
      </c>
      <c r="R167" s="9">
        <v>92862</v>
      </c>
      <c r="S167" t="str">
        <f>IF(OR(Sheet1[[#This Row],[Salary_USD]]&lt;$V$13,Sheet1[[#This Row],[Salary_USD]]&gt;$V$12),"Outlier","Normal")</f>
        <v>Normal</v>
      </c>
    </row>
    <row r="168" spans="1:19" x14ac:dyDescent="0.25">
      <c r="A168" t="s">
        <v>19</v>
      </c>
      <c r="B168" t="s">
        <v>34</v>
      </c>
      <c r="C168" t="s">
        <v>40</v>
      </c>
      <c r="D168" t="s">
        <v>59</v>
      </c>
      <c r="E168" s="2">
        <v>73756</v>
      </c>
      <c r="F168" s="2">
        <v>5957</v>
      </c>
      <c r="G168" t="s">
        <v>65</v>
      </c>
      <c r="H168" t="s">
        <v>70</v>
      </c>
      <c r="I168" t="s">
        <v>73</v>
      </c>
      <c r="J168" t="s">
        <v>83</v>
      </c>
      <c r="K168" t="s">
        <v>113</v>
      </c>
      <c r="L168">
        <v>18</v>
      </c>
      <c r="M168">
        <v>18</v>
      </c>
      <c r="N168" t="s">
        <v>152</v>
      </c>
      <c r="O168" t="s">
        <v>155</v>
      </c>
      <c r="P168" t="s">
        <v>171</v>
      </c>
      <c r="Q168">
        <v>0.73</v>
      </c>
      <c r="R168" s="9">
        <v>53841.88</v>
      </c>
      <c r="S168" t="str">
        <f>IF(OR(Sheet1[[#This Row],[Salary_USD]]&lt;$V$13,Sheet1[[#This Row],[Salary_USD]]&gt;$V$12),"Outlier","Normal")</f>
        <v>Normal</v>
      </c>
    </row>
    <row r="169" spans="1:19" x14ac:dyDescent="0.25">
      <c r="A169" t="s">
        <v>19</v>
      </c>
      <c r="B169" t="s">
        <v>35</v>
      </c>
      <c r="C169" t="s">
        <v>42</v>
      </c>
      <c r="D169" t="s">
        <v>57</v>
      </c>
      <c r="E169" s="2">
        <v>979083</v>
      </c>
      <c r="F169" s="2">
        <v>30548</v>
      </c>
      <c r="G169" t="s">
        <v>66</v>
      </c>
      <c r="H169" t="s">
        <v>71</v>
      </c>
      <c r="I169" t="s">
        <v>72</v>
      </c>
      <c r="J169" t="s">
        <v>82</v>
      </c>
      <c r="K169" t="s">
        <v>112</v>
      </c>
      <c r="L169">
        <v>15</v>
      </c>
      <c r="M169">
        <v>15</v>
      </c>
      <c r="N169" t="s">
        <v>149</v>
      </c>
      <c r="O169" t="s">
        <v>155</v>
      </c>
      <c r="P169" t="s">
        <v>250</v>
      </c>
      <c r="Q169">
        <v>1.2E-2</v>
      </c>
      <c r="R169" s="9">
        <v>11748.996000000001</v>
      </c>
      <c r="S169" t="str">
        <f>IF(OR(Sheet1[[#This Row],[Salary_USD]]&lt;$V$13,Sheet1[[#This Row],[Salary_USD]]&gt;$V$12),"Outlier","Normal")</f>
        <v>Normal</v>
      </c>
    </row>
    <row r="170" spans="1:19" x14ac:dyDescent="0.25">
      <c r="A170" t="s">
        <v>17</v>
      </c>
      <c r="B170" t="s">
        <v>35</v>
      </c>
      <c r="C170" t="s">
        <v>44</v>
      </c>
      <c r="D170" t="s">
        <v>61</v>
      </c>
      <c r="E170" s="2">
        <v>82274</v>
      </c>
      <c r="F170" s="2">
        <v>13288</v>
      </c>
      <c r="G170" t="s">
        <v>65</v>
      </c>
      <c r="H170" t="s">
        <v>69</v>
      </c>
      <c r="I170" t="s">
        <v>79</v>
      </c>
      <c r="J170" t="s">
        <v>107</v>
      </c>
      <c r="K170" t="s">
        <v>134</v>
      </c>
      <c r="L170">
        <v>8</v>
      </c>
      <c r="M170">
        <v>8</v>
      </c>
      <c r="N170" t="s">
        <v>149</v>
      </c>
      <c r="O170" t="s">
        <v>154</v>
      </c>
      <c r="P170" t="s">
        <v>251</v>
      </c>
      <c r="Q170">
        <v>0.73</v>
      </c>
      <c r="R170" s="9">
        <v>60060.02</v>
      </c>
      <c r="S170" t="str">
        <f>IF(OR(Sheet1[[#This Row],[Salary_USD]]&lt;$V$13,Sheet1[[#This Row],[Salary_USD]]&gt;$V$12),"Outlier","Normal")</f>
        <v>Normal</v>
      </c>
    </row>
    <row r="171" spans="1:19" x14ac:dyDescent="0.25">
      <c r="A171" t="s">
        <v>18</v>
      </c>
      <c r="B171" t="s">
        <v>451</v>
      </c>
      <c r="C171" t="s">
        <v>451</v>
      </c>
      <c r="D171" t="s">
        <v>61</v>
      </c>
      <c r="E171" s="2">
        <v>0</v>
      </c>
      <c r="F171" s="2">
        <v>6176</v>
      </c>
      <c r="G171" t="s">
        <v>65</v>
      </c>
      <c r="H171" t="s">
        <v>451</v>
      </c>
      <c r="I171" t="s">
        <v>76</v>
      </c>
      <c r="J171" t="s">
        <v>100</v>
      </c>
      <c r="K171" t="s">
        <v>451</v>
      </c>
      <c r="L171">
        <v>0</v>
      </c>
      <c r="M171">
        <v>0</v>
      </c>
      <c r="N171" t="s">
        <v>149</v>
      </c>
      <c r="O171" t="s">
        <v>452</v>
      </c>
      <c r="P171" t="s">
        <v>252</v>
      </c>
      <c r="Q171">
        <v>0.73</v>
      </c>
      <c r="R171" s="9">
        <v>0</v>
      </c>
      <c r="S171" t="str">
        <f>IF(OR(Sheet1[[#This Row],[Salary_USD]]&lt;$V$13,Sheet1[[#This Row],[Salary_USD]]&gt;$V$12),"Outlier","Normal")</f>
        <v>Normal</v>
      </c>
    </row>
    <row r="172" spans="1:19" x14ac:dyDescent="0.25">
      <c r="A172" t="s">
        <v>19</v>
      </c>
      <c r="B172" t="s">
        <v>29</v>
      </c>
      <c r="C172" t="s">
        <v>42</v>
      </c>
      <c r="D172" t="s">
        <v>58</v>
      </c>
      <c r="E172" s="2">
        <v>99798</v>
      </c>
      <c r="F172" s="2">
        <v>15148</v>
      </c>
      <c r="G172" t="s">
        <v>67</v>
      </c>
      <c r="H172" t="s">
        <v>451</v>
      </c>
      <c r="I172" t="s">
        <v>72</v>
      </c>
      <c r="J172" t="s">
        <v>82</v>
      </c>
      <c r="K172" t="s">
        <v>112</v>
      </c>
      <c r="L172">
        <v>5</v>
      </c>
      <c r="M172">
        <v>5</v>
      </c>
      <c r="N172" t="s">
        <v>151</v>
      </c>
      <c r="O172" t="s">
        <v>155</v>
      </c>
      <c r="P172" t="s">
        <v>195</v>
      </c>
      <c r="Q172">
        <v>1</v>
      </c>
      <c r="R172" s="9">
        <v>99798</v>
      </c>
      <c r="S172" t="str">
        <f>IF(OR(Sheet1[[#This Row],[Salary_USD]]&lt;$V$13,Sheet1[[#This Row],[Salary_USD]]&gt;$V$12),"Outlier","Normal")</f>
        <v>Normal</v>
      </c>
    </row>
    <row r="173" spans="1:19" x14ac:dyDescent="0.25">
      <c r="A173" t="s">
        <v>19</v>
      </c>
      <c r="B173" t="s">
        <v>29</v>
      </c>
      <c r="C173" t="s">
        <v>40</v>
      </c>
      <c r="D173" t="s">
        <v>55</v>
      </c>
      <c r="E173" s="2">
        <v>608330</v>
      </c>
      <c r="F173" s="2">
        <v>61835</v>
      </c>
      <c r="G173" t="s">
        <v>66</v>
      </c>
      <c r="H173" t="s">
        <v>71</v>
      </c>
      <c r="I173" t="s">
        <v>72</v>
      </c>
      <c r="J173" t="s">
        <v>95</v>
      </c>
      <c r="K173" t="s">
        <v>120</v>
      </c>
      <c r="L173">
        <v>4</v>
      </c>
      <c r="M173">
        <v>4</v>
      </c>
      <c r="N173" t="s">
        <v>148</v>
      </c>
      <c r="O173" t="s">
        <v>154</v>
      </c>
      <c r="P173" t="s">
        <v>253</v>
      </c>
      <c r="Q173">
        <v>1.2E-2</v>
      </c>
      <c r="R173" s="9">
        <v>7299.96</v>
      </c>
      <c r="S173" t="str">
        <f>IF(OR(Sheet1[[#This Row],[Salary_USD]]&lt;$V$13,Sheet1[[#This Row],[Salary_USD]]&gt;$V$12),"Outlier","Normal")</f>
        <v>Normal</v>
      </c>
    </row>
    <row r="174" spans="1:19" x14ac:dyDescent="0.25">
      <c r="A174" t="s">
        <v>20</v>
      </c>
      <c r="B174" t="s">
        <v>33</v>
      </c>
      <c r="C174" t="s">
        <v>45</v>
      </c>
      <c r="D174" t="s">
        <v>61</v>
      </c>
      <c r="E174" s="2">
        <v>71158</v>
      </c>
      <c r="F174" s="2">
        <v>2045</v>
      </c>
      <c r="G174" t="s">
        <v>67</v>
      </c>
      <c r="H174" t="s">
        <v>56</v>
      </c>
      <c r="I174" t="s">
        <v>77</v>
      </c>
      <c r="J174" t="s">
        <v>111</v>
      </c>
      <c r="K174" t="s">
        <v>141</v>
      </c>
      <c r="L174">
        <v>1</v>
      </c>
      <c r="M174">
        <v>0</v>
      </c>
      <c r="N174" t="s">
        <v>149</v>
      </c>
      <c r="O174" t="s">
        <v>156</v>
      </c>
      <c r="P174" t="s">
        <v>191</v>
      </c>
      <c r="Q174">
        <v>1</v>
      </c>
      <c r="R174" s="9">
        <v>71158</v>
      </c>
      <c r="S174" t="str">
        <f>IF(OR(Sheet1[[#This Row],[Salary_USD]]&lt;$V$13,Sheet1[[#This Row],[Salary_USD]]&gt;$V$12),"Outlier","Normal")</f>
        <v>Normal</v>
      </c>
    </row>
    <row r="175" spans="1:19" x14ac:dyDescent="0.25">
      <c r="A175" t="s">
        <v>19</v>
      </c>
      <c r="B175" t="s">
        <v>31</v>
      </c>
      <c r="C175" t="s">
        <v>43</v>
      </c>
      <c r="D175" t="s">
        <v>61</v>
      </c>
      <c r="E175" s="2">
        <v>122819</v>
      </c>
      <c r="F175" s="2">
        <v>8839</v>
      </c>
      <c r="G175" t="s">
        <v>67</v>
      </c>
      <c r="H175" t="s">
        <v>70</v>
      </c>
      <c r="I175" t="s">
        <v>80</v>
      </c>
      <c r="J175" t="s">
        <v>106</v>
      </c>
      <c r="K175" t="s">
        <v>106</v>
      </c>
      <c r="L175">
        <v>8</v>
      </c>
      <c r="M175">
        <v>6</v>
      </c>
      <c r="N175" t="s">
        <v>148</v>
      </c>
      <c r="O175" t="s">
        <v>157</v>
      </c>
      <c r="P175" t="s">
        <v>175</v>
      </c>
      <c r="Q175">
        <v>1</v>
      </c>
      <c r="R175" s="9">
        <v>122819</v>
      </c>
      <c r="S175" t="str">
        <f>IF(OR(Sheet1[[#This Row],[Salary_USD]]&lt;$V$13,Sheet1[[#This Row],[Salary_USD]]&gt;$V$12),"Outlier","Normal")</f>
        <v>Normal</v>
      </c>
    </row>
    <row r="176" spans="1:19" x14ac:dyDescent="0.25">
      <c r="A176" t="s">
        <v>21</v>
      </c>
      <c r="B176" t="s">
        <v>23</v>
      </c>
      <c r="C176" t="s">
        <v>39</v>
      </c>
      <c r="D176" t="s">
        <v>58</v>
      </c>
      <c r="E176" s="2">
        <v>761314</v>
      </c>
      <c r="F176" s="2">
        <v>0</v>
      </c>
      <c r="G176" t="s">
        <v>66</v>
      </c>
      <c r="H176" t="s">
        <v>451</v>
      </c>
      <c r="I176" t="s">
        <v>80</v>
      </c>
      <c r="J176" t="s">
        <v>106</v>
      </c>
      <c r="K176" t="s">
        <v>106</v>
      </c>
      <c r="L176">
        <v>8</v>
      </c>
      <c r="M176">
        <v>6</v>
      </c>
      <c r="N176" t="s">
        <v>152</v>
      </c>
      <c r="O176" t="s">
        <v>154</v>
      </c>
      <c r="P176" t="s">
        <v>254</v>
      </c>
      <c r="Q176">
        <v>1.2E-2</v>
      </c>
      <c r="R176" s="9">
        <v>9135.768</v>
      </c>
      <c r="S176" t="str">
        <f>IF(OR(Sheet1[[#This Row],[Salary_USD]]&lt;$V$13,Sheet1[[#This Row],[Salary_USD]]&gt;$V$12),"Outlier","Normal")</f>
        <v>Normal</v>
      </c>
    </row>
    <row r="177" spans="1:19" x14ac:dyDescent="0.25">
      <c r="A177" t="s">
        <v>21</v>
      </c>
      <c r="B177" t="s">
        <v>35</v>
      </c>
      <c r="C177" t="s">
        <v>51</v>
      </c>
      <c r="D177" t="s">
        <v>55</v>
      </c>
      <c r="E177" s="2">
        <v>107725</v>
      </c>
      <c r="F177" s="2">
        <v>4500</v>
      </c>
      <c r="G177" t="s">
        <v>64</v>
      </c>
      <c r="H177" t="s">
        <v>70</v>
      </c>
      <c r="I177" t="s">
        <v>76</v>
      </c>
      <c r="J177" t="s">
        <v>92</v>
      </c>
      <c r="K177" t="s">
        <v>119</v>
      </c>
      <c r="L177">
        <v>8</v>
      </c>
      <c r="M177">
        <v>5</v>
      </c>
      <c r="N177" t="s">
        <v>152</v>
      </c>
      <c r="O177" t="s">
        <v>156</v>
      </c>
      <c r="P177" t="s">
        <v>255</v>
      </c>
      <c r="Q177">
        <v>0.65</v>
      </c>
      <c r="R177" s="9">
        <v>70021.25</v>
      </c>
      <c r="S177" t="str">
        <f>IF(OR(Sheet1[[#This Row],[Salary_USD]]&lt;$V$13,Sheet1[[#This Row],[Salary_USD]]&gt;$V$12),"Outlier","Normal")</f>
        <v>Normal</v>
      </c>
    </row>
    <row r="178" spans="1:19" x14ac:dyDescent="0.25">
      <c r="A178" t="s">
        <v>20</v>
      </c>
      <c r="B178" t="s">
        <v>24</v>
      </c>
      <c r="C178" t="s">
        <v>43</v>
      </c>
      <c r="D178" t="s">
        <v>451</v>
      </c>
      <c r="E178" s="2">
        <v>109147</v>
      </c>
      <c r="F178" s="2">
        <v>1830</v>
      </c>
      <c r="G178" t="s">
        <v>65</v>
      </c>
      <c r="H178" t="s">
        <v>56</v>
      </c>
      <c r="I178" t="s">
        <v>78</v>
      </c>
      <c r="J178" t="s">
        <v>104</v>
      </c>
      <c r="K178" t="s">
        <v>131</v>
      </c>
      <c r="L178">
        <v>3</v>
      </c>
      <c r="M178">
        <v>3</v>
      </c>
      <c r="N178" t="s">
        <v>148</v>
      </c>
      <c r="O178" t="s">
        <v>155</v>
      </c>
      <c r="P178" t="s">
        <v>159</v>
      </c>
      <c r="Q178">
        <v>0.73</v>
      </c>
      <c r="R178" s="9">
        <v>79677.31</v>
      </c>
      <c r="S178" t="str">
        <f>IF(OR(Sheet1[[#This Row],[Salary_USD]]&lt;$V$13,Sheet1[[#This Row],[Salary_USD]]&gt;$V$12),"Outlier","Normal")</f>
        <v>Normal</v>
      </c>
    </row>
    <row r="179" spans="1:19" x14ac:dyDescent="0.25">
      <c r="A179" t="s">
        <v>20</v>
      </c>
      <c r="B179" t="s">
        <v>35</v>
      </c>
      <c r="C179" t="s">
        <v>39</v>
      </c>
      <c r="D179" t="s">
        <v>57</v>
      </c>
      <c r="E179" s="2">
        <v>103239</v>
      </c>
      <c r="F179" s="2">
        <v>15303</v>
      </c>
      <c r="G179" t="s">
        <v>65</v>
      </c>
      <c r="H179" t="s">
        <v>69</v>
      </c>
      <c r="I179" t="s">
        <v>73</v>
      </c>
      <c r="J179" t="s">
        <v>99</v>
      </c>
      <c r="K179" t="s">
        <v>125</v>
      </c>
      <c r="L179">
        <v>2</v>
      </c>
      <c r="M179">
        <v>0</v>
      </c>
      <c r="N179" t="s">
        <v>149</v>
      </c>
      <c r="O179" t="s">
        <v>157</v>
      </c>
      <c r="P179" t="s">
        <v>256</v>
      </c>
      <c r="Q179">
        <v>0.73</v>
      </c>
      <c r="R179" s="9">
        <v>75364.47</v>
      </c>
      <c r="S179" t="str">
        <f>IF(OR(Sheet1[[#This Row],[Salary_USD]]&lt;$V$13,Sheet1[[#This Row],[Salary_USD]]&gt;$V$12),"Outlier","Normal")</f>
        <v>Normal</v>
      </c>
    </row>
    <row r="180" spans="1:19" x14ac:dyDescent="0.25">
      <c r="A180" t="s">
        <v>20</v>
      </c>
      <c r="B180" t="s">
        <v>32</v>
      </c>
      <c r="C180" t="s">
        <v>44</v>
      </c>
      <c r="D180" t="s">
        <v>61</v>
      </c>
      <c r="E180" s="2">
        <v>85331</v>
      </c>
      <c r="F180" s="2">
        <v>3949</v>
      </c>
      <c r="G180" t="s">
        <v>65</v>
      </c>
      <c r="H180" t="s">
        <v>71</v>
      </c>
      <c r="I180" t="s">
        <v>80</v>
      </c>
      <c r="J180" t="s">
        <v>93</v>
      </c>
      <c r="K180" t="s">
        <v>93</v>
      </c>
      <c r="L180">
        <v>7</v>
      </c>
      <c r="M180">
        <v>6</v>
      </c>
      <c r="N180" t="s">
        <v>151</v>
      </c>
      <c r="O180" t="s">
        <v>154</v>
      </c>
      <c r="P180" t="s">
        <v>256</v>
      </c>
      <c r="Q180">
        <v>0.73</v>
      </c>
      <c r="R180" s="9">
        <v>62291.63</v>
      </c>
      <c r="S180" t="str">
        <f>IF(OR(Sheet1[[#This Row],[Salary_USD]]&lt;$V$13,Sheet1[[#This Row],[Salary_USD]]&gt;$V$12),"Outlier","Normal")</f>
        <v>Normal</v>
      </c>
    </row>
    <row r="181" spans="1:19" x14ac:dyDescent="0.25">
      <c r="A181" t="s">
        <v>17</v>
      </c>
      <c r="B181" t="s">
        <v>24</v>
      </c>
      <c r="C181" t="s">
        <v>52</v>
      </c>
      <c r="D181" t="s">
        <v>56</v>
      </c>
      <c r="E181" s="2">
        <v>1049139</v>
      </c>
      <c r="F181" s="2">
        <v>0</v>
      </c>
      <c r="G181" t="s">
        <v>66</v>
      </c>
      <c r="H181" t="s">
        <v>56</v>
      </c>
      <c r="I181" t="s">
        <v>80</v>
      </c>
      <c r="J181" t="s">
        <v>106</v>
      </c>
      <c r="K181" t="s">
        <v>106</v>
      </c>
      <c r="L181">
        <v>9</v>
      </c>
      <c r="M181">
        <v>6</v>
      </c>
      <c r="N181" t="s">
        <v>152</v>
      </c>
      <c r="O181" t="s">
        <v>157</v>
      </c>
      <c r="P181" t="s">
        <v>257</v>
      </c>
      <c r="Q181">
        <v>1.2E-2</v>
      </c>
      <c r="R181" s="9">
        <v>12589.668</v>
      </c>
      <c r="S181" t="str">
        <f>IF(OR(Sheet1[[#This Row],[Salary_USD]]&lt;$V$13,Sheet1[[#This Row],[Salary_USD]]&gt;$V$12),"Outlier","Normal")</f>
        <v>Normal</v>
      </c>
    </row>
    <row r="182" spans="1:19" x14ac:dyDescent="0.25">
      <c r="A182" t="s">
        <v>18</v>
      </c>
      <c r="B182" t="s">
        <v>28</v>
      </c>
      <c r="C182" t="s">
        <v>45</v>
      </c>
      <c r="D182" t="s">
        <v>62</v>
      </c>
      <c r="E182" s="2">
        <v>77895</v>
      </c>
      <c r="F182" s="2">
        <v>25</v>
      </c>
      <c r="G182" t="s">
        <v>65</v>
      </c>
      <c r="H182" t="s">
        <v>56</v>
      </c>
      <c r="I182" t="s">
        <v>74</v>
      </c>
      <c r="J182" t="s">
        <v>84</v>
      </c>
      <c r="K182" t="s">
        <v>74</v>
      </c>
      <c r="L182">
        <v>0</v>
      </c>
      <c r="M182">
        <v>0</v>
      </c>
      <c r="N182" t="s">
        <v>152</v>
      </c>
      <c r="O182" t="s">
        <v>156</v>
      </c>
      <c r="P182" t="s">
        <v>258</v>
      </c>
      <c r="Q182">
        <v>0.73</v>
      </c>
      <c r="R182" s="9">
        <v>56863.35</v>
      </c>
      <c r="S182" t="str">
        <f>IF(OR(Sheet1[[#This Row],[Salary_USD]]&lt;$V$13,Sheet1[[#This Row],[Salary_USD]]&gt;$V$12),"Outlier","Normal")</f>
        <v>Normal</v>
      </c>
    </row>
    <row r="183" spans="1:19" x14ac:dyDescent="0.25">
      <c r="A183" t="s">
        <v>20</v>
      </c>
      <c r="B183" t="s">
        <v>33</v>
      </c>
      <c r="C183" t="s">
        <v>39</v>
      </c>
      <c r="D183" t="s">
        <v>451</v>
      </c>
      <c r="E183" s="2">
        <v>123124</v>
      </c>
      <c r="F183" s="2">
        <v>9454</v>
      </c>
      <c r="G183" t="s">
        <v>63</v>
      </c>
      <c r="H183" t="s">
        <v>69</v>
      </c>
      <c r="I183" t="s">
        <v>80</v>
      </c>
      <c r="J183" t="s">
        <v>106</v>
      </c>
      <c r="K183" t="s">
        <v>106</v>
      </c>
      <c r="L183">
        <v>0</v>
      </c>
      <c r="M183">
        <v>0</v>
      </c>
      <c r="N183" t="s">
        <v>148</v>
      </c>
      <c r="O183" t="s">
        <v>157</v>
      </c>
      <c r="P183" t="s">
        <v>171</v>
      </c>
      <c r="Q183">
        <v>1.1000000000000001</v>
      </c>
      <c r="R183" s="9">
        <v>135436.40000000002</v>
      </c>
      <c r="S183" t="str">
        <f>IF(OR(Sheet1[[#This Row],[Salary_USD]]&lt;$V$13,Sheet1[[#This Row],[Salary_USD]]&gt;$V$12),"Outlier","Normal")</f>
        <v>Normal</v>
      </c>
    </row>
    <row r="184" spans="1:19" x14ac:dyDescent="0.25">
      <c r="A184" t="s">
        <v>20</v>
      </c>
      <c r="B184" t="s">
        <v>33</v>
      </c>
      <c r="C184" t="s">
        <v>39</v>
      </c>
      <c r="D184" t="s">
        <v>55</v>
      </c>
      <c r="E184" s="2">
        <v>76103</v>
      </c>
      <c r="F184" s="2">
        <v>15009</v>
      </c>
      <c r="G184" t="s">
        <v>63</v>
      </c>
      <c r="H184" t="s">
        <v>451</v>
      </c>
      <c r="I184" t="s">
        <v>78</v>
      </c>
      <c r="J184" t="s">
        <v>90</v>
      </c>
      <c r="K184" t="s">
        <v>138</v>
      </c>
      <c r="L184">
        <v>2</v>
      </c>
      <c r="M184">
        <v>1</v>
      </c>
      <c r="N184" t="s">
        <v>150</v>
      </c>
      <c r="O184" t="s">
        <v>157</v>
      </c>
      <c r="P184" t="s">
        <v>238</v>
      </c>
      <c r="Q184">
        <v>1.1000000000000001</v>
      </c>
      <c r="R184" s="9">
        <v>83713.3</v>
      </c>
      <c r="S184" t="str">
        <f>IF(OR(Sheet1[[#This Row],[Salary_USD]]&lt;$V$13,Sheet1[[#This Row],[Salary_USD]]&gt;$V$12),"Outlier","Normal")</f>
        <v>Normal</v>
      </c>
    </row>
    <row r="185" spans="1:19" x14ac:dyDescent="0.25">
      <c r="A185" t="s">
        <v>19</v>
      </c>
      <c r="B185" t="s">
        <v>34</v>
      </c>
      <c r="C185" t="s">
        <v>37</v>
      </c>
      <c r="D185" t="s">
        <v>62</v>
      </c>
      <c r="E185" s="2">
        <v>104157</v>
      </c>
      <c r="F185" s="2">
        <v>548</v>
      </c>
      <c r="G185" t="s">
        <v>64</v>
      </c>
      <c r="H185" t="s">
        <v>70</v>
      </c>
      <c r="I185" t="s">
        <v>75</v>
      </c>
      <c r="J185" t="s">
        <v>96</v>
      </c>
      <c r="K185" t="s">
        <v>121</v>
      </c>
      <c r="L185">
        <v>6</v>
      </c>
      <c r="M185">
        <v>6</v>
      </c>
      <c r="N185" t="s">
        <v>153</v>
      </c>
      <c r="O185" t="s">
        <v>155</v>
      </c>
      <c r="P185" t="s">
        <v>217</v>
      </c>
      <c r="Q185">
        <v>0.65</v>
      </c>
      <c r="R185" s="9">
        <v>67702.05</v>
      </c>
      <c r="S185" t="str">
        <f>IF(OR(Sheet1[[#This Row],[Salary_USD]]&lt;$V$13,Sheet1[[#This Row],[Salary_USD]]&gt;$V$12),"Outlier","Normal")</f>
        <v>Normal</v>
      </c>
    </row>
    <row r="186" spans="1:19" x14ac:dyDescent="0.25">
      <c r="A186" t="s">
        <v>20</v>
      </c>
      <c r="B186" t="s">
        <v>32</v>
      </c>
      <c r="C186" t="s">
        <v>42</v>
      </c>
      <c r="D186" t="s">
        <v>62</v>
      </c>
      <c r="E186" s="2">
        <v>74393</v>
      </c>
      <c r="F186" s="2">
        <v>3512</v>
      </c>
      <c r="G186" t="s">
        <v>65</v>
      </c>
      <c r="H186" t="s">
        <v>71</v>
      </c>
      <c r="I186" t="s">
        <v>75</v>
      </c>
      <c r="J186" t="s">
        <v>96</v>
      </c>
      <c r="K186" t="s">
        <v>121</v>
      </c>
      <c r="L186">
        <v>6</v>
      </c>
      <c r="M186">
        <v>6</v>
      </c>
      <c r="N186" t="s">
        <v>150</v>
      </c>
      <c r="O186" t="s">
        <v>156</v>
      </c>
      <c r="P186" t="s">
        <v>175</v>
      </c>
      <c r="Q186">
        <v>0.73</v>
      </c>
      <c r="R186" s="9">
        <v>54306.89</v>
      </c>
      <c r="S186" t="str">
        <f>IF(OR(Sheet1[[#This Row],[Salary_USD]]&lt;$V$13,Sheet1[[#This Row],[Salary_USD]]&gt;$V$12),"Outlier","Normal")</f>
        <v>Normal</v>
      </c>
    </row>
    <row r="187" spans="1:19" x14ac:dyDescent="0.25">
      <c r="A187" t="s">
        <v>20</v>
      </c>
      <c r="B187" t="s">
        <v>33</v>
      </c>
      <c r="C187" t="s">
        <v>44</v>
      </c>
      <c r="D187" t="s">
        <v>62</v>
      </c>
      <c r="E187" s="2">
        <v>102177</v>
      </c>
      <c r="F187" s="2">
        <v>12138</v>
      </c>
      <c r="G187" t="s">
        <v>64</v>
      </c>
      <c r="H187" t="s">
        <v>70</v>
      </c>
      <c r="I187" t="s">
        <v>72</v>
      </c>
      <c r="J187" t="s">
        <v>95</v>
      </c>
      <c r="K187" t="s">
        <v>120</v>
      </c>
      <c r="L187">
        <v>1</v>
      </c>
      <c r="M187">
        <v>1</v>
      </c>
      <c r="N187" t="s">
        <v>153</v>
      </c>
      <c r="O187" t="s">
        <v>154</v>
      </c>
      <c r="P187" t="s">
        <v>259</v>
      </c>
      <c r="Q187">
        <v>0.65</v>
      </c>
      <c r="R187" s="9">
        <v>66415.05</v>
      </c>
      <c r="S187" t="str">
        <f>IF(OR(Sheet1[[#This Row],[Salary_USD]]&lt;$V$13,Sheet1[[#This Row],[Salary_USD]]&gt;$V$12),"Outlier","Normal")</f>
        <v>Normal</v>
      </c>
    </row>
    <row r="188" spans="1:19" x14ac:dyDescent="0.25">
      <c r="A188" t="s">
        <v>17</v>
      </c>
      <c r="B188" t="s">
        <v>35</v>
      </c>
      <c r="C188" t="s">
        <v>39</v>
      </c>
      <c r="D188" t="s">
        <v>55</v>
      </c>
      <c r="E188" s="2">
        <v>49708</v>
      </c>
      <c r="F188" s="2">
        <v>7893</v>
      </c>
      <c r="G188" t="s">
        <v>63</v>
      </c>
      <c r="H188" t="s">
        <v>71</v>
      </c>
      <c r="I188" t="s">
        <v>79</v>
      </c>
      <c r="J188" t="s">
        <v>107</v>
      </c>
      <c r="K188" t="s">
        <v>134</v>
      </c>
      <c r="L188">
        <v>25</v>
      </c>
      <c r="M188">
        <v>25</v>
      </c>
      <c r="N188" t="s">
        <v>148</v>
      </c>
      <c r="O188" t="s">
        <v>155</v>
      </c>
      <c r="P188" t="s">
        <v>260</v>
      </c>
      <c r="Q188">
        <v>1.1000000000000001</v>
      </c>
      <c r="R188" s="9">
        <v>54678.8</v>
      </c>
      <c r="S188" t="str">
        <f>IF(OR(Sheet1[[#This Row],[Salary_USD]]&lt;$V$13,Sheet1[[#This Row],[Salary_USD]]&gt;$V$12),"Outlier","Normal")</f>
        <v>Normal</v>
      </c>
    </row>
    <row r="189" spans="1:19" x14ac:dyDescent="0.25">
      <c r="A189" t="s">
        <v>19</v>
      </c>
      <c r="B189" t="s">
        <v>35</v>
      </c>
      <c r="C189" t="s">
        <v>41</v>
      </c>
      <c r="D189" t="s">
        <v>451</v>
      </c>
      <c r="E189" s="2">
        <v>12436</v>
      </c>
      <c r="F189" s="2">
        <v>27</v>
      </c>
      <c r="G189" t="s">
        <v>63</v>
      </c>
      <c r="H189" t="s">
        <v>70</v>
      </c>
      <c r="I189" t="s">
        <v>72</v>
      </c>
      <c r="J189" t="s">
        <v>95</v>
      </c>
      <c r="K189" t="s">
        <v>120</v>
      </c>
      <c r="L189">
        <v>6</v>
      </c>
      <c r="M189">
        <v>6</v>
      </c>
      <c r="N189" t="s">
        <v>152</v>
      </c>
      <c r="O189" t="s">
        <v>156</v>
      </c>
      <c r="P189" t="s">
        <v>165</v>
      </c>
      <c r="Q189">
        <v>1.1000000000000001</v>
      </c>
      <c r="R189" s="9">
        <v>13679.6</v>
      </c>
      <c r="S189" t="str">
        <f>IF(OR(Sheet1[[#This Row],[Salary_USD]]&lt;$V$13,Sheet1[[#This Row],[Salary_USD]]&gt;$V$12),"Outlier","Normal")</f>
        <v>Normal</v>
      </c>
    </row>
    <row r="190" spans="1:19" x14ac:dyDescent="0.25">
      <c r="A190" t="s">
        <v>19</v>
      </c>
      <c r="B190" t="s">
        <v>31</v>
      </c>
      <c r="C190" t="s">
        <v>42</v>
      </c>
      <c r="D190" t="s">
        <v>57</v>
      </c>
      <c r="E190" s="2">
        <v>61566</v>
      </c>
      <c r="F190" s="2">
        <v>6036</v>
      </c>
      <c r="G190" t="s">
        <v>63</v>
      </c>
      <c r="H190" t="s">
        <v>70</v>
      </c>
      <c r="I190" t="s">
        <v>73</v>
      </c>
      <c r="J190" t="s">
        <v>99</v>
      </c>
      <c r="K190" t="s">
        <v>125</v>
      </c>
      <c r="L190">
        <v>9</v>
      </c>
      <c r="M190">
        <v>9</v>
      </c>
      <c r="N190" t="s">
        <v>152</v>
      </c>
      <c r="O190" t="s">
        <v>155</v>
      </c>
      <c r="P190" t="s">
        <v>261</v>
      </c>
      <c r="Q190">
        <v>1.1000000000000001</v>
      </c>
      <c r="R190" s="9">
        <v>67722.600000000006</v>
      </c>
      <c r="S190" t="str">
        <f>IF(OR(Sheet1[[#This Row],[Salary_USD]]&lt;$V$13,Sheet1[[#This Row],[Salary_USD]]&gt;$V$12),"Outlier","Normal")</f>
        <v>Normal</v>
      </c>
    </row>
    <row r="191" spans="1:19" x14ac:dyDescent="0.25">
      <c r="A191" t="s">
        <v>20</v>
      </c>
      <c r="B191" t="s">
        <v>35</v>
      </c>
      <c r="C191" t="s">
        <v>49</v>
      </c>
      <c r="D191" t="s">
        <v>451</v>
      </c>
      <c r="E191" s="2">
        <v>91833</v>
      </c>
      <c r="F191" s="2">
        <v>1860</v>
      </c>
      <c r="G191" t="s">
        <v>65</v>
      </c>
      <c r="H191" t="s">
        <v>70</v>
      </c>
      <c r="I191" t="s">
        <v>72</v>
      </c>
      <c r="J191" t="s">
        <v>82</v>
      </c>
      <c r="K191" t="s">
        <v>112</v>
      </c>
      <c r="L191">
        <v>6</v>
      </c>
      <c r="M191">
        <v>4</v>
      </c>
      <c r="N191" t="s">
        <v>149</v>
      </c>
      <c r="O191" t="s">
        <v>154</v>
      </c>
      <c r="P191" t="s">
        <v>262</v>
      </c>
      <c r="Q191">
        <v>0.73</v>
      </c>
      <c r="R191" s="9">
        <v>67038.09</v>
      </c>
      <c r="S191" t="str">
        <f>IF(OR(Sheet1[[#This Row],[Salary_USD]]&lt;$V$13,Sheet1[[#This Row],[Salary_USD]]&gt;$V$12),"Outlier","Normal")</f>
        <v>Normal</v>
      </c>
    </row>
    <row r="192" spans="1:19" x14ac:dyDescent="0.25">
      <c r="A192" t="s">
        <v>17</v>
      </c>
      <c r="B192" t="s">
        <v>29</v>
      </c>
      <c r="C192" t="s">
        <v>50</v>
      </c>
      <c r="D192" t="s">
        <v>60</v>
      </c>
      <c r="E192" s="2">
        <v>31697</v>
      </c>
      <c r="F192" s="2">
        <v>1386</v>
      </c>
      <c r="G192" t="s">
        <v>63</v>
      </c>
      <c r="H192" t="s">
        <v>70</v>
      </c>
      <c r="I192" t="s">
        <v>79</v>
      </c>
      <c r="J192" t="s">
        <v>107</v>
      </c>
      <c r="K192" t="s">
        <v>134</v>
      </c>
      <c r="L192">
        <v>25</v>
      </c>
      <c r="M192">
        <v>24</v>
      </c>
      <c r="N192" t="s">
        <v>148</v>
      </c>
      <c r="O192" t="s">
        <v>154</v>
      </c>
      <c r="P192" t="s">
        <v>216</v>
      </c>
      <c r="Q192">
        <v>1.1000000000000001</v>
      </c>
      <c r="R192" s="9">
        <v>34866.700000000004</v>
      </c>
      <c r="S192" t="str">
        <f>IF(OR(Sheet1[[#This Row],[Salary_USD]]&lt;$V$13,Sheet1[[#This Row],[Salary_USD]]&gt;$V$12),"Outlier","Normal")</f>
        <v>Normal</v>
      </c>
    </row>
    <row r="193" spans="1:19" x14ac:dyDescent="0.25">
      <c r="A193" t="s">
        <v>19</v>
      </c>
      <c r="B193" t="s">
        <v>29</v>
      </c>
      <c r="C193" t="s">
        <v>45</v>
      </c>
      <c r="D193" t="s">
        <v>61</v>
      </c>
      <c r="E193" s="2">
        <v>49150</v>
      </c>
      <c r="F193" s="2">
        <v>4384</v>
      </c>
      <c r="G193" t="s">
        <v>67</v>
      </c>
      <c r="H193" t="s">
        <v>451</v>
      </c>
      <c r="I193" t="s">
        <v>72</v>
      </c>
      <c r="J193" t="s">
        <v>82</v>
      </c>
      <c r="K193" t="s">
        <v>112</v>
      </c>
      <c r="L193">
        <v>5</v>
      </c>
      <c r="M193">
        <v>2</v>
      </c>
      <c r="N193" t="s">
        <v>149</v>
      </c>
      <c r="O193" t="s">
        <v>157</v>
      </c>
      <c r="P193" t="s">
        <v>263</v>
      </c>
      <c r="Q193">
        <v>1</v>
      </c>
      <c r="R193" s="9">
        <v>49150</v>
      </c>
      <c r="S193" t="str">
        <f>IF(OR(Sheet1[[#This Row],[Salary_USD]]&lt;$V$13,Sheet1[[#This Row],[Salary_USD]]&gt;$V$12),"Outlier","Normal")</f>
        <v>Normal</v>
      </c>
    </row>
    <row r="194" spans="1:19" x14ac:dyDescent="0.25">
      <c r="A194" t="s">
        <v>20</v>
      </c>
      <c r="B194" t="s">
        <v>35</v>
      </c>
      <c r="C194" t="s">
        <v>52</v>
      </c>
      <c r="D194" t="s">
        <v>59</v>
      </c>
      <c r="E194" s="2">
        <v>85822</v>
      </c>
      <c r="F194" s="2">
        <v>0</v>
      </c>
      <c r="G194" t="s">
        <v>65</v>
      </c>
      <c r="H194" t="s">
        <v>451</v>
      </c>
      <c r="I194" t="s">
        <v>79</v>
      </c>
      <c r="J194" t="s">
        <v>107</v>
      </c>
      <c r="K194" t="s">
        <v>134</v>
      </c>
      <c r="L194">
        <v>7</v>
      </c>
      <c r="M194">
        <v>6</v>
      </c>
      <c r="N194" t="s">
        <v>150</v>
      </c>
      <c r="O194" t="s">
        <v>155</v>
      </c>
      <c r="P194" t="s">
        <v>260</v>
      </c>
      <c r="Q194">
        <v>0.73</v>
      </c>
      <c r="R194" s="9">
        <v>62650.06</v>
      </c>
      <c r="S194" t="str">
        <f>IF(OR(Sheet1[[#This Row],[Salary_USD]]&lt;$V$13,Sheet1[[#This Row],[Salary_USD]]&gt;$V$12),"Outlier","Normal")</f>
        <v>Normal</v>
      </c>
    </row>
    <row r="195" spans="1:19" x14ac:dyDescent="0.25">
      <c r="A195" t="s">
        <v>19</v>
      </c>
      <c r="B195" t="s">
        <v>35</v>
      </c>
      <c r="C195" t="s">
        <v>49</v>
      </c>
      <c r="D195" t="s">
        <v>55</v>
      </c>
      <c r="E195" s="2">
        <v>1060080</v>
      </c>
      <c r="F195" s="2">
        <v>0</v>
      </c>
      <c r="G195" t="s">
        <v>66</v>
      </c>
      <c r="H195" t="s">
        <v>70</v>
      </c>
      <c r="I195" t="s">
        <v>75</v>
      </c>
      <c r="J195" t="s">
        <v>108</v>
      </c>
      <c r="K195" t="s">
        <v>135</v>
      </c>
      <c r="L195">
        <v>25</v>
      </c>
      <c r="M195">
        <v>25</v>
      </c>
      <c r="N195" t="s">
        <v>151</v>
      </c>
      <c r="O195" t="s">
        <v>157</v>
      </c>
      <c r="P195" t="s">
        <v>264</v>
      </c>
      <c r="Q195">
        <v>1.2E-2</v>
      </c>
      <c r="R195" s="9">
        <v>12720.960000000001</v>
      </c>
      <c r="S195" t="str">
        <f>IF(OR(Sheet1[[#This Row],[Salary_USD]]&lt;$V$13,Sheet1[[#This Row],[Salary_USD]]&gt;$V$12),"Outlier","Normal")</f>
        <v>Normal</v>
      </c>
    </row>
    <row r="196" spans="1:19" x14ac:dyDescent="0.25">
      <c r="A196" t="s">
        <v>21</v>
      </c>
      <c r="B196" t="s">
        <v>451</v>
      </c>
      <c r="C196" t="s">
        <v>451</v>
      </c>
      <c r="D196" t="s">
        <v>59</v>
      </c>
      <c r="E196" s="2">
        <v>0</v>
      </c>
      <c r="F196" s="2">
        <v>1215</v>
      </c>
      <c r="G196" t="s">
        <v>63</v>
      </c>
      <c r="H196" t="s">
        <v>70</v>
      </c>
      <c r="I196" t="s">
        <v>74</v>
      </c>
      <c r="J196" t="s">
        <v>84</v>
      </c>
      <c r="K196" t="s">
        <v>451</v>
      </c>
      <c r="L196">
        <v>0</v>
      </c>
      <c r="M196">
        <v>18</v>
      </c>
      <c r="N196" t="s">
        <v>149</v>
      </c>
      <c r="O196" t="s">
        <v>452</v>
      </c>
      <c r="P196" t="s">
        <v>216</v>
      </c>
      <c r="Q196">
        <v>1.1000000000000001</v>
      </c>
      <c r="R196" s="9">
        <v>0</v>
      </c>
      <c r="S196" t="str">
        <f>IF(OR(Sheet1[[#This Row],[Salary_USD]]&lt;$V$13,Sheet1[[#This Row],[Salary_USD]]&gt;$V$12),"Outlier","Normal")</f>
        <v>Normal</v>
      </c>
    </row>
    <row r="197" spans="1:19" x14ac:dyDescent="0.25">
      <c r="A197" t="s">
        <v>19</v>
      </c>
      <c r="B197" t="s">
        <v>22</v>
      </c>
      <c r="C197" t="s">
        <v>45</v>
      </c>
      <c r="D197" t="s">
        <v>62</v>
      </c>
      <c r="E197" s="2">
        <v>110036</v>
      </c>
      <c r="F197" s="2">
        <v>9513</v>
      </c>
      <c r="G197" t="s">
        <v>67</v>
      </c>
      <c r="H197" t="s">
        <v>56</v>
      </c>
      <c r="I197" t="s">
        <v>79</v>
      </c>
      <c r="J197" t="s">
        <v>91</v>
      </c>
      <c r="K197" t="s">
        <v>118</v>
      </c>
      <c r="L197">
        <v>2</v>
      </c>
      <c r="M197">
        <v>2</v>
      </c>
      <c r="N197" t="s">
        <v>148</v>
      </c>
      <c r="O197" t="s">
        <v>157</v>
      </c>
      <c r="P197" t="s">
        <v>265</v>
      </c>
      <c r="Q197">
        <v>1</v>
      </c>
      <c r="R197" s="9">
        <v>110036</v>
      </c>
      <c r="S197" t="str">
        <f>IF(OR(Sheet1[[#This Row],[Salary_USD]]&lt;$V$13,Sheet1[[#This Row],[Salary_USD]]&gt;$V$12),"Outlier","Normal")</f>
        <v>Normal</v>
      </c>
    </row>
    <row r="198" spans="1:19" x14ac:dyDescent="0.25">
      <c r="A198" t="s">
        <v>20</v>
      </c>
      <c r="B198" t="s">
        <v>34</v>
      </c>
      <c r="C198" t="s">
        <v>52</v>
      </c>
      <c r="D198" t="s">
        <v>57</v>
      </c>
      <c r="E198" s="2">
        <v>88317</v>
      </c>
      <c r="F198" s="2">
        <v>5223</v>
      </c>
      <c r="G198" t="s">
        <v>63</v>
      </c>
      <c r="H198" t="s">
        <v>70</v>
      </c>
      <c r="I198" t="s">
        <v>81</v>
      </c>
      <c r="J198" t="s">
        <v>98</v>
      </c>
      <c r="K198" t="s">
        <v>123</v>
      </c>
      <c r="L198">
        <v>3</v>
      </c>
      <c r="M198">
        <v>0</v>
      </c>
      <c r="N198" t="s">
        <v>153</v>
      </c>
      <c r="O198" t="s">
        <v>154</v>
      </c>
      <c r="P198" t="s">
        <v>190</v>
      </c>
      <c r="Q198">
        <v>1.1000000000000001</v>
      </c>
      <c r="R198" s="9">
        <v>97148.700000000012</v>
      </c>
      <c r="S198" t="str">
        <f>IF(OR(Sheet1[[#This Row],[Salary_USD]]&lt;$V$13,Sheet1[[#This Row],[Salary_USD]]&gt;$V$12),"Outlier","Normal")</f>
        <v>Normal</v>
      </c>
    </row>
    <row r="199" spans="1:19" x14ac:dyDescent="0.25">
      <c r="A199" t="s">
        <v>20</v>
      </c>
      <c r="B199" t="s">
        <v>28</v>
      </c>
      <c r="C199" t="s">
        <v>49</v>
      </c>
      <c r="D199" t="s">
        <v>56</v>
      </c>
      <c r="E199" s="2">
        <v>933464</v>
      </c>
      <c r="F199" s="2">
        <v>119996</v>
      </c>
      <c r="G199" t="s">
        <v>66</v>
      </c>
      <c r="H199" t="s">
        <v>70</v>
      </c>
      <c r="I199" t="s">
        <v>77</v>
      </c>
      <c r="J199" t="s">
        <v>111</v>
      </c>
      <c r="K199" t="s">
        <v>141</v>
      </c>
      <c r="L199">
        <v>7</v>
      </c>
      <c r="M199">
        <v>5</v>
      </c>
      <c r="N199" t="s">
        <v>153</v>
      </c>
      <c r="O199" t="s">
        <v>155</v>
      </c>
      <c r="P199" t="s">
        <v>266</v>
      </c>
      <c r="Q199">
        <v>1.2E-2</v>
      </c>
      <c r="R199" s="9">
        <v>11201.568000000001</v>
      </c>
      <c r="S199" t="str">
        <f>IF(OR(Sheet1[[#This Row],[Salary_USD]]&lt;$V$13,Sheet1[[#This Row],[Salary_USD]]&gt;$V$12),"Outlier","Normal")</f>
        <v>Normal</v>
      </c>
    </row>
    <row r="200" spans="1:19" x14ac:dyDescent="0.25">
      <c r="A200" t="s">
        <v>19</v>
      </c>
      <c r="B200" t="s">
        <v>31</v>
      </c>
      <c r="C200" t="s">
        <v>48</v>
      </c>
      <c r="D200" t="s">
        <v>57</v>
      </c>
      <c r="E200" s="2">
        <v>149897</v>
      </c>
      <c r="F200" s="2">
        <v>9576</v>
      </c>
      <c r="G200" t="s">
        <v>64</v>
      </c>
      <c r="H200" t="s">
        <v>451</v>
      </c>
      <c r="I200" t="s">
        <v>73</v>
      </c>
      <c r="J200" t="s">
        <v>102</v>
      </c>
      <c r="K200" t="s">
        <v>102</v>
      </c>
      <c r="L200">
        <v>5</v>
      </c>
      <c r="M200">
        <v>2</v>
      </c>
      <c r="N200" t="s">
        <v>152</v>
      </c>
      <c r="O200" t="s">
        <v>155</v>
      </c>
      <c r="P200" t="s">
        <v>267</v>
      </c>
      <c r="Q200">
        <v>0.65</v>
      </c>
      <c r="R200" s="9">
        <v>97433.05</v>
      </c>
      <c r="S200" t="str">
        <f>IF(OR(Sheet1[[#This Row],[Salary_USD]]&lt;$V$13,Sheet1[[#This Row],[Salary_USD]]&gt;$V$12),"Outlier","Normal")</f>
        <v>Normal</v>
      </c>
    </row>
    <row r="201" spans="1:19" x14ac:dyDescent="0.25">
      <c r="A201" t="s">
        <v>19</v>
      </c>
      <c r="B201" t="s">
        <v>34</v>
      </c>
      <c r="C201" t="s">
        <v>43</v>
      </c>
      <c r="D201" t="s">
        <v>62</v>
      </c>
      <c r="E201" s="2">
        <v>810436</v>
      </c>
      <c r="F201" s="2">
        <v>120013</v>
      </c>
      <c r="G201" t="s">
        <v>66</v>
      </c>
      <c r="H201" t="s">
        <v>71</v>
      </c>
      <c r="I201" t="s">
        <v>78</v>
      </c>
      <c r="J201" t="s">
        <v>104</v>
      </c>
      <c r="K201" t="s">
        <v>131</v>
      </c>
      <c r="L201">
        <v>25</v>
      </c>
      <c r="M201">
        <v>25</v>
      </c>
      <c r="N201" t="s">
        <v>149</v>
      </c>
      <c r="O201" t="s">
        <v>155</v>
      </c>
      <c r="P201" t="s">
        <v>268</v>
      </c>
      <c r="Q201">
        <v>1.2E-2</v>
      </c>
      <c r="R201" s="9">
        <v>9725.232</v>
      </c>
      <c r="S201" t="str">
        <f>IF(OR(Sheet1[[#This Row],[Salary_USD]]&lt;$V$13,Sheet1[[#This Row],[Salary_USD]]&gt;$V$12),"Outlier","Normal")</f>
        <v>Normal</v>
      </c>
    </row>
    <row r="202" spans="1:19" x14ac:dyDescent="0.25">
      <c r="A202" t="s">
        <v>20</v>
      </c>
      <c r="B202" t="s">
        <v>29</v>
      </c>
      <c r="C202" t="s">
        <v>48</v>
      </c>
      <c r="D202" t="s">
        <v>60</v>
      </c>
      <c r="E202" s="2">
        <v>77117</v>
      </c>
      <c r="F202" s="2">
        <v>11427</v>
      </c>
      <c r="G202" t="s">
        <v>67</v>
      </c>
      <c r="H202" t="s">
        <v>451</v>
      </c>
      <c r="I202" t="s">
        <v>76</v>
      </c>
      <c r="J202" t="s">
        <v>92</v>
      </c>
      <c r="K202" t="s">
        <v>119</v>
      </c>
      <c r="L202">
        <v>7</v>
      </c>
      <c r="M202">
        <v>7</v>
      </c>
      <c r="N202" t="s">
        <v>149</v>
      </c>
      <c r="O202" t="s">
        <v>155</v>
      </c>
      <c r="P202" t="s">
        <v>171</v>
      </c>
      <c r="Q202">
        <v>1</v>
      </c>
      <c r="R202" s="9">
        <v>77117</v>
      </c>
      <c r="S202" t="str">
        <f>IF(OR(Sheet1[[#This Row],[Salary_USD]]&lt;$V$13,Sheet1[[#This Row],[Salary_USD]]&gt;$V$12),"Outlier","Normal")</f>
        <v>Normal</v>
      </c>
    </row>
    <row r="203" spans="1:19" x14ac:dyDescent="0.25">
      <c r="A203" t="s">
        <v>18</v>
      </c>
      <c r="B203" t="s">
        <v>31</v>
      </c>
      <c r="C203" t="s">
        <v>43</v>
      </c>
      <c r="D203" t="s">
        <v>62</v>
      </c>
      <c r="E203" s="2">
        <v>85892</v>
      </c>
      <c r="F203" s="2">
        <v>4036</v>
      </c>
      <c r="G203" t="s">
        <v>64</v>
      </c>
      <c r="H203" t="s">
        <v>451</v>
      </c>
      <c r="I203" t="s">
        <v>81</v>
      </c>
      <c r="J203" t="s">
        <v>101</v>
      </c>
      <c r="K203" t="s">
        <v>127</v>
      </c>
      <c r="L203">
        <v>1</v>
      </c>
      <c r="M203">
        <v>1</v>
      </c>
      <c r="N203" t="s">
        <v>151</v>
      </c>
      <c r="O203" t="s">
        <v>156</v>
      </c>
      <c r="P203" t="s">
        <v>269</v>
      </c>
      <c r="Q203">
        <v>0.65</v>
      </c>
      <c r="R203" s="9">
        <v>55829.8</v>
      </c>
      <c r="S203" t="str">
        <f>IF(OR(Sheet1[[#This Row],[Salary_USD]]&lt;$V$13,Sheet1[[#This Row],[Salary_USD]]&gt;$V$12),"Outlier","Normal")</f>
        <v>Normal</v>
      </c>
    </row>
    <row r="204" spans="1:19" x14ac:dyDescent="0.25">
      <c r="A204" t="s">
        <v>20</v>
      </c>
      <c r="B204" t="s">
        <v>35</v>
      </c>
      <c r="C204" t="s">
        <v>53</v>
      </c>
      <c r="D204" t="s">
        <v>57</v>
      </c>
      <c r="E204" s="2">
        <v>5000</v>
      </c>
      <c r="F204" s="2">
        <v>91</v>
      </c>
      <c r="G204" t="s">
        <v>63</v>
      </c>
      <c r="H204" t="s">
        <v>451</v>
      </c>
      <c r="I204" t="s">
        <v>74</v>
      </c>
      <c r="J204" t="s">
        <v>84</v>
      </c>
      <c r="K204" t="s">
        <v>74</v>
      </c>
      <c r="L204">
        <v>7</v>
      </c>
      <c r="M204">
        <v>6</v>
      </c>
      <c r="N204" t="s">
        <v>148</v>
      </c>
      <c r="O204" t="s">
        <v>157</v>
      </c>
      <c r="P204" t="s">
        <v>270</v>
      </c>
      <c r="Q204">
        <v>1.1000000000000001</v>
      </c>
      <c r="R204" s="9">
        <v>5500</v>
      </c>
      <c r="S204" t="str">
        <f>IF(OR(Sheet1[[#This Row],[Salary_USD]]&lt;$V$13,Sheet1[[#This Row],[Salary_USD]]&gt;$V$12),"Outlier","Normal")</f>
        <v>Normal</v>
      </c>
    </row>
    <row r="205" spans="1:19" x14ac:dyDescent="0.25">
      <c r="A205" t="s">
        <v>19</v>
      </c>
      <c r="B205" t="s">
        <v>33</v>
      </c>
      <c r="C205" t="s">
        <v>45</v>
      </c>
      <c r="D205" t="s">
        <v>57</v>
      </c>
      <c r="E205" s="2">
        <v>1719559</v>
      </c>
      <c r="F205" s="2">
        <v>50731</v>
      </c>
      <c r="G205" t="s">
        <v>66</v>
      </c>
      <c r="H205" t="s">
        <v>56</v>
      </c>
      <c r="I205" t="s">
        <v>77</v>
      </c>
      <c r="J205" t="s">
        <v>89</v>
      </c>
      <c r="K205" t="s">
        <v>124</v>
      </c>
      <c r="L205">
        <v>8</v>
      </c>
      <c r="M205">
        <v>8</v>
      </c>
      <c r="N205" t="s">
        <v>148</v>
      </c>
      <c r="O205" t="s">
        <v>157</v>
      </c>
      <c r="P205" t="s">
        <v>271</v>
      </c>
      <c r="Q205">
        <v>1.2E-2</v>
      </c>
      <c r="R205" s="9">
        <v>20634.707999999999</v>
      </c>
      <c r="S205" t="str">
        <f>IF(OR(Sheet1[[#This Row],[Salary_USD]]&lt;$V$13,Sheet1[[#This Row],[Salary_USD]]&gt;$V$12),"Outlier","Normal")</f>
        <v>Normal</v>
      </c>
    </row>
    <row r="206" spans="1:19" x14ac:dyDescent="0.25">
      <c r="A206" t="s">
        <v>20</v>
      </c>
      <c r="B206" t="s">
        <v>35</v>
      </c>
      <c r="C206" t="s">
        <v>42</v>
      </c>
      <c r="D206" t="s">
        <v>55</v>
      </c>
      <c r="E206" s="2">
        <v>63904</v>
      </c>
      <c r="F206" s="2">
        <v>6214</v>
      </c>
      <c r="G206" t="s">
        <v>64</v>
      </c>
      <c r="H206" t="s">
        <v>56</v>
      </c>
      <c r="I206" t="s">
        <v>73</v>
      </c>
      <c r="J206" t="s">
        <v>83</v>
      </c>
      <c r="K206" t="s">
        <v>113</v>
      </c>
      <c r="L206">
        <v>2</v>
      </c>
      <c r="M206">
        <v>2</v>
      </c>
      <c r="N206" t="s">
        <v>151</v>
      </c>
      <c r="O206" t="s">
        <v>155</v>
      </c>
      <c r="P206" t="s">
        <v>272</v>
      </c>
      <c r="Q206">
        <v>0.65</v>
      </c>
      <c r="R206" s="9">
        <v>41537.599999999999</v>
      </c>
      <c r="S206" t="str">
        <f>IF(OR(Sheet1[[#This Row],[Salary_USD]]&lt;$V$13,Sheet1[[#This Row],[Salary_USD]]&gt;$V$12),"Outlier","Normal")</f>
        <v>Normal</v>
      </c>
    </row>
    <row r="207" spans="1:19" x14ac:dyDescent="0.25">
      <c r="A207" t="s">
        <v>19</v>
      </c>
      <c r="B207" t="s">
        <v>24</v>
      </c>
      <c r="C207" t="s">
        <v>42</v>
      </c>
      <c r="D207" t="s">
        <v>58</v>
      </c>
      <c r="E207" s="2">
        <v>78214</v>
      </c>
      <c r="F207" s="2">
        <v>6870</v>
      </c>
      <c r="G207" t="s">
        <v>65</v>
      </c>
      <c r="H207" t="s">
        <v>70</v>
      </c>
      <c r="I207" t="s">
        <v>77</v>
      </c>
      <c r="J207" t="s">
        <v>111</v>
      </c>
      <c r="K207" t="s">
        <v>141</v>
      </c>
      <c r="L207">
        <v>2</v>
      </c>
      <c r="M207">
        <v>2</v>
      </c>
      <c r="N207" t="s">
        <v>150</v>
      </c>
      <c r="O207" t="s">
        <v>157</v>
      </c>
      <c r="P207" t="s">
        <v>273</v>
      </c>
      <c r="Q207">
        <v>0.73</v>
      </c>
      <c r="R207" s="9">
        <v>57096.22</v>
      </c>
      <c r="S207" t="str">
        <f>IF(OR(Sheet1[[#This Row],[Salary_USD]]&lt;$V$13,Sheet1[[#This Row],[Salary_USD]]&gt;$V$12),"Outlier","Normal")</f>
        <v>Normal</v>
      </c>
    </row>
    <row r="208" spans="1:19" x14ac:dyDescent="0.25">
      <c r="A208" t="s">
        <v>20</v>
      </c>
      <c r="B208" t="s">
        <v>35</v>
      </c>
      <c r="C208" t="s">
        <v>48</v>
      </c>
      <c r="D208" t="s">
        <v>60</v>
      </c>
      <c r="E208" s="2">
        <v>49757</v>
      </c>
      <c r="F208" s="2">
        <v>8815</v>
      </c>
      <c r="G208" t="s">
        <v>65</v>
      </c>
      <c r="H208" t="s">
        <v>56</v>
      </c>
      <c r="I208" t="s">
        <v>81</v>
      </c>
      <c r="J208" t="s">
        <v>101</v>
      </c>
      <c r="K208" t="s">
        <v>127</v>
      </c>
      <c r="L208">
        <v>6</v>
      </c>
      <c r="M208">
        <v>3</v>
      </c>
      <c r="N208" t="s">
        <v>148</v>
      </c>
      <c r="O208" t="s">
        <v>157</v>
      </c>
      <c r="P208" t="s">
        <v>188</v>
      </c>
      <c r="Q208">
        <v>0.73</v>
      </c>
      <c r="R208" s="9">
        <v>36322.61</v>
      </c>
      <c r="S208" t="str">
        <f>IF(OR(Sheet1[[#This Row],[Salary_USD]]&lt;$V$13,Sheet1[[#This Row],[Salary_USD]]&gt;$V$12),"Outlier","Normal")</f>
        <v>Normal</v>
      </c>
    </row>
    <row r="209" spans="1:19" x14ac:dyDescent="0.25">
      <c r="A209" t="s">
        <v>19</v>
      </c>
      <c r="B209" t="s">
        <v>28</v>
      </c>
      <c r="C209" t="s">
        <v>50</v>
      </c>
      <c r="D209" t="s">
        <v>61</v>
      </c>
      <c r="E209" s="2">
        <v>49875</v>
      </c>
      <c r="F209" s="2">
        <v>323</v>
      </c>
      <c r="G209" t="s">
        <v>65</v>
      </c>
      <c r="H209" t="s">
        <v>70</v>
      </c>
      <c r="I209" t="s">
        <v>74</v>
      </c>
      <c r="J209" t="s">
        <v>84</v>
      </c>
      <c r="K209" t="s">
        <v>74</v>
      </c>
      <c r="L209">
        <v>10</v>
      </c>
      <c r="M209">
        <v>10</v>
      </c>
      <c r="N209" t="s">
        <v>152</v>
      </c>
      <c r="O209" t="s">
        <v>155</v>
      </c>
      <c r="P209" t="s">
        <v>217</v>
      </c>
      <c r="Q209">
        <v>0.73</v>
      </c>
      <c r="R209" s="9">
        <v>36408.75</v>
      </c>
      <c r="S209" t="str">
        <f>IF(OR(Sheet1[[#This Row],[Salary_USD]]&lt;$V$13,Sheet1[[#This Row],[Salary_USD]]&gt;$V$12),"Outlier","Normal")</f>
        <v>Normal</v>
      </c>
    </row>
    <row r="210" spans="1:19" x14ac:dyDescent="0.25">
      <c r="A210" t="s">
        <v>17</v>
      </c>
      <c r="B210" t="s">
        <v>23</v>
      </c>
      <c r="C210" t="s">
        <v>49</v>
      </c>
      <c r="D210" t="s">
        <v>61</v>
      </c>
      <c r="E210" s="2">
        <v>62018</v>
      </c>
      <c r="F210" s="2">
        <v>3851</v>
      </c>
      <c r="G210" t="s">
        <v>65</v>
      </c>
      <c r="H210" t="s">
        <v>69</v>
      </c>
      <c r="I210" t="s">
        <v>78</v>
      </c>
      <c r="J210" t="s">
        <v>88</v>
      </c>
      <c r="K210" t="s">
        <v>117</v>
      </c>
      <c r="L210">
        <v>10</v>
      </c>
      <c r="M210">
        <v>10</v>
      </c>
      <c r="N210" t="s">
        <v>149</v>
      </c>
      <c r="O210" t="s">
        <v>155</v>
      </c>
      <c r="P210" t="s">
        <v>175</v>
      </c>
      <c r="Q210">
        <v>0.73</v>
      </c>
      <c r="R210" s="9">
        <v>45273.14</v>
      </c>
      <c r="S210" t="str">
        <f>IF(OR(Sheet1[[#This Row],[Salary_USD]]&lt;$V$13,Sheet1[[#This Row],[Salary_USD]]&gt;$V$12),"Outlier","Normal")</f>
        <v>Normal</v>
      </c>
    </row>
    <row r="211" spans="1:19" x14ac:dyDescent="0.25">
      <c r="A211" t="s">
        <v>21</v>
      </c>
      <c r="B211" t="s">
        <v>26</v>
      </c>
      <c r="C211" t="s">
        <v>49</v>
      </c>
      <c r="D211" t="s">
        <v>58</v>
      </c>
      <c r="E211" s="2">
        <v>59685</v>
      </c>
      <c r="F211" s="2">
        <v>2436</v>
      </c>
      <c r="G211" t="s">
        <v>65</v>
      </c>
      <c r="H211" t="s">
        <v>56</v>
      </c>
      <c r="I211" t="s">
        <v>78</v>
      </c>
      <c r="J211" t="s">
        <v>105</v>
      </c>
      <c r="K211" t="s">
        <v>142</v>
      </c>
      <c r="L211">
        <v>25</v>
      </c>
      <c r="M211">
        <v>25</v>
      </c>
      <c r="N211" t="s">
        <v>153</v>
      </c>
      <c r="O211" t="s">
        <v>155</v>
      </c>
      <c r="P211" t="s">
        <v>173</v>
      </c>
      <c r="Q211">
        <v>0.73</v>
      </c>
      <c r="R211" s="9">
        <v>43570.049999999996</v>
      </c>
      <c r="S211" t="str">
        <f>IF(OR(Sheet1[[#This Row],[Salary_USD]]&lt;$V$13,Sheet1[[#This Row],[Salary_USD]]&gt;$V$12),"Outlier","Normal")</f>
        <v>Normal</v>
      </c>
    </row>
    <row r="212" spans="1:19" x14ac:dyDescent="0.25">
      <c r="A212" t="s">
        <v>21</v>
      </c>
      <c r="B212" t="s">
        <v>35</v>
      </c>
      <c r="C212" t="s">
        <v>46</v>
      </c>
      <c r="D212" t="s">
        <v>57</v>
      </c>
      <c r="E212" s="2">
        <v>54187</v>
      </c>
      <c r="F212" s="2">
        <v>10137</v>
      </c>
      <c r="G212" t="s">
        <v>65</v>
      </c>
      <c r="H212" t="s">
        <v>71</v>
      </c>
      <c r="I212" t="s">
        <v>72</v>
      </c>
      <c r="J212" t="s">
        <v>82</v>
      </c>
      <c r="K212" t="s">
        <v>112</v>
      </c>
      <c r="L212">
        <v>15</v>
      </c>
      <c r="M212">
        <v>15</v>
      </c>
      <c r="N212" t="s">
        <v>152</v>
      </c>
      <c r="O212" t="s">
        <v>157</v>
      </c>
      <c r="P212" t="s">
        <v>274</v>
      </c>
      <c r="Q212">
        <v>0.73</v>
      </c>
      <c r="R212" s="9">
        <v>39556.51</v>
      </c>
      <c r="S212" t="str">
        <f>IF(OR(Sheet1[[#This Row],[Salary_USD]]&lt;$V$13,Sheet1[[#This Row],[Salary_USD]]&gt;$V$12),"Outlier","Normal")</f>
        <v>Normal</v>
      </c>
    </row>
    <row r="213" spans="1:19" x14ac:dyDescent="0.25">
      <c r="A213" t="s">
        <v>19</v>
      </c>
      <c r="B213" t="s">
        <v>35</v>
      </c>
      <c r="C213" t="s">
        <v>41</v>
      </c>
      <c r="D213" t="s">
        <v>54</v>
      </c>
      <c r="E213" s="2">
        <v>1390142</v>
      </c>
      <c r="F213" s="2">
        <v>18418</v>
      </c>
      <c r="G213" t="s">
        <v>66</v>
      </c>
      <c r="H213" t="s">
        <v>56</v>
      </c>
      <c r="I213" t="s">
        <v>80</v>
      </c>
      <c r="J213" t="s">
        <v>93</v>
      </c>
      <c r="K213" t="s">
        <v>93</v>
      </c>
      <c r="L213">
        <v>7</v>
      </c>
      <c r="M213">
        <v>7</v>
      </c>
      <c r="N213" t="s">
        <v>152</v>
      </c>
      <c r="O213" t="s">
        <v>157</v>
      </c>
      <c r="P213" t="s">
        <v>275</v>
      </c>
      <c r="Q213">
        <v>1.2E-2</v>
      </c>
      <c r="R213" s="9">
        <v>16681.704000000002</v>
      </c>
      <c r="S213" t="str">
        <f>IF(OR(Sheet1[[#This Row],[Salary_USD]]&lt;$V$13,Sheet1[[#This Row],[Salary_USD]]&gt;$V$12),"Outlier","Normal")</f>
        <v>Normal</v>
      </c>
    </row>
    <row r="214" spans="1:19" x14ac:dyDescent="0.25">
      <c r="A214" t="s">
        <v>20</v>
      </c>
      <c r="B214" t="s">
        <v>29</v>
      </c>
      <c r="C214" t="s">
        <v>48</v>
      </c>
      <c r="D214" t="s">
        <v>57</v>
      </c>
      <c r="E214" s="2">
        <v>1232312</v>
      </c>
      <c r="F214" s="2">
        <v>60789</v>
      </c>
      <c r="G214" t="s">
        <v>66</v>
      </c>
      <c r="H214" t="s">
        <v>71</v>
      </c>
      <c r="I214" t="s">
        <v>73</v>
      </c>
      <c r="J214" t="s">
        <v>102</v>
      </c>
      <c r="K214" t="s">
        <v>102</v>
      </c>
      <c r="L214">
        <v>1</v>
      </c>
      <c r="M214">
        <v>0</v>
      </c>
      <c r="N214" t="s">
        <v>152</v>
      </c>
      <c r="O214" t="s">
        <v>154</v>
      </c>
      <c r="P214" t="s">
        <v>276</v>
      </c>
      <c r="Q214">
        <v>1.2E-2</v>
      </c>
      <c r="R214" s="9">
        <v>14787.744000000001</v>
      </c>
      <c r="S214" t="str">
        <f>IF(OR(Sheet1[[#This Row],[Salary_USD]]&lt;$V$13,Sheet1[[#This Row],[Salary_USD]]&gt;$V$12),"Outlier","Normal")</f>
        <v>Normal</v>
      </c>
    </row>
    <row r="215" spans="1:19" x14ac:dyDescent="0.25">
      <c r="A215" t="s">
        <v>17</v>
      </c>
      <c r="B215" t="s">
        <v>29</v>
      </c>
      <c r="C215" t="s">
        <v>41</v>
      </c>
      <c r="D215" t="s">
        <v>59</v>
      </c>
      <c r="E215" s="2">
        <v>1182056</v>
      </c>
      <c r="F215" s="2">
        <v>10993</v>
      </c>
      <c r="G215" t="s">
        <v>66</v>
      </c>
      <c r="H215" t="s">
        <v>56</v>
      </c>
      <c r="I215" t="s">
        <v>75</v>
      </c>
      <c r="J215" t="s">
        <v>108</v>
      </c>
      <c r="K215" t="s">
        <v>135</v>
      </c>
      <c r="L215">
        <v>15</v>
      </c>
      <c r="M215">
        <v>15</v>
      </c>
      <c r="N215" t="s">
        <v>148</v>
      </c>
      <c r="O215" t="s">
        <v>157</v>
      </c>
      <c r="P215" t="s">
        <v>277</v>
      </c>
      <c r="Q215">
        <v>1.2E-2</v>
      </c>
      <c r="R215" s="9">
        <v>14184.672</v>
      </c>
      <c r="S215" t="str">
        <f>IF(OR(Sheet1[[#This Row],[Salary_USD]]&lt;$V$13,Sheet1[[#This Row],[Salary_USD]]&gt;$V$12),"Outlier","Normal")</f>
        <v>Normal</v>
      </c>
    </row>
    <row r="216" spans="1:19" x14ac:dyDescent="0.25">
      <c r="A216" t="s">
        <v>19</v>
      </c>
      <c r="B216" t="s">
        <v>28</v>
      </c>
      <c r="C216" t="s">
        <v>46</v>
      </c>
      <c r="D216" t="s">
        <v>451</v>
      </c>
      <c r="E216" s="2">
        <v>836704</v>
      </c>
      <c r="F216" s="2">
        <v>4384</v>
      </c>
      <c r="G216" t="s">
        <v>66</v>
      </c>
      <c r="H216" t="s">
        <v>70</v>
      </c>
      <c r="I216" t="s">
        <v>77</v>
      </c>
      <c r="J216" t="s">
        <v>110</v>
      </c>
      <c r="K216" t="s">
        <v>139</v>
      </c>
      <c r="L216">
        <v>18</v>
      </c>
      <c r="M216">
        <v>16</v>
      </c>
      <c r="N216" t="s">
        <v>149</v>
      </c>
      <c r="O216" t="s">
        <v>157</v>
      </c>
      <c r="P216" t="s">
        <v>239</v>
      </c>
      <c r="Q216">
        <v>1.2E-2</v>
      </c>
      <c r="R216" s="9">
        <v>10040.448</v>
      </c>
      <c r="S216" t="str">
        <f>IF(OR(Sheet1[[#This Row],[Salary_USD]]&lt;$V$13,Sheet1[[#This Row],[Salary_USD]]&gt;$V$12),"Outlier","Normal")</f>
        <v>Normal</v>
      </c>
    </row>
    <row r="217" spans="1:19" x14ac:dyDescent="0.25">
      <c r="A217" t="s">
        <v>17</v>
      </c>
      <c r="B217" t="s">
        <v>22</v>
      </c>
      <c r="C217" t="s">
        <v>44</v>
      </c>
      <c r="D217" t="s">
        <v>55</v>
      </c>
      <c r="E217" s="2">
        <v>76249</v>
      </c>
      <c r="F217" s="2">
        <v>20651</v>
      </c>
      <c r="G217" t="s">
        <v>64</v>
      </c>
      <c r="H217" t="s">
        <v>69</v>
      </c>
      <c r="I217" t="s">
        <v>79</v>
      </c>
      <c r="J217" t="s">
        <v>91</v>
      </c>
      <c r="K217" t="s">
        <v>118</v>
      </c>
      <c r="L217">
        <v>9</v>
      </c>
      <c r="M217">
        <v>8</v>
      </c>
      <c r="N217" t="s">
        <v>153</v>
      </c>
      <c r="O217" t="s">
        <v>154</v>
      </c>
      <c r="P217" t="s">
        <v>278</v>
      </c>
      <c r="Q217">
        <v>0.65</v>
      </c>
      <c r="R217" s="9">
        <v>49561.85</v>
      </c>
      <c r="S217" t="str">
        <f>IF(OR(Sheet1[[#This Row],[Salary_USD]]&lt;$V$13,Sheet1[[#This Row],[Salary_USD]]&gt;$V$12),"Outlier","Normal")</f>
        <v>Normal</v>
      </c>
    </row>
    <row r="218" spans="1:19" x14ac:dyDescent="0.25">
      <c r="A218" t="s">
        <v>19</v>
      </c>
      <c r="B218" t="s">
        <v>31</v>
      </c>
      <c r="C218" t="s">
        <v>47</v>
      </c>
      <c r="D218" t="s">
        <v>54</v>
      </c>
      <c r="E218" s="2">
        <v>582032</v>
      </c>
      <c r="F218" s="2">
        <v>0</v>
      </c>
      <c r="G218" t="s">
        <v>66</v>
      </c>
      <c r="H218" t="s">
        <v>71</v>
      </c>
      <c r="I218" t="s">
        <v>78</v>
      </c>
      <c r="J218" t="s">
        <v>105</v>
      </c>
      <c r="K218" t="s">
        <v>133</v>
      </c>
      <c r="L218">
        <v>12</v>
      </c>
      <c r="M218">
        <v>12</v>
      </c>
      <c r="N218" t="s">
        <v>152</v>
      </c>
      <c r="O218" t="s">
        <v>157</v>
      </c>
      <c r="P218" t="s">
        <v>175</v>
      </c>
      <c r="Q218">
        <v>1.2E-2</v>
      </c>
      <c r="R218" s="9">
        <v>6984.384</v>
      </c>
      <c r="S218" t="str">
        <f>IF(OR(Sheet1[[#This Row],[Salary_USD]]&lt;$V$13,Sheet1[[#This Row],[Salary_USD]]&gt;$V$12),"Outlier","Normal")</f>
        <v>Normal</v>
      </c>
    </row>
    <row r="219" spans="1:19" x14ac:dyDescent="0.25">
      <c r="A219" t="s">
        <v>20</v>
      </c>
      <c r="B219" t="s">
        <v>26</v>
      </c>
      <c r="C219" t="s">
        <v>41</v>
      </c>
      <c r="D219" t="s">
        <v>60</v>
      </c>
      <c r="E219" s="2">
        <v>66993</v>
      </c>
      <c r="F219" s="2">
        <v>0</v>
      </c>
      <c r="G219" t="s">
        <v>64</v>
      </c>
      <c r="H219" t="s">
        <v>71</v>
      </c>
      <c r="I219" t="s">
        <v>80</v>
      </c>
      <c r="J219" t="s">
        <v>93</v>
      </c>
      <c r="K219" t="s">
        <v>93</v>
      </c>
      <c r="L219">
        <v>5</v>
      </c>
      <c r="M219">
        <v>2</v>
      </c>
      <c r="N219" t="s">
        <v>148</v>
      </c>
      <c r="O219" t="s">
        <v>157</v>
      </c>
      <c r="P219" t="s">
        <v>279</v>
      </c>
      <c r="Q219">
        <v>0.65</v>
      </c>
      <c r="R219" s="9">
        <v>43545.450000000004</v>
      </c>
      <c r="S219" t="str">
        <f>IF(OR(Sheet1[[#This Row],[Salary_USD]]&lt;$V$13,Sheet1[[#This Row],[Salary_USD]]&gt;$V$12),"Outlier","Normal")</f>
        <v>Normal</v>
      </c>
    </row>
    <row r="220" spans="1:19" x14ac:dyDescent="0.25">
      <c r="A220" t="s">
        <v>17</v>
      </c>
      <c r="B220" t="s">
        <v>34</v>
      </c>
      <c r="C220" t="s">
        <v>38</v>
      </c>
      <c r="D220" t="s">
        <v>58</v>
      </c>
      <c r="E220" s="2">
        <v>50400</v>
      </c>
      <c r="F220" s="2">
        <v>4570</v>
      </c>
      <c r="G220" t="s">
        <v>63</v>
      </c>
      <c r="H220" t="s">
        <v>69</v>
      </c>
      <c r="I220" t="s">
        <v>79</v>
      </c>
      <c r="J220" t="s">
        <v>91</v>
      </c>
      <c r="K220" t="s">
        <v>118</v>
      </c>
      <c r="L220">
        <v>15</v>
      </c>
      <c r="M220">
        <v>14</v>
      </c>
      <c r="N220" t="s">
        <v>153</v>
      </c>
      <c r="O220" t="s">
        <v>155</v>
      </c>
      <c r="P220" t="s">
        <v>280</v>
      </c>
      <c r="Q220">
        <v>1.1000000000000001</v>
      </c>
      <c r="R220" s="9">
        <v>55440.000000000007</v>
      </c>
      <c r="S220" t="str">
        <f>IF(OR(Sheet1[[#This Row],[Salary_USD]]&lt;$V$13,Sheet1[[#This Row],[Salary_USD]]&gt;$V$12),"Outlier","Normal")</f>
        <v>Normal</v>
      </c>
    </row>
    <row r="221" spans="1:19" x14ac:dyDescent="0.25">
      <c r="A221" t="s">
        <v>20</v>
      </c>
      <c r="B221" t="s">
        <v>35</v>
      </c>
      <c r="C221" t="s">
        <v>38</v>
      </c>
      <c r="D221" t="s">
        <v>60</v>
      </c>
      <c r="E221" s="2">
        <v>79276</v>
      </c>
      <c r="F221" s="2">
        <v>2347</v>
      </c>
      <c r="G221" t="s">
        <v>65</v>
      </c>
      <c r="H221" t="s">
        <v>69</v>
      </c>
      <c r="I221" t="s">
        <v>80</v>
      </c>
      <c r="J221" t="s">
        <v>106</v>
      </c>
      <c r="K221" t="s">
        <v>106</v>
      </c>
      <c r="L221">
        <v>0</v>
      </c>
      <c r="M221">
        <v>0</v>
      </c>
      <c r="N221" t="s">
        <v>151</v>
      </c>
      <c r="O221" t="s">
        <v>154</v>
      </c>
      <c r="P221" t="s">
        <v>202</v>
      </c>
      <c r="Q221">
        <v>0.73</v>
      </c>
      <c r="R221" s="9">
        <v>57871.479999999996</v>
      </c>
      <c r="S221" t="str">
        <f>IF(OR(Sheet1[[#This Row],[Salary_USD]]&lt;$V$13,Sheet1[[#This Row],[Salary_USD]]&gt;$V$12),"Outlier","Normal")</f>
        <v>Normal</v>
      </c>
    </row>
    <row r="222" spans="1:19" x14ac:dyDescent="0.25">
      <c r="A222" t="s">
        <v>21</v>
      </c>
      <c r="B222" t="s">
        <v>35</v>
      </c>
      <c r="C222" t="s">
        <v>42</v>
      </c>
      <c r="D222" t="s">
        <v>62</v>
      </c>
      <c r="E222" s="2">
        <v>118329</v>
      </c>
      <c r="F222" s="2">
        <v>4504</v>
      </c>
      <c r="G222" t="s">
        <v>65</v>
      </c>
      <c r="H222" t="s">
        <v>451</v>
      </c>
      <c r="I222" t="s">
        <v>76</v>
      </c>
      <c r="J222" t="s">
        <v>86</v>
      </c>
      <c r="K222" t="s">
        <v>115</v>
      </c>
      <c r="L222">
        <v>9</v>
      </c>
      <c r="M222">
        <v>7</v>
      </c>
      <c r="N222" t="s">
        <v>149</v>
      </c>
      <c r="O222" t="s">
        <v>156</v>
      </c>
      <c r="P222" t="s">
        <v>162</v>
      </c>
      <c r="Q222">
        <v>0.73</v>
      </c>
      <c r="R222" s="9">
        <v>86380.17</v>
      </c>
      <c r="S222" t="str">
        <f>IF(OR(Sheet1[[#This Row],[Salary_USD]]&lt;$V$13,Sheet1[[#This Row],[Salary_USD]]&gt;$V$12),"Outlier","Normal")</f>
        <v>Normal</v>
      </c>
    </row>
    <row r="223" spans="1:19" x14ac:dyDescent="0.25">
      <c r="A223" t="s">
        <v>19</v>
      </c>
      <c r="B223" t="s">
        <v>29</v>
      </c>
      <c r="C223" t="s">
        <v>45</v>
      </c>
      <c r="D223" t="s">
        <v>61</v>
      </c>
      <c r="E223" s="2">
        <v>965112</v>
      </c>
      <c r="F223" s="2">
        <v>256976</v>
      </c>
      <c r="G223" t="s">
        <v>66</v>
      </c>
      <c r="H223" t="s">
        <v>56</v>
      </c>
      <c r="I223" t="s">
        <v>79</v>
      </c>
      <c r="J223" t="s">
        <v>91</v>
      </c>
      <c r="K223" t="s">
        <v>118</v>
      </c>
      <c r="L223">
        <v>25</v>
      </c>
      <c r="M223">
        <v>25</v>
      </c>
      <c r="N223" t="s">
        <v>153</v>
      </c>
      <c r="O223" t="s">
        <v>154</v>
      </c>
      <c r="P223" t="s">
        <v>258</v>
      </c>
      <c r="Q223">
        <v>1.2E-2</v>
      </c>
      <c r="R223" s="9">
        <v>11581.344000000001</v>
      </c>
      <c r="S223" t="str">
        <f>IF(OR(Sheet1[[#This Row],[Salary_USD]]&lt;$V$13,Sheet1[[#This Row],[Salary_USD]]&gt;$V$12),"Outlier","Normal")</f>
        <v>Normal</v>
      </c>
    </row>
    <row r="224" spans="1:19" x14ac:dyDescent="0.25">
      <c r="A224" t="s">
        <v>19</v>
      </c>
      <c r="B224" t="s">
        <v>29</v>
      </c>
      <c r="C224" t="s">
        <v>39</v>
      </c>
      <c r="D224" t="s">
        <v>59</v>
      </c>
      <c r="E224" s="2">
        <v>906820</v>
      </c>
      <c r="F224" s="2">
        <v>42869</v>
      </c>
      <c r="G224" t="s">
        <v>66</v>
      </c>
      <c r="H224" t="s">
        <v>71</v>
      </c>
      <c r="I224" t="s">
        <v>75</v>
      </c>
      <c r="J224" t="s">
        <v>96</v>
      </c>
      <c r="K224" t="s">
        <v>121</v>
      </c>
      <c r="L224">
        <v>8</v>
      </c>
      <c r="M224">
        <v>5</v>
      </c>
      <c r="N224" t="s">
        <v>148</v>
      </c>
      <c r="O224" t="s">
        <v>156</v>
      </c>
      <c r="P224" t="s">
        <v>245</v>
      </c>
      <c r="Q224">
        <v>1.2E-2</v>
      </c>
      <c r="R224" s="9">
        <v>10881.84</v>
      </c>
      <c r="S224" t="str">
        <f>IF(OR(Sheet1[[#This Row],[Salary_USD]]&lt;$V$13,Sheet1[[#This Row],[Salary_USD]]&gt;$V$12),"Outlier","Normal")</f>
        <v>Normal</v>
      </c>
    </row>
    <row r="225" spans="1:19" x14ac:dyDescent="0.25">
      <c r="A225" t="s">
        <v>19</v>
      </c>
      <c r="B225" t="s">
        <v>35</v>
      </c>
      <c r="C225" t="s">
        <v>48</v>
      </c>
      <c r="D225" t="s">
        <v>61</v>
      </c>
      <c r="E225" s="2">
        <v>72060</v>
      </c>
      <c r="F225" s="2">
        <v>11215</v>
      </c>
      <c r="G225" t="s">
        <v>65</v>
      </c>
      <c r="H225" t="s">
        <v>69</v>
      </c>
      <c r="I225" t="s">
        <v>79</v>
      </c>
      <c r="J225" t="s">
        <v>107</v>
      </c>
      <c r="K225" t="s">
        <v>134</v>
      </c>
      <c r="L225">
        <v>7</v>
      </c>
      <c r="M225">
        <v>6</v>
      </c>
      <c r="N225" t="s">
        <v>148</v>
      </c>
      <c r="O225" t="s">
        <v>156</v>
      </c>
      <c r="P225" t="s">
        <v>281</v>
      </c>
      <c r="Q225">
        <v>0.73</v>
      </c>
      <c r="R225" s="9">
        <v>52603.799999999996</v>
      </c>
      <c r="S225" t="str">
        <f>IF(OR(Sheet1[[#This Row],[Salary_USD]]&lt;$V$13,Sheet1[[#This Row],[Salary_USD]]&gt;$V$12),"Outlier","Normal")</f>
        <v>Normal</v>
      </c>
    </row>
    <row r="226" spans="1:19" x14ac:dyDescent="0.25">
      <c r="A226" t="s">
        <v>19</v>
      </c>
      <c r="B226" t="s">
        <v>26</v>
      </c>
      <c r="C226" t="s">
        <v>41</v>
      </c>
      <c r="D226" t="s">
        <v>55</v>
      </c>
      <c r="E226" s="2">
        <v>27332</v>
      </c>
      <c r="F226" s="2">
        <v>305</v>
      </c>
      <c r="G226" t="s">
        <v>63</v>
      </c>
      <c r="H226" t="s">
        <v>69</v>
      </c>
      <c r="I226" t="s">
        <v>78</v>
      </c>
      <c r="J226" t="s">
        <v>105</v>
      </c>
      <c r="K226" t="s">
        <v>142</v>
      </c>
      <c r="L226">
        <v>12</v>
      </c>
      <c r="M226">
        <v>9</v>
      </c>
      <c r="N226" t="s">
        <v>152</v>
      </c>
      <c r="O226" t="s">
        <v>156</v>
      </c>
      <c r="P226" t="s">
        <v>227</v>
      </c>
      <c r="Q226">
        <v>1.1000000000000001</v>
      </c>
      <c r="R226" s="9">
        <v>30065.200000000001</v>
      </c>
      <c r="S226" t="str">
        <f>IF(OR(Sheet1[[#This Row],[Salary_USD]]&lt;$V$13,Sheet1[[#This Row],[Salary_USD]]&gt;$V$12),"Outlier","Normal")</f>
        <v>Normal</v>
      </c>
    </row>
    <row r="227" spans="1:19" x14ac:dyDescent="0.25">
      <c r="A227" t="s">
        <v>20</v>
      </c>
      <c r="B227" t="s">
        <v>31</v>
      </c>
      <c r="C227" t="s">
        <v>49</v>
      </c>
      <c r="D227" t="s">
        <v>57</v>
      </c>
      <c r="E227" s="2">
        <v>105687</v>
      </c>
      <c r="F227" s="2">
        <v>3667</v>
      </c>
      <c r="G227" t="s">
        <v>68</v>
      </c>
      <c r="H227" t="s">
        <v>71</v>
      </c>
      <c r="I227" t="s">
        <v>76</v>
      </c>
      <c r="J227" t="s">
        <v>92</v>
      </c>
      <c r="K227" t="s">
        <v>119</v>
      </c>
      <c r="L227">
        <v>0</v>
      </c>
      <c r="M227">
        <v>0</v>
      </c>
      <c r="N227" t="s">
        <v>153</v>
      </c>
      <c r="O227" t="s">
        <v>154</v>
      </c>
      <c r="P227" t="s">
        <v>282</v>
      </c>
      <c r="Q227">
        <v>1.25</v>
      </c>
      <c r="R227" s="9">
        <v>132108.75</v>
      </c>
      <c r="S227" t="str">
        <f>IF(OR(Sheet1[[#This Row],[Salary_USD]]&lt;$V$13,Sheet1[[#This Row],[Salary_USD]]&gt;$V$12),"Outlier","Normal")</f>
        <v>Normal</v>
      </c>
    </row>
    <row r="228" spans="1:19" x14ac:dyDescent="0.25">
      <c r="A228" t="s">
        <v>19</v>
      </c>
      <c r="B228" t="s">
        <v>32</v>
      </c>
      <c r="C228" t="s">
        <v>49</v>
      </c>
      <c r="D228" t="s">
        <v>54</v>
      </c>
      <c r="E228" s="2">
        <v>1322857</v>
      </c>
      <c r="F228" s="2">
        <v>182123</v>
      </c>
      <c r="G228" t="s">
        <v>66</v>
      </c>
      <c r="H228" t="s">
        <v>56</v>
      </c>
      <c r="I228" t="s">
        <v>72</v>
      </c>
      <c r="J228" t="s">
        <v>82</v>
      </c>
      <c r="K228" t="s">
        <v>112</v>
      </c>
      <c r="L228">
        <v>8</v>
      </c>
      <c r="M228">
        <v>5</v>
      </c>
      <c r="N228" t="s">
        <v>153</v>
      </c>
      <c r="O228" t="s">
        <v>154</v>
      </c>
      <c r="P228" t="s">
        <v>283</v>
      </c>
      <c r="Q228">
        <v>1.2E-2</v>
      </c>
      <c r="R228" s="9">
        <v>15874.284</v>
      </c>
      <c r="S228" t="str">
        <f>IF(OR(Sheet1[[#This Row],[Salary_USD]]&lt;$V$13,Sheet1[[#This Row],[Salary_USD]]&gt;$V$12),"Outlier","Normal")</f>
        <v>Normal</v>
      </c>
    </row>
    <row r="229" spans="1:19" x14ac:dyDescent="0.25">
      <c r="A229" t="s">
        <v>17</v>
      </c>
      <c r="B229" t="s">
        <v>31</v>
      </c>
      <c r="C229" t="s">
        <v>46</v>
      </c>
      <c r="D229" t="s">
        <v>62</v>
      </c>
      <c r="E229" s="2">
        <v>155144</v>
      </c>
      <c r="F229" s="2">
        <v>6607</v>
      </c>
      <c r="G229" t="s">
        <v>67</v>
      </c>
      <c r="H229" t="s">
        <v>56</v>
      </c>
      <c r="I229" t="s">
        <v>72</v>
      </c>
      <c r="J229" t="s">
        <v>95</v>
      </c>
      <c r="K229" t="s">
        <v>120</v>
      </c>
      <c r="L229">
        <v>8</v>
      </c>
      <c r="M229">
        <v>5</v>
      </c>
      <c r="N229" t="s">
        <v>151</v>
      </c>
      <c r="O229" t="s">
        <v>155</v>
      </c>
      <c r="P229" t="s">
        <v>169</v>
      </c>
      <c r="Q229">
        <v>1</v>
      </c>
      <c r="R229" s="9">
        <v>155144</v>
      </c>
      <c r="S229" t="str">
        <f>IF(OR(Sheet1[[#This Row],[Salary_USD]]&lt;$V$13,Sheet1[[#This Row],[Salary_USD]]&gt;$V$12),"Outlier","Normal")</f>
        <v>Normal</v>
      </c>
    </row>
    <row r="230" spans="1:19" x14ac:dyDescent="0.25">
      <c r="A230" t="s">
        <v>19</v>
      </c>
      <c r="B230" t="s">
        <v>34</v>
      </c>
      <c r="C230" t="s">
        <v>52</v>
      </c>
      <c r="D230" t="s">
        <v>58</v>
      </c>
      <c r="E230" s="2">
        <v>60121</v>
      </c>
      <c r="F230" s="2">
        <v>6606</v>
      </c>
      <c r="G230" t="s">
        <v>65</v>
      </c>
      <c r="H230" t="s">
        <v>69</v>
      </c>
      <c r="I230" t="s">
        <v>76</v>
      </c>
      <c r="J230" t="s">
        <v>86</v>
      </c>
      <c r="K230" t="s">
        <v>115</v>
      </c>
      <c r="L230">
        <v>3</v>
      </c>
      <c r="M230">
        <v>3</v>
      </c>
      <c r="N230" t="s">
        <v>152</v>
      </c>
      <c r="O230" t="s">
        <v>155</v>
      </c>
      <c r="P230" t="s">
        <v>189</v>
      </c>
      <c r="Q230">
        <v>0.73</v>
      </c>
      <c r="R230" s="9">
        <v>43888.33</v>
      </c>
      <c r="S230" t="str">
        <f>IF(OR(Sheet1[[#This Row],[Salary_USD]]&lt;$V$13,Sheet1[[#This Row],[Salary_USD]]&gt;$V$12),"Outlier","Normal")</f>
        <v>Normal</v>
      </c>
    </row>
    <row r="231" spans="1:19" x14ac:dyDescent="0.25">
      <c r="A231" t="s">
        <v>19</v>
      </c>
      <c r="B231" t="s">
        <v>24</v>
      </c>
      <c r="C231" t="s">
        <v>41</v>
      </c>
      <c r="D231" t="s">
        <v>59</v>
      </c>
      <c r="E231" s="2">
        <v>866580</v>
      </c>
      <c r="F231" s="2">
        <v>213304</v>
      </c>
      <c r="G231" t="s">
        <v>66</v>
      </c>
      <c r="H231" t="s">
        <v>69</v>
      </c>
      <c r="I231" t="s">
        <v>72</v>
      </c>
      <c r="J231" t="s">
        <v>82</v>
      </c>
      <c r="K231" t="s">
        <v>112</v>
      </c>
      <c r="L231">
        <v>20</v>
      </c>
      <c r="M231">
        <v>20</v>
      </c>
      <c r="N231" t="s">
        <v>152</v>
      </c>
      <c r="O231" t="s">
        <v>154</v>
      </c>
      <c r="P231" t="s">
        <v>180</v>
      </c>
      <c r="Q231">
        <v>1.2E-2</v>
      </c>
      <c r="R231" s="9">
        <v>10398.960000000001</v>
      </c>
      <c r="S231" t="str">
        <f>IF(OR(Sheet1[[#This Row],[Salary_USD]]&lt;$V$13,Sheet1[[#This Row],[Salary_USD]]&gt;$V$12),"Outlier","Normal")</f>
        <v>Normal</v>
      </c>
    </row>
    <row r="232" spans="1:19" x14ac:dyDescent="0.25">
      <c r="A232" t="s">
        <v>19</v>
      </c>
      <c r="B232" t="s">
        <v>23</v>
      </c>
      <c r="C232" t="s">
        <v>39</v>
      </c>
      <c r="D232" t="s">
        <v>62</v>
      </c>
      <c r="E232" s="2">
        <v>66498</v>
      </c>
      <c r="F232" s="2">
        <v>4076</v>
      </c>
      <c r="G232" t="s">
        <v>65</v>
      </c>
      <c r="H232" t="s">
        <v>70</v>
      </c>
      <c r="I232" t="s">
        <v>78</v>
      </c>
      <c r="J232" t="s">
        <v>105</v>
      </c>
      <c r="K232" t="s">
        <v>133</v>
      </c>
      <c r="L232">
        <v>10</v>
      </c>
      <c r="M232">
        <v>8</v>
      </c>
      <c r="N232" t="s">
        <v>148</v>
      </c>
      <c r="O232" t="s">
        <v>156</v>
      </c>
      <c r="P232" t="s">
        <v>284</v>
      </c>
      <c r="Q232">
        <v>0.73</v>
      </c>
      <c r="R232" s="9">
        <v>48543.54</v>
      </c>
      <c r="S232" t="str">
        <f>IF(OR(Sheet1[[#This Row],[Salary_USD]]&lt;$V$13,Sheet1[[#This Row],[Salary_USD]]&gt;$V$12),"Outlier","Normal")</f>
        <v>Normal</v>
      </c>
    </row>
    <row r="233" spans="1:19" x14ac:dyDescent="0.25">
      <c r="A233" t="s">
        <v>19</v>
      </c>
      <c r="B233" t="s">
        <v>22</v>
      </c>
      <c r="C233" t="s">
        <v>48</v>
      </c>
      <c r="D233" t="s">
        <v>57</v>
      </c>
      <c r="E233" s="2">
        <v>140862</v>
      </c>
      <c r="F233" s="2">
        <v>0</v>
      </c>
      <c r="G233" t="s">
        <v>67</v>
      </c>
      <c r="H233" t="s">
        <v>451</v>
      </c>
      <c r="I233" t="s">
        <v>77</v>
      </c>
      <c r="J233" t="s">
        <v>110</v>
      </c>
      <c r="K233" t="s">
        <v>145</v>
      </c>
      <c r="L233">
        <v>10</v>
      </c>
      <c r="M233">
        <v>10</v>
      </c>
      <c r="N233" t="s">
        <v>152</v>
      </c>
      <c r="O233" t="s">
        <v>155</v>
      </c>
      <c r="P233" t="s">
        <v>207</v>
      </c>
      <c r="Q233">
        <v>1</v>
      </c>
      <c r="R233" s="9">
        <v>140862</v>
      </c>
      <c r="S233" t="str">
        <f>IF(OR(Sheet1[[#This Row],[Salary_USD]]&lt;$V$13,Sheet1[[#This Row],[Salary_USD]]&gt;$V$12),"Outlier","Normal")</f>
        <v>Normal</v>
      </c>
    </row>
    <row r="234" spans="1:19" x14ac:dyDescent="0.25">
      <c r="A234" t="s">
        <v>19</v>
      </c>
      <c r="B234" t="s">
        <v>23</v>
      </c>
      <c r="C234" t="s">
        <v>47</v>
      </c>
      <c r="D234" t="s">
        <v>62</v>
      </c>
      <c r="E234" s="2">
        <v>27566</v>
      </c>
      <c r="F234" s="2">
        <v>3594</v>
      </c>
      <c r="G234" t="s">
        <v>68</v>
      </c>
      <c r="H234" t="s">
        <v>451</v>
      </c>
      <c r="I234" t="s">
        <v>80</v>
      </c>
      <c r="J234" t="s">
        <v>93</v>
      </c>
      <c r="K234" t="s">
        <v>93</v>
      </c>
      <c r="L234">
        <v>2</v>
      </c>
      <c r="M234">
        <v>1</v>
      </c>
      <c r="N234" t="s">
        <v>150</v>
      </c>
      <c r="O234" t="s">
        <v>154</v>
      </c>
      <c r="P234" t="s">
        <v>271</v>
      </c>
      <c r="Q234">
        <v>1.25</v>
      </c>
      <c r="R234" s="9">
        <v>34457.5</v>
      </c>
      <c r="S234" t="str">
        <f>IF(OR(Sheet1[[#This Row],[Salary_USD]]&lt;$V$13,Sheet1[[#This Row],[Salary_USD]]&gt;$V$12),"Outlier","Normal")</f>
        <v>Normal</v>
      </c>
    </row>
    <row r="235" spans="1:19" x14ac:dyDescent="0.25">
      <c r="A235" t="s">
        <v>21</v>
      </c>
      <c r="B235" t="s">
        <v>35</v>
      </c>
      <c r="C235" t="s">
        <v>45</v>
      </c>
      <c r="D235" t="s">
        <v>54</v>
      </c>
      <c r="E235" s="2">
        <v>105651</v>
      </c>
      <c r="F235" s="2">
        <v>7806</v>
      </c>
      <c r="G235" t="s">
        <v>63</v>
      </c>
      <c r="H235" t="s">
        <v>70</v>
      </c>
      <c r="I235" t="s">
        <v>80</v>
      </c>
      <c r="J235" t="s">
        <v>106</v>
      </c>
      <c r="K235" t="s">
        <v>106</v>
      </c>
      <c r="L235">
        <v>9</v>
      </c>
      <c r="M235">
        <v>9</v>
      </c>
      <c r="N235" t="s">
        <v>150</v>
      </c>
      <c r="O235" t="s">
        <v>157</v>
      </c>
      <c r="P235" t="s">
        <v>187</v>
      </c>
      <c r="Q235">
        <v>1.1000000000000001</v>
      </c>
      <c r="R235" s="9">
        <v>116216.1</v>
      </c>
      <c r="S235" t="str">
        <f>IF(OR(Sheet1[[#This Row],[Salary_USD]]&lt;$V$13,Sheet1[[#This Row],[Salary_USD]]&gt;$V$12),"Outlier","Normal")</f>
        <v>Normal</v>
      </c>
    </row>
    <row r="236" spans="1:19" x14ac:dyDescent="0.25">
      <c r="A236" t="s">
        <v>19</v>
      </c>
      <c r="B236" t="s">
        <v>34</v>
      </c>
      <c r="C236" t="s">
        <v>39</v>
      </c>
      <c r="D236" t="s">
        <v>57</v>
      </c>
      <c r="E236" s="2">
        <v>66425</v>
      </c>
      <c r="F236" s="2">
        <v>8391</v>
      </c>
      <c r="G236" t="s">
        <v>67</v>
      </c>
      <c r="H236" t="s">
        <v>56</v>
      </c>
      <c r="I236" t="s">
        <v>81</v>
      </c>
      <c r="J236" t="s">
        <v>94</v>
      </c>
      <c r="K236" t="s">
        <v>129</v>
      </c>
      <c r="L236">
        <v>15</v>
      </c>
      <c r="M236">
        <v>13</v>
      </c>
      <c r="N236" t="s">
        <v>153</v>
      </c>
      <c r="O236" t="s">
        <v>154</v>
      </c>
      <c r="P236" t="s">
        <v>285</v>
      </c>
      <c r="Q236">
        <v>1</v>
      </c>
      <c r="R236" s="9">
        <v>66425</v>
      </c>
      <c r="S236" t="str">
        <f>IF(OR(Sheet1[[#This Row],[Salary_USD]]&lt;$V$13,Sheet1[[#This Row],[Salary_USD]]&gt;$V$12),"Outlier","Normal")</f>
        <v>Normal</v>
      </c>
    </row>
    <row r="237" spans="1:19" x14ac:dyDescent="0.25">
      <c r="A237" t="s">
        <v>19</v>
      </c>
      <c r="B237" t="s">
        <v>26</v>
      </c>
      <c r="C237" t="s">
        <v>53</v>
      </c>
      <c r="D237" t="s">
        <v>451</v>
      </c>
      <c r="E237" s="2">
        <v>53093</v>
      </c>
      <c r="F237" s="2">
        <v>8988</v>
      </c>
      <c r="G237" t="s">
        <v>66</v>
      </c>
      <c r="H237" t="s">
        <v>71</v>
      </c>
      <c r="I237" t="s">
        <v>78</v>
      </c>
      <c r="J237" t="s">
        <v>105</v>
      </c>
      <c r="K237" t="s">
        <v>142</v>
      </c>
      <c r="L237">
        <v>15</v>
      </c>
      <c r="M237">
        <v>15</v>
      </c>
      <c r="N237" t="s">
        <v>150</v>
      </c>
      <c r="O237" t="s">
        <v>155</v>
      </c>
      <c r="P237" t="s">
        <v>238</v>
      </c>
      <c r="Q237">
        <v>1.2E-2</v>
      </c>
      <c r="R237" s="9">
        <v>637.11599999999999</v>
      </c>
      <c r="S237" t="str">
        <f>IF(OR(Sheet1[[#This Row],[Salary_USD]]&lt;$V$13,Sheet1[[#This Row],[Salary_USD]]&gt;$V$12),"Outlier","Normal")</f>
        <v>Normal</v>
      </c>
    </row>
    <row r="238" spans="1:19" x14ac:dyDescent="0.25">
      <c r="A238" t="s">
        <v>21</v>
      </c>
      <c r="B238" t="s">
        <v>35</v>
      </c>
      <c r="C238" t="s">
        <v>53</v>
      </c>
      <c r="D238" t="s">
        <v>59</v>
      </c>
      <c r="E238" s="2">
        <v>590855</v>
      </c>
      <c r="F238" s="2">
        <v>76903</v>
      </c>
      <c r="G238" t="s">
        <v>66</v>
      </c>
      <c r="H238" t="s">
        <v>56</v>
      </c>
      <c r="I238" t="s">
        <v>81</v>
      </c>
      <c r="J238" t="s">
        <v>103</v>
      </c>
      <c r="K238" t="s">
        <v>130</v>
      </c>
      <c r="L238">
        <v>9</v>
      </c>
      <c r="M238">
        <v>9</v>
      </c>
      <c r="N238" t="s">
        <v>149</v>
      </c>
      <c r="O238" t="s">
        <v>154</v>
      </c>
      <c r="P238" t="s">
        <v>169</v>
      </c>
      <c r="Q238">
        <v>1.2E-2</v>
      </c>
      <c r="R238" s="9">
        <v>7090.26</v>
      </c>
      <c r="S238" t="str">
        <f>IF(OR(Sheet1[[#This Row],[Salary_USD]]&lt;$V$13,Sheet1[[#This Row],[Salary_USD]]&gt;$V$12),"Outlier","Normal")</f>
        <v>Normal</v>
      </c>
    </row>
    <row r="239" spans="1:19" x14ac:dyDescent="0.25">
      <c r="A239" t="s">
        <v>17</v>
      </c>
      <c r="B239" t="s">
        <v>451</v>
      </c>
      <c r="C239" t="s">
        <v>451</v>
      </c>
      <c r="D239" t="s">
        <v>60</v>
      </c>
      <c r="E239" s="2">
        <v>0</v>
      </c>
      <c r="F239" s="2">
        <v>1356</v>
      </c>
      <c r="G239" t="s">
        <v>67</v>
      </c>
      <c r="H239" t="s">
        <v>451</v>
      </c>
      <c r="I239" t="s">
        <v>81</v>
      </c>
      <c r="J239" t="s">
        <v>94</v>
      </c>
      <c r="K239" t="s">
        <v>451</v>
      </c>
      <c r="L239">
        <v>0</v>
      </c>
      <c r="M239">
        <v>18</v>
      </c>
      <c r="N239" t="s">
        <v>150</v>
      </c>
      <c r="O239" t="s">
        <v>452</v>
      </c>
      <c r="P239" t="s">
        <v>286</v>
      </c>
      <c r="Q239">
        <v>1</v>
      </c>
      <c r="R239" s="9">
        <v>0</v>
      </c>
      <c r="S239" t="str">
        <f>IF(OR(Sheet1[[#This Row],[Salary_USD]]&lt;$V$13,Sheet1[[#This Row],[Salary_USD]]&gt;$V$12),"Outlier","Normal")</f>
        <v>Normal</v>
      </c>
    </row>
    <row r="240" spans="1:19" x14ac:dyDescent="0.25">
      <c r="A240" t="s">
        <v>20</v>
      </c>
      <c r="B240" t="s">
        <v>31</v>
      </c>
      <c r="C240" t="s">
        <v>47</v>
      </c>
      <c r="D240" t="s">
        <v>55</v>
      </c>
      <c r="E240" s="2">
        <v>17804</v>
      </c>
      <c r="F240" s="2">
        <v>2027</v>
      </c>
      <c r="G240" t="s">
        <v>67</v>
      </c>
      <c r="H240" t="s">
        <v>70</v>
      </c>
      <c r="I240" t="s">
        <v>78</v>
      </c>
      <c r="J240" t="s">
        <v>90</v>
      </c>
      <c r="K240" t="s">
        <v>138</v>
      </c>
      <c r="L240">
        <v>4</v>
      </c>
      <c r="M240">
        <v>2</v>
      </c>
      <c r="N240" t="s">
        <v>149</v>
      </c>
      <c r="O240" t="s">
        <v>154</v>
      </c>
      <c r="P240" t="s">
        <v>190</v>
      </c>
      <c r="Q240">
        <v>1</v>
      </c>
      <c r="R240" s="9">
        <v>17804</v>
      </c>
      <c r="S240" t="str">
        <f>IF(OR(Sheet1[[#This Row],[Salary_USD]]&lt;$V$13,Sheet1[[#This Row],[Salary_USD]]&gt;$V$12),"Outlier","Normal")</f>
        <v>Normal</v>
      </c>
    </row>
    <row r="241" spans="1:19" x14ac:dyDescent="0.25">
      <c r="A241" t="s">
        <v>21</v>
      </c>
      <c r="B241" t="s">
        <v>23</v>
      </c>
      <c r="C241" t="s">
        <v>39</v>
      </c>
      <c r="D241" t="s">
        <v>55</v>
      </c>
      <c r="E241" s="2">
        <v>86422</v>
      </c>
      <c r="F241" s="2">
        <v>7213</v>
      </c>
      <c r="G241" t="s">
        <v>65</v>
      </c>
      <c r="H241" t="s">
        <v>70</v>
      </c>
      <c r="I241" t="s">
        <v>79</v>
      </c>
      <c r="J241" t="s">
        <v>91</v>
      </c>
      <c r="K241" t="s">
        <v>118</v>
      </c>
      <c r="L241">
        <v>12</v>
      </c>
      <c r="M241">
        <v>11</v>
      </c>
      <c r="N241" t="s">
        <v>152</v>
      </c>
      <c r="O241" t="s">
        <v>157</v>
      </c>
      <c r="P241" t="s">
        <v>169</v>
      </c>
      <c r="Q241">
        <v>0.73</v>
      </c>
      <c r="R241" s="9">
        <v>63088.06</v>
      </c>
      <c r="S241" t="str">
        <f>IF(OR(Sheet1[[#This Row],[Salary_USD]]&lt;$V$13,Sheet1[[#This Row],[Salary_USD]]&gt;$V$12),"Outlier","Normal")</f>
        <v>Normal</v>
      </c>
    </row>
    <row r="242" spans="1:19" x14ac:dyDescent="0.25">
      <c r="A242" t="s">
        <v>21</v>
      </c>
      <c r="B242" t="s">
        <v>35</v>
      </c>
      <c r="C242" t="s">
        <v>44</v>
      </c>
      <c r="D242" t="s">
        <v>58</v>
      </c>
      <c r="E242" s="2">
        <v>1038062</v>
      </c>
      <c r="F242" s="2">
        <v>161005</v>
      </c>
      <c r="G242" t="s">
        <v>66</v>
      </c>
      <c r="H242" t="s">
        <v>451</v>
      </c>
      <c r="I242" t="s">
        <v>81</v>
      </c>
      <c r="J242" t="s">
        <v>98</v>
      </c>
      <c r="K242" t="s">
        <v>123</v>
      </c>
      <c r="L242">
        <v>10</v>
      </c>
      <c r="M242">
        <v>9</v>
      </c>
      <c r="N242" t="s">
        <v>152</v>
      </c>
      <c r="O242" t="s">
        <v>157</v>
      </c>
      <c r="P242" t="s">
        <v>287</v>
      </c>
      <c r="Q242">
        <v>1.2E-2</v>
      </c>
      <c r="R242" s="9">
        <v>12456.744000000001</v>
      </c>
      <c r="S242" t="str">
        <f>IF(OR(Sheet1[[#This Row],[Salary_USD]]&lt;$V$13,Sheet1[[#This Row],[Salary_USD]]&gt;$V$12),"Outlier","Normal")</f>
        <v>Normal</v>
      </c>
    </row>
    <row r="243" spans="1:19" x14ac:dyDescent="0.25">
      <c r="A243" t="s">
        <v>19</v>
      </c>
      <c r="B243" t="s">
        <v>35</v>
      </c>
      <c r="C243" t="s">
        <v>45</v>
      </c>
      <c r="D243" t="s">
        <v>56</v>
      </c>
      <c r="E243" s="2">
        <v>12108</v>
      </c>
      <c r="F243" s="2">
        <v>0</v>
      </c>
      <c r="G243" t="s">
        <v>68</v>
      </c>
      <c r="H243" t="s">
        <v>69</v>
      </c>
      <c r="I243" t="s">
        <v>72</v>
      </c>
      <c r="J243" t="s">
        <v>82</v>
      </c>
      <c r="K243" t="s">
        <v>112</v>
      </c>
      <c r="L243">
        <v>15</v>
      </c>
      <c r="M243">
        <v>14</v>
      </c>
      <c r="N243" t="s">
        <v>151</v>
      </c>
      <c r="O243" t="s">
        <v>157</v>
      </c>
      <c r="P243" t="s">
        <v>165</v>
      </c>
      <c r="Q243">
        <v>1.25</v>
      </c>
      <c r="R243" s="9">
        <v>15135</v>
      </c>
      <c r="S243" t="str">
        <f>IF(OR(Sheet1[[#This Row],[Salary_USD]]&lt;$V$13,Sheet1[[#This Row],[Salary_USD]]&gt;$V$12),"Outlier","Normal")</f>
        <v>Normal</v>
      </c>
    </row>
    <row r="244" spans="1:19" x14ac:dyDescent="0.25">
      <c r="A244" t="s">
        <v>17</v>
      </c>
      <c r="B244" t="s">
        <v>24</v>
      </c>
      <c r="C244" t="s">
        <v>42</v>
      </c>
      <c r="D244" t="s">
        <v>56</v>
      </c>
      <c r="E244" s="2">
        <v>110290</v>
      </c>
      <c r="F244" s="2">
        <v>15649</v>
      </c>
      <c r="G244" t="s">
        <v>67</v>
      </c>
      <c r="H244" t="s">
        <v>451</v>
      </c>
      <c r="I244" t="s">
        <v>79</v>
      </c>
      <c r="J244" t="s">
        <v>91</v>
      </c>
      <c r="K244" t="s">
        <v>118</v>
      </c>
      <c r="L244">
        <v>9</v>
      </c>
      <c r="M244">
        <v>9</v>
      </c>
      <c r="N244" t="s">
        <v>153</v>
      </c>
      <c r="O244" t="s">
        <v>156</v>
      </c>
      <c r="P244" t="s">
        <v>288</v>
      </c>
      <c r="Q244">
        <v>1</v>
      </c>
      <c r="R244" s="9">
        <v>110290</v>
      </c>
      <c r="S244" t="str">
        <f>IF(OR(Sheet1[[#This Row],[Salary_USD]]&lt;$V$13,Sheet1[[#This Row],[Salary_USD]]&gt;$V$12),"Outlier","Normal")</f>
        <v>Normal</v>
      </c>
    </row>
    <row r="245" spans="1:19" x14ac:dyDescent="0.25">
      <c r="A245" t="s">
        <v>17</v>
      </c>
      <c r="B245" t="s">
        <v>35</v>
      </c>
      <c r="C245" t="s">
        <v>39</v>
      </c>
      <c r="D245" t="s">
        <v>55</v>
      </c>
      <c r="E245" s="2">
        <v>115907</v>
      </c>
      <c r="F245" s="2">
        <v>9823</v>
      </c>
      <c r="G245" t="s">
        <v>67</v>
      </c>
      <c r="H245" t="s">
        <v>451</v>
      </c>
      <c r="I245" t="s">
        <v>81</v>
      </c>
      <c r="J245" t="s">
        <v>94</v>
      </c>
      <c r="K245" t="s">
        <v>129</v>
      </c>
      <c r="L245">
        <v>8</v>
      </c>
      <c r="M245">
        <v>8</v>
      </c>
      <c r="N245" t="s">
        <v>148</v>
      </c>
      <c r="O245" t="s">
        <v>157</v>
      </c>
      <c r="P245" t="s">
        <v>289</v>
      </c>
      <c r="Q245">
        <v>1</v>
      </c>
      <c r="R245" s="9">
        <v>115907</v>
      </c>
      <c r="S245" t="str">
        <f>IF(OR(Sheet1[[#This Row],[Salary_USD]]&lt;$V$13,Sheet1[[#This Row],[Salary_USD]]&gt;$V$12),"Outlier","Normal")</f>
        <v>Normal</v>
      </c>
    </row>
    <row r="246" spans="1:19" x14ac:dyDescent="0.25">
      <c r="A246" t="s">
        <v>21</v>
      </c>
      <c r="B246" t="s">
        <v>23</v>
      </c>
      <c r="C246" t="s">
        <v>42</v>
      </c>
      <c r="D246" t="s">
        <v>60</v>
      </c>
      <c r="E246" s="2">
        <v>125585</v>
      </c>
      <c r="F246" s="2">
        <v>10742</v>
      </c>
      <c r="G246" t="s">
        <v>67</v>
      </c>
      <c r="H246" t="s">
        <v>71</v>
      </c>
      <c r="I246" t="s">
        <v>78</v>
      </c>
      <c r="J246" t="s">
        <v>104</v>
      </c>
      <c r="K246" t="s">
        <v>131</v>
      </c>
      <c r="L246">
        <v>12</v>
      </c>
      <c r="M246">
        <v>9</v>
      </c>
      <c r="N246" t="s">
        <v>150</v>
      </c>
      <c r="O246" t="s">
        <v>155</v>
      </c>
      <c r="P246" t="s">
        <v>290</v>
      </c>
      <c r="Q246">
        <v>1</v>
      </c>
      <c r="R246" s="9">
        <v>125585</v>
      </c>
      <c r="S246" t="str">
        <f>IF(OR(Sheet1[[#This Row],[Salary_USD]]&lt;$V$13,Sheet1[[#This Row],[Salary_USD]]&gt;$V$12),"Outlier","Normal")</f>
        <v>Normal</v>
      </c>
    </row>
    <row r="247" spans="1:19" x14ac:dyDescent="0.25">
      <c r="A247" t="s">
        <v>17</v>
      </c>
      <c r="B247" t="s">
        <v>22</v>
      </c>
      <c r="C247" t="s">
        <v>50</v>
      </c>
      <c r="D247" t="s">
        <v>62</v>
      </c>
      <c r="E247" s="2">
        <v>65735</v>
      </c>
      <c r="F247" s="2">
        <v>774</v>
      </c>
      <c r="G247" t="s">
        <v>68</v>
      </c>
      <c r="H247" t="s">
        <v>70</v>
      </c>
      <c r="I247" t="s">
        <v>72</v>
      </c>
      <c r="J247" t="s">
        <v>82</v>
      </c>
      <c r="K247" t="s">
        <v>112</v>
      </c>
      <c r="L247">
        <v>15</v>
      </c>
      <c r="M247">
        <v>13</v>
      </c>
      <c r="N247" t="s">
        <v>153</v>
      </c>
      <c r="O247" t="s">
        <v>155</v>
      </c>
      <c r="P247" t="s">
        <v>283</v>
      </c>
      <c r="Q247">
        <v>1.25</v>
      </c>
      <c r="R247" s="9">
        <v>82168.75</v>
      </c>
      <c r="S247" t="str">
        <f>IF(OR(Sheet1[[#This Row],[Salary_USD]]&lt;$V$13,Sheet1[[#This Row],[Salary_USD]]&gt;$V$12),"Outlier","Normal")</f>
        <v>Normal</v>
      </c>
    </row>
    <row r="248" spans="1:19" x14ac:dyDescent="0.25">
      <c r="A248" t="s">
        <v>21</v>
      </c>
      <c r="B248" t="s">
        <v>35</v>
      </c>
      <c r="C248" t="s">
        <v>50</v>
      </c>
      <c r="D248" t="s">
        <v>59</v>
      </c>
      <c r="E248" s="2">
        <v>34204</v>
      </c>
      <c r="F248" s="2">
        <v>5904</v>
      </c>
      <c r="G248" t="s">
        <v>68</v>
      </c>
      <c r="H248" t="s">
        <v>70</v>
      </c>
      <c r="I248" t="s">
        <v>74</v>
      </c>
      <c r="J248" t="s">
        <v>84</v>
      </c>
      <c r="K248" t="s">
        <v>74</v>
      </c>
      <c r="L248">
        <v>15</v>
      </c>
      <c r="M248">
        <v>12</v>
      </c>
      <c r="N248" t="s">
        <v>149</v>
      </c>
      <c r="O248" t="s">
        <v>154</v>
      </c>
      <c r="P248" t="s">
        <v>180</v>
      </c>
      <c r="Q248">
        <v>1.25</v>
      </c>
      <c r="R248" s="9">
        <v>42755</v>
      </c>
      <c r="S248" t="str">
        <f>IF(OR(Sheet1[[#This Row],[Salary_USD]]&lt;$V$13,Sheet1[[#This Row],[Salary_USD]]&gt;$V$12),"Outlier","Normal")</f>
        <v>Normal</v>
      </c>
    </row>
    <row r="249" spans="1:19" x14ac:dyDescent="0.25">
      <c r="A249" t="s">
        <v>19</v>
      </c>
      <c r="B249" t="s">
        <v>22</v>
      </c>
      <c r="C249" t="s">
        <v>52</v>
      </c>
      <c r="D249" t="s">
        <v>55</v>
      </c>
      <c r="E249" s="2">
        <v>82149</v>
      </c>
      <c r="F249" s="2">
        <v>2140</v>
      </c>
      <c r="G249" t="s">
        <v>63</v>
      </c>
      <c r="H249" t="s">
        <v>70</v>
      </c>
      <c r="I249" t="s">
        <v>78</v>
      </c>
      <c r="J249" t="s">
        <v>105</v>
      </c>
      <c r="K249" t="s">
        <v>133</v>
      </c>
      <c r="L249">
        <v>9</v>
      </c>
      <c r="M249">
        <v>8</v>
      </c>
      <c r="N249" t="s">
        <v>148</v>
      </c>
      <c r="O249" t="s">
        <v>157</v>
      </c>
      <c r="P249" t="s">
        <v>167</v>
      </c>
      <c r="Q249">
        <v>1.1000000000000001</v>
      </c>
      <c r="R249" s="9">
        <v>90363.900000000009</v>
      </c>
      <c r="S249" t="str">
        <f>IF(OR(Sheet1[[#This Row],[Salary_USD]]&lt;$V$13,Sheet1[[#This Row],[Salary_USD]]&gt;$V$12),"Outlier","Normal")</f>
        <v>Normal</v>
      </c>
    </row>
    <row r="250" spans="1:19" x14ac:dyDescent="0.25">
      <c r="A250" t="s">
        <v>19</v>
      </c>
      <c r="B250" t="s">
        <v>35</v>
      </c>
      <c r="C250" t="s">
        <v>41</v>
      </c>
      <c r="D250" t="s">
        <v>57</v>
      </c>
      <c r="E250" s="2">
        <v>81134</v>
      </c>
      <c r="F250" s="2">
        <v>10070</v>
      </c>
      <c r="G250" t="s">
        <v>63</v>
      </c>
      <c r="H250" t="s">
        <v>70</v>
      </c>
      <c r="I250" t="s">
        <v>78</v>
      </c>
      <c r="J250" t="s">
        <v>88</v>
      </c>
      <c r="K250" t="s">
        <v>136</v>
      </c>
      <c r="L250">
        <v>12</v>
      </c>
      <c r="M250">
        <v>11</v>
      </c>
      <c r="N250" t="s">
        <v>149</v>
      </c>
      <c r="O250" t="s">
        <v>157</v>
      </c>
      <c r="P250" t="s">
        <v>189</v>
      </c>
      <c r="Q250">
        <v>1.1000000000000001</v>
      </c>
      <c r="R250" s="9">
        <v>89247.400000000009</v>
      </c>
      <c r="S250" t="str">
        <f>IF(OR(Sheet1[[#This Row],[Salary_USD]]&lt;$V$13,Sheet1[[#This Row],[Salary_USD]]&gt;$V$12),"Outlier","Normal")</f>
        <v>Normal</v>
      </c>
    </row>
    <row r="251" spans="1:19" x14ac:dyDescent="0.25">
      <c r="A251" t="s">
        <v>19</v>
      </c>
      <c r="B251" t="s">
        <v>35</v>
      </c>
      <c r="C251" t="s">
        <v>44</v>
      </c>
      <c r="D251" t="s">
        <v>62</v>
      </c>
      <c r="E251" s="2">
        <v>56917</v>
      </c>
      <c r="F251" s="2">
        <v>1683</v>
      </c>
      <c r="G251" t="s">
        <v>68</v>
      </c>
      <c r="H251" t="s">
        <v>69</v>
      </c>
      <c r="I251" t="s">
        <v>81</v>
      </c>
      <c r="J251" t="s">
        <v>94</v>
      </c>
      <c r="K251" t="s">
        <v>129</v>
      </c>
      <c r="L251">
        <v>20</v>
      </c>
      <c r="M251">
        <v>20</v>
      </c>
      <c r="N251" t="s">
        <v>149</v>
      </c>
      <c r="O251" t="s">
        <v>156</v>
      </c>
      <c r="P251" t="s">
        <v>291</v>
      </c>
      <c r="Q251">
        <v>1.25</v>
      </c>
      <c r="R251" s="9">
        <v>71146.25</v>
      </c>
      <c r="S251" t="str">
        <f>IF(OR(Sheet1[[#This Row],[Salary_USD]]&lt;$V$13,Sheet1[[#This Row],[Salary_USD]]&gt;$V$12),"Outlier","Normal")</f>
        <v>Normal</v>
      </c>
    </row>
    <row r="252" spans="1:19" x14ac:dyDescent="0.25">
      <c r="A252" t="s">
        <v>19</v>
      </c>
      <c r="B252" t="s">
        <v>35</v>
      </c>
      <c r="C252" t="s">
        <v>41</v>
      </c>
      <c r="D252" t="s">
        <v>57</v>
      </c>
      <c r="E252" s="2">
        <v>25393</v>
      </c>
      <c r="F252" s="2">
        <v>1738</v>
      </c>
      <c r="G252" t="s">
        <v>68</v>
      </c>
      <c r="H252" t="s">
        <v>71</v>
      </c>
      <c r="I252" t="s">
        <v>78</v>
      </c>
      <c r="J252" t="s">
        <v>109</v>
      </c>
      <c r="K252" t="s">
        <v>137</v>
      </c>
      <c r="L252">
        <v>20</v>
      </c>
      <c r="M252">
        <v>19</v>
      </c>
      <c r="N252" t="s">
        <v>150</v>
      </c>
      <c r="O252" t="s">
        <v>155</v>
      </c>
      <c r="P252" t="s">
        <v>292</v>
      </c>
      <c r="Q252">
        <v>1.25</v>
      </c>
      <c r="R252" s="9">
        <v>31741.25</v>
      </c>
      <c r="S252" t="str">
        <f>IF(OR(Sheet1[[#This Row],[Salary_USD]]&lt;$V$13,Sheet1[[#This Row],[Salary_USD]]&gt;$V$12),"Outlier","Normal")</f>
        <v>Normal</v>
      </c>
    </row>
    <row r="253" spans="1:19" x14ac:dyDescent="0.25">
      <c r="A253" t="s">
        <v>19</v>
      </c>
      <c r="B253" t="s">
        <v>31</v>
      </c>
      <c r="C253" t="s">
        <v>44</v>
      </c>
      <c r="D253" t="s">
        <v>57</v>
      </c>
      <c r="E253" s="2">
        <v>55440</v>
      </c>
      <c r="F253" s="2">
        <v>3789</v>
      </c>
      <c r="G253" t="s">
        <v>67</v>
      </c>
      <c r="H253" t="s">
        <v>56</v>
      </c>
      <c r="I253" t="s">
        <v>73</v>
      </c>
      <c r="J253" t="s">
        <v>83</v>
      </c>
      <c r="K253" t="s">
        <v>113</v>
      </c>
      <c r="L253">
        <v>20</v>
      </c>
      <c r="M253">
        <v>17</v>
      </c>
      <c r="N253" t="s">
        <v>149</v>
      </c>
      <c r="O253" t="s">
        <v>155</v>
      </c>
      <c r="P253" t="s">
        <v>288</v>
      </c>
      <c r="Q253">
        <v>1</v>
      </c>
      <c r="R253" s="9">
        <v>55440</v>
      </c>
      <c r="S253" t="str">
        <f>IF(OR(Sheet1[[#This Row],[Salary_USD]]&lt;$V$13,Sheet1[[#This Row],[Salary_USD]]&gt;$V$12),"Outlier","Normal")</f>
        <v>Normal</v>
      </c>
    </row>
    <row r="254" spans="1:19" x14ac:dyDescent="0.25">
      <c r="A254" t="s">
        <v>21</v>
      </c>
      <c r="B254" t="s">
        <v>28</v>
      </c>
      <c r="C254" t="s">
        <v>50</v>
      </c>
      <c r="D254" t="s">
        <v>55</v>
      </c>
      <c r="E254" s="2">
        <v>48268</v>
      </c>
      <c r="F254" s="2">
        <v>6495</v>
      </c>
      <c r="G254" t="s">
        <v>65</v>
      </c>
      <c r="H254" t="s">
        <v>70</v>
      </c>
      <c r="I254" t="s">
        <v>72</v>
      </c>
      <c r="J254" t="s">
        <v>82</v>
      </c>
      <c r="K254" t="s">
        <v>112</v>
      </c>
      <c r="L254">
        <v>25</v>
      </c>
      <c r="M254">
        <v>24</v>
      </c>
      <c r="N254" t="s">
        <v>150</v>
      </c>
      <c r="O254" t="s">
        <v>154</v>
      </c>
      <c r="P254" t="s">
        <v>293</v>
      </c>
      <c r="Q254">
        <v>0.73</v>
      </c>
      <c r="R254" s="9">
        <v>35235.64</v>
      </c>
      <c r="S254" t="str">
        <f>IF(OR(Sheet1[[#This Row],[Salary_USD]]&lt;$V$13,Sheet1[[#This Row],[Salary_USD]]&gt;$V$12),"Outlier","Normal")</f>
        <v>Normal</v>
      </c>
    </row>
    <row r="255" spans="1:19" x14ac:dyDescent="0.25">
      <c r="A255" t="s">
        <v>20</v>
      </c>
      <c r="B255" t="s">
        <v>23</v>
      </c>
      <c r="C255" t="s">
        <v>47</v>
      </c>
      <c r="D255" t="s">
        <v>57</v>
      </c>
      <c r="E255" s="2">
        <v>34893</v>
      </c>
      <c r="F255" s="2">
        <v>1436</v>
      </c>
      <c r="G255" t="s">
        <v>67</v>
      </c>
      <c r="H255" t="s">
        <v>71</v>
      </c>
      <c r="I255" t="s">
        <v>80</v>
      </c>
      <c r="J255" t="s">
        <v>93</v>
      </c>
      <c r="K255" t="s">
        <v>93</v>
      </c>
      <c r="L255">
        <v>0</v>
      </c>
      <c r="M255">
        <v>0</v>
      </c>
      <c r="N255" t="s">
        <v>152</v>
      </c>
      <c r="O255" t="s">
        <v>154</v>
      </c>
      <c r="P255" t="s">
        <v>188</v>
      </c>
      <c r="Q255">
        <v>1</v>
      </c>
      <c r="R255" s="9">
        <v>34893</v>
      </c>
      <c r="S255" t="str">
        <f>IF(OR(Sheet1[[#This Row],[Salary_USD]]&lt;$V$13,Sheet1[[#This Row],[Salary_USD]]&gt;$V$12),"Outlier","Normal")</f>
        <v>Normal</v>
      </c>
    </row>
    <row r="256" spans="1:19" x14ac:dyDescent="0.25">
      <c r="A256" t="s">
        <v>20</v>
      </c>
      <c r="B256" t="s">
        <v>22</v>
      </c>
      <c r="C256" t="s">
        <v>43</v>
      </c>
      <c r="D256" t="s">
        <v>55</v>
      </c>
      <c r="E256" s="2">
        <v>113261</v>
      </c>
      <c r="F256" s="2">
        <v>0</v>
      </c>
      <c r="G256" t="s">
        <v>65</v>
      </c>
      <c r="H256" t="s">
        <v>70</v>
      </c>
      <c r="I256" t="s">
        <v>72</v>
      </c>
      <c r="J256" t="s">
        <v>82</v>
      </c>
      <c r="K256" t="s">
        <v>112</v>
      </c>
      <c r="L256">
        <v>5</v>
      </c>
      <c r="M256">
        <v>3</v>
      </c>
      <c r="N256" t="s">
        <v>150</v>
      </c>
      <c r="O256" t="s">
        <v>155</v>
      </c>
      <c r="P256" t="s">
        <v>189</v>
      </c>
      <c r="Q256">
        <v>0.73</v>
      </c>
      <c r="R256" s="9">
        <v>82680.53</v>
      </c>
      <c r="S256" t="str">
        <f>IF(OR(Sheet1[[#This Row],[Salary_USD]]&lt;$V$13,Sheet1[[#This Row],[Salary_USD]]&gt;$V$12),"Outlier","Normal")</f>
        <v>Normal</v>
      </c>
    </row>
    <row r="257" spans="1:19" x14ac:dyDescent="0.25">
      <c r="A257" t="s">
        <v>18</v>
      </c>
      <c r="B257" t="s">
        <v>24</v>
      </c>
      <c r="C257" t="s">
        <v>51</v>
      </c>
      <c r="D257" t="s">
        <v>61</v>
      </c>
      <c r="E257" s="2">
        <v>123213</v>
      </c>
      <c r="F257" s="2">
        <v>0</v>
      </c>
      <c r="G257" t="s">
        <v>67</v>
      </c>
      <c r="H257" t="s">
        <v>451</v>
      </c>
      <c r="I257" t="s">
        <v>79</v>
      </c>
      <c r="J257" t="s">
        <v>107</v>
      </c>
      <c r="K257" t="s">
        <v>134</v>
      </c>
      <c r="L257">
        <v>0</v>
      </c>
      <c r="M257">
        <v>0</v>
      </c>
      <c r="N257" t="s">
        <v>149</v>
      </c>
      <c r="O257" t="s">
        <v>157</v>
      </c>
      <c r="P257" t="s">
        <v>171</v>
      </c>
      <c r="Q257">
        <v>1</v>
      </c>
      <c r="R257" s="9">
        <v>123213</v>
      </c>
      <c r="S257" t="str">
        <f>IF(OR(Sheet1[[#This Row],[Salary_USD]]&lt;$V$13,Sheet1[[#This Row],[Salary_USD]]&gt;$V$12),"Outlier","Normal")</f>
        <v>Normal</v>
      </c>
    </row>
    <row r="258" spans="1:19" x14ac:dyDescent="0.25">
      <c r="A258" t="s">
        <v>18</v>
      </c>
      <c r="B258" t="s">
        <v>35</v>
      </c>
      <c r="C258" t="s">
        <v>47</v>
      </c>
      <c r="D258" t="s">
        <v>451</v>
      </c>
      <c r="E258" s="2">
        <v>85875</v>
      </c>
      <c r="F258" s="2">
        <v>8325</v>
      </c>
      <c r="G258" t="s">
        <v>65</v>
      </c>
      <c r="H258" t="s">
        <v>451</v>
      </c>
      <c r="I258" t="s">
        <v>77</v>
      </c>
      <c r="J258" t="s">
        <v>111</v>
      </c>
      <c r="K258" t="s">
        <v>146</v>
      </c>
      <c r="L258">
        <v>0</v>
      </c>
      <c r="M258">
        <v>0</v>
      </c>
      <c r="N258" t="s">
        <v>148</v>
      </c>
      <c r="O258" t="s">
        <v>157</v>
      </c>
      <c r="P258" t="s">
        <v>180</v>
      </c>
      <c r="Q258">
        <v>0.73</v>
      </c>
      <c r="R258" s="9">
        <v>62688.75</v>
      </c>
      <c r="S258" t="str">
        <f>IF(OR(Sheet1[[#This Row],[Salary_USD]]&lt;$V$13,Sheet1[[#This Row],[Salary_USD]]&gt;$V$12),"Outlier","Normal")</f>
        <v>Normal</v>
      </c>
    </row>
    <row r="259" spans="1:19" x14ac:dyDescent="0.25">
      <c r="A259" t="s">
        <v>19</v>
      </c>
      <c r="B259" t="s">
        <v>33</v>
      </c>
      <c r="C259" t="s">
        <v>51</v>
      </c>
      <c r="D259" t="s">
        <v>54</v>
      </c>
      <c r="E259" s="2">
        <v>680397</v>
      </c>
      <c r="F259" s="2">
        <v>385</v>
      </c>
      <c r="G259" t="s">
        <v>66</v>
      </c>
      <c r="H259" t="s">
        <v>69</v>
      </c>
      <c r="I259" t="s">
        <v>74</v>
      </c>
      <c r="J259" t="s">
        <v>84</v>
      </c>
      <c r="K259" t="s">
        <v>74</v>
      </c>
      <c r="L259">
        <v>4</v>
      </c>
      <c r="M259">
        <v>4</v>
      </c>
      <c r="N259" t="s">
        <v>150</v>
      </c>
      <c r="O259" t="s">
        <v>157</v>
      </c>
      <c r="P259" t="s">
        <v>174</v>
      </c>
      <c r="Q259">
        <v>1.2E-2</v>
      </c>
      <c r="R259" s="9">
        <v>8164.7640000000001</v>
      </c>
      <c r="S259" t="str">
        <f>IF(OR(Sheet1[[#This Row],[Salary_USD]]&lt;$V$13,Sheet1[[#This Row],[Salary_USD]]&gt;$V$12),"Outlier","Normal")</f>
        <v>Normal</v>
      </c>
    </row>
    <row r="260" spans="1:19" x14ac:dyDescent="0.25">
      <c r="A260" t="s">
        <v>19</v>
      </c>
      <c r="B260" t="s">
        <v>24</v>
      </c>
      <c r="C260" t="s">
        <v>49</v>
      </c>
      <c r="D260" t="s">
        <v>59</v>
      </c>
      <c r="E260" s="2">
        <v>55745</v>
      </c>
      <c r="F260" s="2">
        <v>431</v>
      </c>
      <c r="G260" t="s">
        <v>65</v>
      </c>
      <c r="H260" t="s">
        <v>71</v>
      </c>
      <c r="I260" t="s">
        <v>75</v>
      </c>
      <c r="J260" t="s">
        <v>96</v>
      </c>
      <c r="K260" t="s">
        <v>121</v>
      </c>
      <c r="L260">
        <v>25</v>
      </c>
      <c r="M260">
        <v>25</v>
      </c>
      <c r="N260" t="s">
        <v>152</v>
      </c>
      <c r="O260" t="s">
        <v>154</v>
      </c>
      <c r="P260" t="s">
        <v>189</v>
      </c>
      <c r="Q260">
        <v>0.73</v>
      </c>
      <c r="R260" s="9">
        <v>40693.85</v>
      </c>
      <c r="S260" t="str">
        <f>IF(OR(Sheet1[[#This Row],[Salary_USD]]&lt;$V$13,Sheet1[[#This Row],[Salary_USD]]&gt;$V$12),"Outlier","Normal")</f>
        <v>Normal</v>
      </c>
    </row>
    <row r="261" spans="1:19" x14ac:dyDescent="0.25">
      <c r="A261" t="s">
        <v>17</v>
      </c>
      <c r="B261" t="s">
        <v>31</v>
      </c>
      <c r="C261" t="s">
        <v>42</v>
      </c>
      <c r="D261" t="s">
        <v>57</v>
      </c>
      <c r="E261" s="2">
        <v>846930</v>
      </c>
      <c r="F261" s="2">
        <v>82775</v>
      </c>
      <c r="G261" t="s">
        <v>66</v>
      </c>
      <c r="H261" t="s">
        <v>70</v>
      </c>
      <c r="I261" t="s">
        <v>79</v>
      </c>
      <c r="J261" t="s">
        <v>107</v>
      </c>
      <c r="K261" t="s">
        <v>134</v>
      </c>
      <c r="L261">
        <v>8</v>
      </c>
      <c r="M261">
        <v>8</v>
      </c>
      <c r="N261" t="s">
        <v>148</v>
      </c>
      <c r="O261" t="s">
        <v>154</v>
      </c>
      <c r="P261" t="s">
        <v>208</v>
      </c>
      <c r="Q261">
        <v>1.2E-2</v>
      </c>
      <c r="R261" s="9">
        <v>10163.16</v>
      </c>
      <c r="S261" t="str">
        <f>IF(OR(Sheet1[[#This Row],[Salary_USD]]&lt;$V$13,Sheet1[[#This Row],[Salary_USD]]&gt;$V$12),"Outlier","Normal")</f>
        <v>Normal</v>
      </c>
    </row>
    <row r="262" spans="1:19" x14ac:dyDescent="0.25">
      <c r="A262" t="s">
        <v>19</v>
      </c>
      <c r="B262" t="s">
        <v>24</v>
      </c>
      <c r="C262" t="s">
        <v>44</v>
      </c>
      <c r="D262" t="s">
        <v>54</v>
      </c>
      <c r="E262" s="2">
        <v>129336</v>
      </c>
      <c r="F262" s="2">
        <v>4841</v>
      </c>
      <c r="G262" t="s">
        <v>64</v>
      </c>
      <c r="H262" t="s">
        <v>451</v>
      </c>
      <c r="I262" t="s">
        <v>79</v>
      </c>
      <c r="J262" t="s">
        <v>91</v>
      </c>
      <c r="K262" t="s">
        <v>118</v>
      </c>
      <c r="L262">
        <v>4</v>
      </c>
      <c r="M262">
        <v>1</v>
      </c>
      <c r="N262" t="s">
        <v>153</v>
      </c>
      <c r="O262" t="s">
        <v>157</v>
      </c>
      <c r="P262" t="s">
        <v>169</v>
      </c>
      <c r="Q262">
        <v>0.65</v>
      </c>
      <c r="R262" s="9">
        <v>84068.400000000009</v>
      </c>
      <c r="S262" t="str">
        <f>IF(OR(Sheet1[[#This Row],[Salary_USD]]&lt;$V$13,Sheet1[[#This Row],[Salary_USD]]&gt;$V$12),"Outlier","Normal")</f>
        <v>Normal</v>
      </c>
    </row>
    <row r="263" spans="1:19" x14ac:dyDescent="0.25">
      <c r="A263" t="s">
        <v>20</v>
      </c>
      <c r="B263" t="s">
        <v>22</v>
      </c>
      <c r="C263" t="s">
        <v>36</v>
      </c>
      <c r="D263" t="s">
        <v>54</v>
      </c>
      <c r="E263" s="2">
        <v>64583</v>
      </c>
      <c r="F263" s="2">
        <v>6607</v>
      </c>
      <c r="G263" t="s">
        <v>65</v>
      </c>
      <c r="H263" t="s">
        <v>71</v>
      </c>
      <c r="I263" t="s">
        <v>78</v>
      </c>
      <c r="J263" t="s">
        <v>104</v>
      </c>
      <c r="K263" t="s">
        <v>131</v>
      </c>
      <c r="L263">
        <v>1</v>
      </c>
      <c r="M263">
        <v>0</v>
      </c>
      <c r="N263" t="s">
        <v>148</v>
      </c>
      <c r="O263" t="s">
        <v>155</v>
      </c>
      <c r="P263" t="s">
        <v>271</v>
      </c>
      <c r="Q263">
        <v>0.73</v>
      </c>
      <c r="R263" s="9">
        <v>47145.59</v>
      </c>
      <c r="S263" t="str">
        <f>IF(OR(Sheet1[[#This Row],[Salary_USD]]&lt;$V$13,Sheet1[[#This Row],[Salary_USD]]&gt;$V$12),"Outlier","Normal")</f>
        <v>Normal</v>
      </c>
    </row>
    <row r="264" spans="1:19" x14ac:dyDescent="0.25">
      <c r="A264" t="s">
        <v>20</v>
      </c>
      <c r="B264" t="s">
        <v>34</v>
      </c>
      <c r="C264" t="s">
        <v>40</v>
      </c>
      <c r="D264" t="s">
        <v>61</v>
      </c>
      <c r="E264" s="2">
        <v>115633</v>
      </c>
      <c r="F264" s="2">
        <v>11760</v>
      </c>
      <c r="G264" t="s">
        <v>67</v>
      </c>
      <c r="H264" t="s">
        <v>69</v>
      </c>
      <c r="I264" t="s">
        <v>80</v>
      </c>
      <c r="J264" t="s">
        <v>106</v>
      </c>
      <c r="K264" t="s">
        <v>106</v>
      </c>
      <c r="L264">
        <v>0</v>
      </c>
      <c r="M264">
        <v>0</v>
      </c>
      <c r="N264" t="s">
        <v>148</v>
      </c>
      <c r="O264" t="s">
        <v>156</v>
      </c>
      <c r="P264" t="s">
        <v>243</v>
      </c>
      <c r="Q264">
        <v>1</v>
      </c>
      <c r="R264" s="9">
        <v>115633</v>
      </c>
      <c r="S264" t="str">
        <f>IF(OR(Sheet1[[#This Row],[Salary_USD]]&lt;$V$13,Sheet1[[#This Row],[Salary_USD]]&gt;$V$12),"Outlier","Normal")</f>
        <v>Normal</v>
      </c>
    </row>
    <row r="265" spans="1:19" x14ac:dyDescent="0.25">
      <c r="A265" t="s">
        <v>19</v>
      </c>
      <c r="B265" t="s">
        <v>35</v>
      </c>
      <c r="C265" t="s">
        <v>51</v>
      </c>
      <c r="D265" t="s">
        <v>57</v>
      </c>
      <c r="E265" s="2">
        <v>44449</v>
      </c>
      <c r="F265" s="2">
        <v>0</v>
      </c>
      <c r="G265" t="s">
        <v>64</v>
      </c>
      <c r="H265" t="s">
        <v>69</v>
      </c>
      <c r="I265" t="s">
        <v>77</v>
      </c>
      <c r="J265" t="s">
        <v>87</v>
      </c>
      <c r="K265" t="s">
        <v>143</v>
      </c>
      <c r="L265">
        <v>25</v>
      </c>
      <c r="M265">
        <v>25</v>
      </c>
      <c r="N265" t="s">
        <v>149</v>
      </c>
      <c r="O265" t="s">
        <v>155</v>
      </c>
      <c r="P265" t="s">
        <v>178</v>
      </c>
      <c r="Q265">
        <v>0.65</v>
      </c>
      <c r="R265" s="9">
        <v>28891.850000000002</v>
      </c>
      <c r="S265" t="str">
        <f>IF(OR(Sheet1[[#This Row],[Salary_USD]]&lt;$V$13,Sheet1[[#This Row],[Salary_USD]]&gt;$V$12),"Outlier","Normal")</f>
        <v>Normal</v>
      </c>
    </row>
    <row r="266" spans="1:19" x14ac:dyDescent="0.25">
      <c r="A266" t="s">
        <v>17</v>
      </c>
      <c r="B266" t="s">
        <v>31</v>
      </c>
      <c r="C266" t="s">
        <v>40</v>
      </c>
      <c r="D266" t="s">
        <v>58</v>
      </c>
      <c r="E266" s="2">
        <v>135391</v>
      </c>
      <c r="F266" s="2">
        <v>1585</v>
      </c>
      <c r="G266" t="s">
        <v>66</v>
      </c>
      <c r="H266" t="s">
        <v>56</v>
      </c>
      <c r="I266" t="s">
        <v>78</v>
      </c>
      <c r="J266" t="s">
        <v>88</v>
      </c>
      <c r="K266" t="s">
        <v>128</v>
      </c>
      <c r="L266">
        <v>15</v>
      </c>
      <c r="M266">
        <v>13</v>
      </c>
      <c r="N266" t="s">
        <v>151</v>
      </c>
      <c r="O266" t="s">
        <v>156</v>
      </c>
      <c r="P266" t="s">
        <v>294</v>
      </c>
      <c r="Q266">
        <v>1.2E-2</v>
      </c>
      <c r="R266" s="9">
        <v>1624.692</v>
      </c>
      <c r="S266" t="str">
        <f>IF(OR(Sheet1[[#This Row],[Salary_USD]]&lt;$V$13,Sheet1[[#This Row],[Salary_USD]]&gt;$V$12),"Outlier","Normal")</f>
        <v>Normal</v>
      </c>
    </row>
    <row r="267" spans="1:19" x14ac:dyDescent="0.25">
      <c r="A267" t="s">
        <v>19</v>
      </c>
      <c r="B267" t="s">
        <v>33</v>
      </c>
      <c r="C267" t="s">
        <v>43</v>
      </c>
      <c r="D267" t="s">
        <v>59</v>
      </c>
      <c r="E267" s="2">
        <v>142771</v>
      </c>
      <c r="F267" s="2">
        <v>27803</v>
      </c>
      <c r="G267" t="s">
        <v>65</v>
      </c>
      <c r="H267" t="s">
        <v>451</v>
      </c>
      <c r="I267" t="s">
        <v>79</v>
      </c>
      <c r="J267" t="s">
        <v>107</v>
      </c>
      <c r="K267" t="s">
        <v>134</v>
      </c>
      <c r="L267">
        <v>5</v>
      </c>
      <c r="M267">
        <v>5</v>
      </c>
      <c r="N267" t="s">
        <v>152</v>
      </c>
      <c r="O267" t="s">
        <v>156</v>
      </c>
      <c r="P267" t="s">
        <v>182</v>
      </c>
      <c r="Q267">
        <v>0.73</v>
      </c>
      <c r="R267" s="9">
        <v>104222.83</v>
      </c>
      <c r="S267" t="str">
        <f>IF(OR(Sheet1[[#This Row],[Salary_USD]]&lt;$V$13,Sheet1[[#This Row],[Salary_USD]]&gt;$V$12),"Outlier","Normal")</f>
        <v>Normal</v>
      </c>
    </row>
    <row r="268" spans="1:19" x14ac:dyDescent="0.25">
      <c r="A268" t="s">
        <v>18</v>
      </c>
      <c r="B268" t="s">
        <v>22</v>
      </c>
      <c r="C268" t="s">
        <v>42</v>
      </c>
      <c r="D268" t="s">
        <v>59</v>
      </c>
      <c r="E268" s="2">
        <v>101167</v>
      </c>
      <c r="F268" s="2">
        <v>13905</v>
      </c>
      <c r="G268" t="s">
        <v>64</v>
      </c>
      <c r="H268" t="s">
        <v>70</v>
      </c>
      <c r="I268" t="s">
        <v>75</v>
      </c>
      <c r="J268" t="s">
        <v>85</v>
      </c>
      <c r="K268" t="s">
        <v>114</v>
      </c>
      <c r="L268">
        <v>0</v>
      </c>
      <c r="M268">
        <v>0</v>
      </c>
      <c r="N268" t="s">
        <v>152</v>
      </c>
      <c r="O268" t="s">
        <v>156</v>
      </c>
      <c r="P268" t="s">
        <v>166</v>
      </c>
      <c r="Q268">
        <v>0.65</v>
      </c>
      <c r="R268" s="9">
        <v>65758.55</v>
      </c>
      <c r="S268" t="str">
        <f>IF(OR(Sheet1[[#This Row],[Salary_USD]]&lt;$V$13,Sheet1[[#This Row],[Salary_USD]]&gt;$V$12),"Outlier","Normal")</f>
        <v>Normal</v>
      </c>
    </row>
    <row r="269" spans="1:19" x14ac:dyDescent="0.25">
      <c r="A269" t="s">
        <v>17</v>
      </c>
      <c r="B269" t="s">
        <v>22</v>
      </c>
      <c r="C269" t="s">
        <v>36</v>
      </c>
      <c r="D269" t="s">
        <v>55</v>
      </c>
      <c r="E269" s="2">
        <v>55766</v>
      </c>
      <c r="F269" s="2">
        <v>0</v>
      </c>
      <c r="G269" t="s">
        <v>68</v>
      </c>
      <c r="H269" t="s">
        <v>71</v>
      </c>
      <c r="I269" t="s">
        <v>78</v>
      </c>
      <c r="J269" t="s">
        <v>104</v>
      </c>
      <c r="K269" t="s">
        <v>131</v>
      </c>
      <c r="L269">
        <v>8</v>
      </c>
      <c r="M269">
        <v>5</v>
      </c>
      <c r="N269" t="s">
        <v>152</v>
      </c>
      <c r="O269" t="s">
        <v>154</v>
      </c>
      <c r="P269" t="s">
        <v>253</v>
      </c>
      <c r="Q269">
        <v>1.25</v>
      </c>
      <c r="R269" s="9">
        <v>69707.5</v>
      </c>
      <c r="S269" t="str">
        <f>IF(OR(Sheet1[[#This Row],[Salary_USD]]&lt;$V$13,Sheet1[[#This Row],[Salary_USD]]&gt;$V$12),"Outlier","Normal")</f>
        <v>Normal</v>
      </c>
    </row>
    <row r="270" spans="1:19" x14ac:dyDescent="0.25">
      <c r="A270" t="s">
        <v>19</v>
      </c>
      <c r="B270" t="s">
        <v>33</v>
      </c>
      <c r="C270" t="s">
        <v>45</v>
      </c>
      <c r="D270" t="s">
        <v>61</v>
      </c>
      <c r="E270" s="2">
        <v>80634</v>
      </c>
      <c r="F270" s="2">
        <v>3234</v>
      </c>
      <c r="G270" t="s">
        <v>67</v>
      </c>
      <c r="H270" t="s">
        <v>70</v>
      </c>
      <c r="I270" t="s">
        <v>74</v>
      </c>
      <c r="J270" t="s">
        <v>84</v>
      </c>
      <c r="K270" t="s">
        <v>74</v>
      </c>
      <c r="L270">
        <v>2</v>
      </c>
      <c r="M270">
        <v>2</v>
      </c>
      <c r="N270" t="s">
        <v>150</v>
      </c>
      <c r="O270" t="s">
        <v>156</v>
      </c>
      <c r="P270" t="s">
        <v>295</v>
      </c>
      <c r="Q270">
        <v>1</v>
      </c>
      <c r="R270" s="9">
        <v>80634</v>
      </c>
      <c r="S270" t="str">
        <f>IF(OR(Sheet1[[#This Row],[Salary_USD]]&lt;$V$13,Sheet1[[#This Row],[Salary_USD]]&gt;$V$12),"Outlier","Normal")</f>
        <v>Normal</v>
      </c>
    </row>
    <row r="271" spans="1:19" x14ac:dyDescent="0.25">
      <c r="A271" t="s">
        <v>19</v>
      </c>
      <c r="B271" t="s">
        <v>31</v>
      </c>
      <c r="C271" t="s">
        <v>36</v>
      </c>
      <c r="D271" t="s">
        <v>60</v>
      </c>
      <c r="E271" s="2">
        <v>1347452</v>
      </c>
      <c r="F271" s="2">
        <v>43106</v>
      </c>
      <c r="G271" t="s">
        <v>66</v>
      </c>
      <c r="H271" t="s">
        <v>70</v>
      </c>
      <c r="I271" t="s">
        <v>78</v>
      </c>
      <c r="J271" t="s">
        <v>104</v>
      </c>
      <c r="K271" t="s">
        <v>131</v>
      </c>
      <c r="L271">
        <v>20</v>
      </c>
      <c r="M271">
        <v>19</v>
      </c>
      <c r="N271" t="s">
        <v>150</v>
      </c>
      <c r="O271" t="s">
        <v>157</v>
      </c>
      <c r="P271" t="s">
        <v>181</v>
      </c>
      <c r="Q271">
        <v>1.2E-2</v>
      </c>
      <c r="R271" s="9">
        <v>16169.424000000001</v>
      </c>
      <c r="S271" t="str">
        <f>IF(OR(Sheet1[[#This Row],[Salary_USD]]&lt;$V$13,Sheet1[[#This Row],[Salary_USD]]&gt;$V$12),"Outlier","Normal")</f>
        <v>Normal</v>
      </c>
    </row>
    <row r="272" spans="1:19" x14ac:dyDescent="0.25">
      <c r="A272" t="s">
        <v>20</v>
      </c>
      <c r="B272" t="s">
        <v>23</v>
      </c>
      <c r="C272" t="s">
        <v>52</v>
      </c>
      <c r="D272" t="s">
        <v>54</v>
      </c>
      <c r="E272" s="2">
        <v>79760</v>
      </c>
      <c r="F272" s="2">
        <v>0</v>
      </c>
      <c r="G272" t="s">
        <v>65</v>
      </c>
      <c r="H272" t="s">
        <v>70</v>
      </c>
      <c r="I272" t="s">
        <v>77</v>
      </c>
      <c r="J272" t="s">
        <v>89</v>
      </c>
      <c r="K272" t="s">
        <v>124</v>
      </c>
      <c r="L272">
        <v>7</v>
      </c>
      <c r="M272">
        <v>5</v>
      </c>
      <c r="N272" t="s">
        <v>151</v>
      </c>
      <c r="O272" t="s">
        <v>156</v>
      </c>
      <c r="P272" t="s">
        <v>238</v>
      </c>
      <c r="Q272">
        <v>0.73</v>
      </c>
      <c r="R272" s="9">
        <v>58224.799999999996</v>
      </c>
      <c r="S272" t="str">
        <f>IF(OR(Sheet1[[#This Row],[Salary_USD]]&lt;$V$13,Sheet1[[#This Row],[Salary_USD]]&gt;$V$12),"Outlier","Normal")</f>
        <v>Normal</v>
      </c>
    </row>
    <row r="273" spans="1:19" x14ac:dyDescent="0.25">
      <c r="A273" t="s">
        <v>20</v>
      </c>
      <c r="B273" t="s">
        <v>32</v>
      </c>
      <c r="C273" t="s">
        <v>46</v>
      </c>
      <c r="D273" t="s">
        <v>59</v>
      </c>
      <c r="E273" s="2">
        <v>100442</v>
      </c>
      <c r="F273" s="2">
        <v>19504</v>
      </c>
      <c r="G273" t="s">
        <v>67</v>
      </c>
      <c r="H273" t="s">
        <v>71</v>
      </c>
      <c r="I273" t="s">
        <v>75</v>
      </c>
      <c r="J273" t="s">
        <v>108</v>
      </c>
      <c r="K273" t="s">
        <v>135</v>
      </c>
      <c r="L273">
        <v>2</v>
      </c>
      <c r="M273">
        <v>2</v>
      </c>
      <c r="N273" t="s">
        <v>151</v>
      </c>
      <c r="O273" t="s">
        <v>156</v>
      </c>
      <c r="P273" t="s">
        <v>271</v>
      </c>
      <c r="Q273">
        <v>1</v>
      </c>
      <c r="R273" s="9">
        <v>100442</v>
      </c>
      <c r="S273" t="str">
        <f>IF(OR(Sheet1[[#This Row],[Salary_USD]]&lt;$V$13,Sheet1[[#This Row],[Salary_USD]]&gt;$V$12),"Outlier","Normal")</f>
        <v>Normal</v>
      </c>
    </row>
    <row r="274" spans="1:19" x14ac:dyDescent="0.25">
      <c r="A274" t="s">
        <v>19</v>
      </c>
      <c r="B274" t="s">
        <v>29</v>
      </c>
      <c r="C274" t="s">
        <v>53</v>
      </c>
      <c r="D274" t="s">
        <v>61</v>
      </c>
      <c r="E274" s="2">
        <v>83972</v>
      </c>
      <c r="F274" s="2">
        <v>0</v>
      </c>
      <c r="G274" t="s">
        <v>68</v>
      </c>
      <c r="H274" t="s">
        <v>71</v>
      </c>
      <c r="I274" t="s">
        <v>72</v>
      </c>
      <c r="J274" t="s">
        <v>95</v>
      </c>
      <c r="K274" t="s">
        <v>120</v>
      </c>
      <c r="L274">
        <v>2</v>
      </c>
      <c r="M274">
        <v>2</v>
      </c>
      <c r="N274" t="s">
        <v>153</v>
      </c>
      <c r="O274" t="s">
        <v>156</v>
      </c>
      <c r="P274" t="s">
        <v>181</v>
      </c>
      <c r="Q274">
        <v>1.25</v>
      </c>
      <c r="R274" s="9">
        <v>104965</v>
      </c>
      <c r="S274" t="str">
        <f>IF(OR(Sheet1[[#This Row],[Salary_USD]]&lt;$V$13,Sheet1[[#This Row],[Salary_USD]]&gt;$V$12),"Outlier","Normal")</f>
        <v>Normal</v>
      </c>
    </row>
    <row r="275" spans="1:19" x14ac:dyDescent="0.25">
      <c r="A275" t="s">
        <v>20</v>
      </c>
      <c r="B275" t="s">
        <v>33</v>
      </c>
      <c r="C275" t="s">
        <v>39</v>
      </c>
      <c r="D275" t="s">
        <v>57</v>
      </c>
      <c r="E275" s="2">
        <v>80041</v>
      </c>
      <c r="F275" s="2">
        <v>7143</v>
      </c>
      <c r="G275" t="s">
        <v>67</v>
      </c>
      <c r="H275" t="s">
        <v>71</v>
      </c>
      <c r="I275" t="s">
        <v>78</v>
      </c>
      <c r="J275" t="s">
        <v>109</v>
      </c>
      <c r="K275" t="s">
        <v>137</v>
      </c>
      <c r="L275">
        <v>7</v>
      </c>
      <c r="M275">
        <v>7</v>
      </c>
      <c r="N275" t="s">
        <v>148</v>
      </c>
      <c r="O275" t="s">
        <v>154</v>
      </c>
      <c r="P275" t="s">
        <v>296</v>
      </c>
      <c r="Q275">
        <v>1</v>
      </c>
      <c r="R275" s="9">
        <v>80041</v>
      </c>
      <c r="S275" t="str">
        <f>IF(OR(Sheet1[[#This Row],[Salary_USD]]&lt;$V$13,Sheet1[[#This Row],[Salary_USD]]&gt;$V$12),"Outlier","Normal")</f>
        <v>Normal</v>
      </c>
    </row>
    <row r="276" spans="1:19" x14ac:dyDescent="0.25">
      <c r="A276" t="s">
        <v>19</v>
      </c>
      <c r="B276" t="s">
        <v>28</v>
      </c>
      <c r="C276" t="s">
        <v>52</v>
      </c>
      <c r="D276" t="s">
        <v>451</v>
      </c>
      <c r="E276" s="2">
        <v>135401</v>
      </c>
      <c r="F276" s="2">
        <v>383</v>
      </c>
      <c r="G276" t="s">
        <v>65</v>
      </c>
      <c r="H276" t="s">
        <v>56</v>
      </c>
      <c r="I276" t="s">
        <v>79</v>
      </c>
      <c r="J276" t="s">
        <v>107</v>
      </c>
      <c r="K276" t="s">
        <v>134</v>
      </c>
      <c r="L276">
        <v>7</v>
      </c>
      <c r="M276">
        <v>7</v>
      </c>
      <c r="N276" t="s">
        <v>150</v>
      </c>
      <c r="O276" t="s">
        <v>154</v>
      </c>
      <c r="P276" t="s">
        <v>171</v>
      </c>
      <c r="Q276">
        <v>0.73</v>
      </c>
      <c r="R276" s="9">
        <v>98842.73</v>
      </c>
      <c r="S276" t="str">
        <f>IF(OR(Sheet1[[#This Row],[Salary_USD]]&lt;$V$13,Sheet1[[#This Row],[Salary_USD]]&gt;$V$12),"Outlier","Normal")</f>
        <v>Normal</v>
      </c>
    </row>
    <row r="277" spans="1:19" x14ac:dyDescent="0.25">
      <c r="A277" t="s">
        <v>17</v>
      </c>
      <c r="B277" t="s">
        <v>31</v>
      </c>
      <c r="C277" t="s">
        <v>48</v>
      </c>
      <c r="D277" t="s">
        <v>62</v>
      </c>
      <c r="E277" s="2">
        <v>104863</v>
      </c>
      <c r="F277" s="2">
        <v>259</v>
      </c>
      <c r="G277" t="s">
        <v>64</v>
      </c>
      <c r="H277" t="s">
        <v>71</v>
      </c>
      <c r="I277" t="s">
        <v>73</v>
      </c>
      <c r="J277" t="s">
        <v>102</v>
      </c>
      <c r="K277" t="s">
        <v>102</v>
      </c>
      <c r="L277">
        <v>12</v>
      </c>
      <c r="M277">
        <v>10</v>
      </c>
      <c r="N277" t="s">
        <v>148</v>
      </c>
      <c r="O277" t="s">
        <v>156</v>
      </c>
      <c r="P277" t="s">
        <v>180</v>
      </c>
      <c r="Q277">
        <v>0.65</v>
      </c>
      <c r="R277" s="9">
        <v>68160.95</v>
      </c>
      <c r="S277" t="str">
        <f>IF(OR(Sheet1[[#This Row],[Salary_USD]]&lt;$V$13,Sheet1[[#This Row],[Salary_USD]]&gt;$V$12),"Outlier","Normal")</f>
        <v>Normal</v>
      </c>
    </row>
    <row r="278" spans="1:19" x14ac:dyDescent="0.25">
      <c r="A278" t="s">
        <v>21</v>
      </c>
      <c r="B278" t="s">
        <v>31</v>
      </c>
      <c r="C278" t="s">
        <v>51</v>
      </c>
      <c r="D278" t="s">
        <v>57</v>
      </c>
      <c r="E278" s="2">
        <v>113972</v>
      </c>
      <c r="F278" s="2">
        <v>13698</v>
      </c>
      <c r="G278" t="s">
        <v>68</v>
      </c>
      <c r="H278" t="s">
        <v>70</v>
      </c>
      <c r="I278" t="s">
        <v>74</v>
      </c>
      <c r="J278" t="s">
        <v>84</v>
      </c>
      <c r="K278" t="s">
        <v>74</v>
      </c>
      <c r="L278">
        <v>20</v>
      </c>
      <c r="M278">
        <v>20</v>
      </c>
      <c r="N278" t="s">
        <v>148</v>
      </c>
      <c r="O278" t="s">
        <v>154</v>
      </c>
      <c r="P278" t="s">
        <v>189</v>
      </c>
      <c r="Q278">
        <v>1.25</v>
      </c>
      <c r="R278" s="9">
        <v>142465</v>
      </c>
      <c r="S278" t="str">
        <f>IF(OR(Sheet1[[#This Row],[Salary_USD]]&lt;$V$13,Sheet1[[#This Row],[Salary_USD]]&gt;$V$12),"Outlier","Normal")</f>
        <v>Normal</v>
      </c>
    </row>
    <row r="279" spans="1:19" x14ac:dyDescent="0.25">
      <c r="A279" t="s">
        <v>20</v>
      </c>
      <c r="B279" t="s">
        <v>29</v>
      </c>
      <c r="C279" t="s">
        <v>50</v>
      </c>
      <c r="D279" t="s">
        <v>62</v>
      </c>
      <c r="E279" s="2">
        <v>500</v>
      </c>
      <c r="F279" s="2">
        <v>228</v>
      </c>
      <c r="G279" t="s">
        <v>68</v>
      </c>
      <c r="H279" t="s">
        <v>71</v>
      </c>
      <c r="I279" t="s">
        <v>73</v>
      </c>
      <c r="J279" t="s">
        <v>83</v>
      </c>
      <c r="K279" t="s">
        <v>113</v>
      </c>
      <c r="L279">
        <v>4</v>
      </c>
      <c r="M279">
        <v>4</v>
      </c>
      <c r="N279" t="s">
        <v>152</v>
      </c>
      <c r="O279" t="s">
        <v>155</v>
      </c>
      <c r="P279" t="s">
        <v>297</v>
      </c>
      <c r="Q279">
        <v>1.25</v>
      </c>
      <c r="R279" s="9">
        <v>625</v>
      </c>
      <c r="S279" t="str">
        <f>IF(OR(Sheet1[[#This Row],[Salary_USD]]&lt;$V$13,Sheet1[[#This Row],[Salary_USD]]&gt;$V$12),"Outlier","Normal")</f>
        <v>Normal</v>
      </c>
    </row>
    <row r="280" spans="1:19" x14ac:dyDescent="0.25">
      <c r="A280" t="s">
        <v>17</v>
      </c>
      <c r="B280" t="s">
        <v>35</v>
      </c>
      <c r="C280" t="s">
        <v>52</v>
      </c>
      <c r="D280" t="s">
        <v>55</v>
      </c>
      <c r="E280" s="2">
        <v>43227</v>
      </c>
      <c r="F280" s="2">
        <v>1772</v>
      </c>
      <c r="G280" t="s">
        <v>68</v>
      </c>
      <c r="H280" t="s">
        <v>69</v>
      </c>
      <c r="I280" t="s">
        <v>72</v>
      </c>
      <c r="J280" t="s">
        <v>82</v>
      </c>
      <c r="K280" t="s">
        <v>112</v>
      </c>
      <c r="L280">
        <v>8</v>
      </c>
      <c r="M280">
        <v>6</v>
      </c>
      <c r="N280" t="s">
        <v>148</v>
      </c>
      <c r="O280" t="s">
        <v>157</v>
      </c>
      <c r="P280" t="s">
        <v>245</v>
      </c>
      <c r="Q280">
        <v>1.25</v>
      </c>
      <c r="R280" s="9">
        <v>54033.75</v>
      </c>
      <c r="S280" t="str">
        <f>IF(OR(Sheet1[[#This Row],[Salary_USD]]&lt;$V$13,Sheet1[[#This Row],[Salary_USD]]&gt;$V$12),"Outlier","Normal")</f>
        <v>Normal</v>
      </c>
    </row>
    <row r="281" spans="1:19" x14ac:dyDescent="0.25">
      <c r="A281" t="s">
        <v>19</v>
      </c>
      <c r="B281" t="s">
        <v>26</v>
      </c>
      <c r="C281" t="s">
        <v>52</v>
      </c>
      <c r="D281" t="s">
        <v>62</v>
      </c>
      <c r="E281" s="2">
        <v>16283</v>
      </c>
      <c r="F281" s="2">
        <v>1248</v>
      </c>
      <c r="G281" t="s">
        <v>65</v>
      </c>
      <c r="H281" t="s">
        <v>69</v>
      </c>
      <c r="I281" t="s">
        <v>75</v>
      </c>
      <c r="J281" t="s">
        <v>108</v>
      </c>
      <c r="K281" t="s">
        <v>135</v>
      </c>
      <c r="L281">
        <v>3</v>
      </c>
      <c r="M281">
        <v>0</v>
      </c>
      <c r="N281" t="s">
        <v>152</v>
      </c>
      <c r="O281" t="s">
        <v>156</v>
      </c>
      <c r="P281" t="s">
        <v>174</v>
      </c>
      <c r="Q281">
        <v>0.73</v>
      </c>
      <c r="R281" s="9">
        <v>11886.59</v>
      </c>
      <c r="S281" t="str">
        <f>IF(OR(Sheet1[[#This Row],[Salary_USD]]&lt;$V$13,Sheet1[[#This Row],[Salary_USD]]&gt;$V$12),"Outlier","Normal")</f>
        <v>Normal</v>
      </c>
    </row>
    <row r="282" spans="1:19" x14ac:dyDescent="0.25">
      <c r="A282" t="s">
        <v>19</v>
      </c>
      <c r="B282" t="s">
        <v>35</v>
      </c>
      <c r="C282" t="s">
        <v>45</v>
      </c>
      <c r="D282" t="s">
        <v>57</v>
      </c>
      <c r="E282" s="2">
        <v>32568</v>
      </c>
      <c r="F282" s="2">
        <v>3137</v>
      </c>
      <c r="G282" t="s">
        <v>68</v>
      </c>
      <c r="H282" t="s">
        <v>70</v>
      </c>
      <c r="I282" t="s">
        <v>76</v>
      </c>
      <c r="J282" t="s">
        <v>92</v>
      </c>
      <c r="K282" t="s">
        <v>119</v>
      </c>
      <c r="L282">
        <v>9</v>
      </c>
      <c r="M282">
        <v>9</v>
      </c>
      <c r="N282" t="s">
        <v>152</v>
      </c>
      <c r="O282" t="s">
        <v>156</v>
      </c>
      <c r="P282" t="s">
        <v>297</v>
      </c>
      <c r="Q282">
        <v>1.25</v>
      </c>
      <c r="R282" s="9">
        <v>40710</v>
      </c>
      <c r="S282" t="str">
        <f>IF(OR(Sheet1[[#This Row],[Salary_USD]]&lt;$V$13,Sheet1[[#This Row],[Salary_USD]]&gt;$V$12),"Outlier","Normal")</f>
        <v>Normal</v>
      </c>
    </row>
    <row r="283" spans="1:19" x14ac:dyDescent="0.25">
      <c r="A283" t="s">
        <v>20</v>
      </c>
      <c r="B283" t="s">
        <v>33</v>
      </c>
      <c r="C283" t="s">
        <v>47</v>
      </c>
      <c r="D283" t="s">
        <v>55</v>
      </c>
      <c r="E283" s="2">
        <v>1267718</v>
      </c>
      <c r="F283" s="2">
        <v>59347</v>
      </c>
      <c r="G283" t="s">
        <v>66</v>
      </c>
      <c r="H283" t="s">
        <v>451</v>
      </c>
      <c r="I283" t="s">
        <v>73</v>
      </c>
      <c r="J283" t="s">
        <v>83</v>
      </c>
      <c r="K283" t="s">
        <v>113</v>
      </c>
      <c r="L283">
        <v>4</v>
      </c>
      <c r="M283">
        <v>1</v>
      </c>
      <c r="N283" t="s">
        <v>152</v>
      </c>
      <c r="O283" t="s">
        <v>157</v>
      </c>
      <c r="P283" t="s">
        <v>188</v>
      </c>
      <c r="Q283">
        <v>1.2E-2</v>
      </c>
      <c r="R283" s="9">
        <v>15212.616</v>
      </c>
      <c r="S283" t="str">
        <f>IF(OR(Sheet1[[#This Row],[Salary_USD]]&lt;$V$13,Sheet1[[#This Row],[Salary_USD]]&gt;$V$12),"Outlier","Normal")</f>
        <v>Normal</v>
      </c>
    </row>
    <row r="284" spans="1:19" x14ac:dyDescent="0.25">
      <c r="A284" t="s">
        <v>21</v>
      </c>
      <c r="B284" t="s">
        <v>26</v>
      </c>
      <c r="C284" t="s">
        <v>36</v>
      </c>
      <c r="D284" t="s">
        <v>451</v>
      </c>
      <c r="E284" s="2">
        <v>539265</v>
      </c>
      <c r="F284" s="2">
        <v>21133</v>
      </c>
      <c r="G284" t="s">
        <v>66</v>
      </c>
      <c r="H284" t="s">
        <v>70</v>
      </c>
      <c r="I284" t="s">
        <v>75</v>
      </c>
      <c r="J284" t="s">
        <v>108</v>
      </c>
      <c r="K284" t="s">
        <v>135</v>
      </c>
      <c r="L284">
        <v>18</v>
      </c>
      <c r="M284">
        <v>18</v>
      </c>
      <c r="N284" t="s">
        <v>152</v>
      </c>
      <c r="O284" t="s">
        <v>155</v>
      </c>
      <c r="P284" t="s">
        <v>181</v>
      </c>
      <c r="Q284">
        <v>1.2E-2</v>
      </c>
      <c r="R284" s="9">
        <v>6471.18</v>
      </c>
      <c r="S284" t="str">
        <f>IF(OR(Sheet1[[#This Row],[Salary_USD]]&lt;$V$13,Sheet1[[#This Row],[Salary_USD]]&gt;$V$12),"Outlier","Normal")</f>
        <v>Normal</v>
      </c>
    </row>
    <row r="285" spans="1:19" x14ac:dyDescent="0.25">
      <c r="A285" t="s">
        <v>20</v>
      </c>
      <c r="B285" t="s">
        <v>33</v>
      </c>
      <c r="C285" t="s">
        <v>47</v>
      </c>
      <c r="D285" t="s">
        <v>60</v>
      </c>
      <c r="E285" s="2">
        <v>104284</v>
      </c>
      <c r="F285" s="2">
        <v>4676</v>
      </c>
      <c r="G285" t="s">
        <v>63</v>
      </c>
      <c r="H285" t="s">
        <v>56</v>
      </c>
      <c r="I285" t="s">
        <v>74</v>
      </c>
      <c r="J285" t="s">
        <v>84</v>
      </c>
      <c r="K285" t="s">
        <v>74</v>
      </c>
      <c r="L285">
        <v>6</v>
      </c>
      <c r="M285">
        <v>6</v>
      </c>
      <c r="N285" t="s">
        <v>148</v>
      </c>
      <c r="O285" t="s">
        <v>157</v>
      </c>
      <c r="P285" t="s">
        <v>298</v>
      </c>
      <c r="Q285">
        <v>1.1000000000000001</v>
      </c>
      <c r="R285" s="9">
        <v>114712.40000000001</v>
      </c>
      <c r="S285" t="str">
        <f>IF(OR(Sheet1[[#This Row],[Salary_USD]]&lt;$V$13,Sheet1[[#This Row],[Salary_USD]]&gt;$V$12),"Outlier","Normal")</f>
        <v>Normal</v>
      </c>
    </row>
    <row r="286" spans="1:19" x14ac:dyDescent="0.25">
      <c r="A286" t="s">
        <v>17</v>
      </c>
      <c r="B286" t="s">
        <v>24</v>
      </c>
      <c r="C286" t="s">
        <v>41</v>
      </c>
      <c r="D286" t="s">
        <v>451</v>
      </c>
      <c r="E286" s="2">
        <v>128016</v>
      </c>
      <c r="F286" s="2">
        <v>19616</v>
      </c>
      <c r="G286" t="s">
        <v>67</v>
      </c>
      <c r="H286" t="s">
        <v>69</v>
      </c>
      <c r="I286" t="s">
        <v>77</v>
      </c>
      <c r="J286" t="s">
        <v>97</v>
      </c>
      <c r="K286" t="s">
        <v>122</v>
      </c>
      <c r="L286">
        <v>9</v>
      </c>
      <c r="M286">
        <v>9</v>
      </c>
      <c r="N286" t="s">
        <v>152</v>
      </c>
      <c r="O286" t="s">
        <v>155</v>
      </c>
      <c r="P286" t="s">
        <v>299</v>
      </c>
      <c r="Q286">
        <v>1</v>
      </c>
      <c r="R286" s="9">
        <v>128016</v>
      </c>
      <c r="S286" t="str">
        <f>IF(OR(Sheet1[[#This Row],[Salary_USD]]&lt;$V$13,Sheet1[[#This Row],[Salary_USD]]&gt;$V$12),"Outlier","Normal")</f>
        <v>Normal</v>
      </c>
    </row>
    <row r="287" spans="1:19" x14ac:dyDescent="0.25">
      <c r="A287" t="s">
        <v>20</v>
      </c>
      <c r="B287" t="s">
        <v>33</v>
      </c>
      <c r="C287" t="s">
        <v>37</v>
      </c>
      <c r="D287" t="s">
        <v>62</v>
      </c>
      <c r="E287" s="2">
        <v>32173</v>
      </c>
      <c r="F287" s="2">
        <v>260</v>
      </c>
      <c r="G287" t="s">
        <v>63</v>
      </c>
      <c r="H287" t="s">
        <v>69</v>
      </c>
      <c r="I287" t="s">
        <v>76</v>
      </c>
      <c r="J287" t="s">
        <v>92</v>
      </c>
      <c r="K287" t="s">
        <v>119</v>
      </c>
      <c r="L287">
        <v>4</v>
      </c>
      <c r="M287">
        <v>4</v>
      </c>
      <c r="N287" t="s">
        <v>152</v>
      </c>
      <c r="O287" t="s">
        <v>156</v>
      </c>
      <c r="P287" t="s">
        <v>191</v>
      </c>
      <c r="Q287">
        <v>1.1000000000000001</v>
      </c>
      <c r="R287" s="9">
        <v>35390.300000000003</v>
      </c>
      <c r="S287" t="str">
        <f>IF(OR(Sheet1[[#This Row],[Salary_USD]]&lt;$V$13,Sheet1[[#This Row],[Salary_USD]]&gt;$V$12),"Outlier","Normal")</f>
        <v>Normal</v>
      </c>
    </row>
    <row r="288" spans="1:19" x14ac:dyDescent="0.25">
      <c r="A288" t="s">
        <v>19</v>
      </c>
      <c r="B288" t="s">
        <v>35</v>
      </c>
      <c r="C288" t="s">
        <v>37</v>
      </c>
      <c r="D288" t="s">
        <v>60</v>
      </c>
      <c r="E288" s="2">
        <v>86032</v>
      </c>
      <c r="F288" s="2">
        <v>20813</v>
      </c>
      <c r="G288" t="s">
        <v>67</v>
      </c>
      <c r="H288" t="s">
        <v>56</v>
      </c>
      <c r="I288" t="s">
        <v>78</v>
      </c>
      <c r="J288" t="s">
        <v>88</v>
      </c>
      <c r="K288" t="s">
        <v>128</v>
      </c>
      <c r="L288">
        <v>7</v>
      </c>
      <c r="M288">
        <v>6</v>
      </c>
      <c r="N288" t="s">
        <v>148</v>
      </c>
      <c r="O288" t="s">
        <v>155</v>
      </c>
      <c r="P288" t="s">
        <v>300</v>
      </c>
      <c r="Q288">
        <v>1</v>
      </c>
      <c r="R288" s="9">
        <v>86032</v>
      </c>
      <c r="S288" t="str">
        <f>IF(OR(Sheet1[[#This Row],[Salary_USD]]&lt;$V$13,Sheet1[[#This Row],[Salary_USD]]&gt;$V$12),"Outlier","Normal")</f>
        <v>Normal</v>
      </c>
    </row>
    <row r="289" spans="1:19" x14ac:dyDescent="0.25">
      <c r="A289" t="s">
        <v>21</v>
      </c>
      <c r="B289" t="s">
        <v>35</v>
      </c>
      <c r="C289" t="s">
        <v>48</v>
      </c>
      <c r="D289" t="s">
        <v>58</v>
      </c>
      <c r="E289" s="2">
        <v>110161</v>
      </c>
      <c r="F289" s="2">
        <v>16426</v>
      </c>
      <c r="G289" t="s">
        <v>67</v>
      </c>
      <c r="H289" t="s">
        <v>71</v>
      </c>
      <c r="I289" t="s">
        <v>72</v>
      </c>
      <c r="J289" t="s">
        <v>95</v>
      </c>
      <c r="K289" t="s">
        <v>120</v>
      </c>
      <c r="L289">
        <v>25</v>
      </c>
      <c r="M289">
        <v>23</v>
      </c>
      <c r="N289" t="s">
        <v>152</v>
      </c>
      <c r="O289" t="s">
        <v>156</v>
      </c>
      <c r="P289" t="s">
        <v>189</v>
      </c>
      <c r="Q289">
        <v>1</v>
      </c>
      <c r="R289" s="9">
        <v>110161</v>
      </c>
      <c r="S289" t="str">
        <f>IF(OR(Sheet1[[#This Row],[Salary_USD]]&lt;$V$13,Sheet1[[#This Row],[Salary_USD]]&gt;$V$12),"Outlier","Normal")</f>
        <v>Normal</v>
      </c>
    </row>
    <row r="290" spans="1:19" x14ac:dyDescent="0.25">
      <c r="A290" t="s">
        <v>19</v>
      </c>
      <c r="B290" t="s">
        <v>24</v>
      </c>
      <c r="C290" t="s">
        <v>47</v>
      </c>
      <c r="D290" t="s">
        <v>62</v>
      </c>
      <c r="E290" s="2">
        <v>96276</v>
      </c>
      <c r="F290" s="2">
        <v>0</v>
      </c>
      <c r="G290" t="s">
        <v>65</v>
      </c>
      <c r="H290" t="s">
        <v>451</v>
      </c>
      <c r="I290" t="s">
        <v>80</v>
      </c>
      <c r="J290" t="s">
        <v>93</v>
      </c>
      <c r="K290" t="s">
        <v>93</v>
      </c>
      <c r="L290">
        <v>25</v>
      </c>
      <c r="M290">
        <v>25</v>
      </c>
      <c r="N290" t="s">
        <v>152</v>
      </c>
      <c r="O290" t="s">
        <v>154</v>
      </c>
      <c r="P290" t="s">
        <v>224</v>
      </c>
      <c r="Q290">
        <v>0.73</v>
      </c>
      <c r="R290" s="9">
        <v>70281.48</v>
      </c>
      <c r="S290" t="str">
        <f>IF(OR(Sheet1[[#This Row],[Salary_USD]]&lt;$V$13,Sheet1[[#This Row],[Salary_USD]]&gt;$V$12),"Outlier","Normal")</f>
        <v>Normal</v>
      </c>
    </row>
    <row r="291" spans="1:19" x14ac:dyDescent="0.25">
      <c r="A291" t="s">
        <v>19</v>
      </c>
      <c r="B291" t="s">
        <v>29</v>
      </c>
      <c r="C291" t="s">
        <v>39</v>
      </c>
      <c r="D291" t="s">
        <v>60</v>
      </c>
      <c r="E291" s="2">
        <v>53484</v>
      </c>
      <c r="F291" s="2">
        <v>1389</v>
      </c>
      <c r="G291" t="s">
        <v>65</v>
      </c>
      <c r="H291" t="s">
        <v>70</v>
      </c>
      <c r="I291" t="s">
        <v>78</v>
      </c>
      <c r="J291" t="s">
        <v>88</v>
      </c>
      <c r="K291" t="s">
        <v>128</v>
      </c>
      <c r="L291">
        <v>20</v>
      </c>
      <c r="M291">
        <v>20</v>
      </c>
      <c r="N291" t="s">
        <v>149</v>
      </c>
      <c r="O291" t="s">
        <v>154</v>
      </c>
      <c r="P291" t="s">
        <v>189</v>
      </c>
      <c r="Q291">
        <v>0.73</v>
      </c>
      <c r="R291" s="9">
        <v>39043.32</v>
      </c>
      <c r="S291" t="str">
        <f>IF(OR(Sheet1[[#This Row],[Salary_USD]]&lt;$V$13,Sheet1[[#This Row],[Salary_USD]]&gt;$V$12),"Outlier","Normal")</f>
        <v>Normal</v>
      </c>
    </row>
    <row r="292" spans="1:19" x14ac:dyDescent="0.25">
      <c r="A292" t="s">
        <v>19</v>
      </c>
      <c r="B292" t="s">
        <v>24</v>
      </c>
      <c r="C292" t="s">
        <v>40</v>
      </c>
      <c r="D292" t="s">
        <v>56</v>
      </c>
      <c r="E292" s="2">
        <v>992403</v>
      </c>
      <c r="F292" s="2">
        <v>101222</v>
      </c>
      <c r="G292" t="s">
        <v>66</v>
      </c>
      <c r="H292" t="s">
        <v>71</v>
      </c>
      <c r="I292" t="s">
        <v>77</v>
      </c>
      <c r="J292" t="s">
        <v>97</v>
      </c>
      <c r="K292" t="s">
        <v>122</v>
      </c>
      <c r="L292">
        <v>4</v>
      </c>
      <c r="M292">
        <v>2</v>
      </c>
      <c r="N292" t="s">
        <v>150</v>
      </c>
      <c r="O292" t="s">
        <v>157</v>
      </c>
      <c r="P292" t="s">
        <v>227</v>
      </c>
      <c r="Q292">
        <v>1.2E-2</v>
      </c>
      <c r="R292" s="9">
        <v>11908.836000000001</v>
      </c>
      <c r="S292" t="str">
        <f>IF(OR(Sheet1[[#This Row],[Salary_USD]]&lt;$V$13,Sheet1[[#This Row],[Salary_USD]]&gt;$V$12),"Outlier","Normal")</f>
        <v>Normal</v>
      </c>
    </row>
    <row r="293" spans="1:19" x14ac:dyDescent="0.25">
      <c r="A293" t="s">
        <v>19</v>
      </c>
      <c r="B293" t="s">
        <v>29</v>
      </c>
      <c r="C293" t="s">
        <v>44</v>
      </c>
      <c r="D293" t="s">
        <v>57</v>
      </c>
      <c r="E293" s="2">
        <v>95713</v>
      </c>
      <c r="F293" s="2">
        <v>0</v>
      </c>
      <c r="G293" t="s">
        <v>64</v>
      </c>
      <c r="H293" t="s">
        <v>70</v>
      </c>
      <c r="I293" t="s">
        <v>74</v>
      </c>
      <c r="J293" t="s">
        <v>84</v>
      </c>
      <c r="K293" t="s">
        <v>74</v>
      </c>
      <c r="L293">
        <v>6</v>
      </c>
      <c r="M293">
        <v>5</v>
      </c>
      <c r="N293" t="s">
        <v>150</v>
      </c>
      <c r="O293" t="s">
        <v>156</v>
      </c>
      <c r="P293" t="s">
        <v>224</v>
      </c>
      <c r="Q293">
        <v>0.65</v>
      </c>
      <c r="R293" s="9">
        <v>62213.450000000004</v>
      </c>
      <c r="S293" t="str">
        <f>IF(OR(Sheet1[[#This Row],[Salary_USD]]&lt;$V$13,Sheet1[[#This Row],[Salary_USD]]&gt;$V$12),"Outlier","Normal")</f>
        <v>Normal</v>
      </c>
    </row>
    <row r="294" spans="1:19" x14ac:dyDescent="0.25">
      <c r="A294" t="s">
        <v>21</v>
      </c>
      <c r="B294" t="s">
        <v>31</v>
      </c>
      <c r="C294" t="s">
        <v>42</v>
      </c>
      <c r="D294" t="s">
        <v>57</v>
      </c>
      <c r="E294" s="2">
        <v>76563</v>
      </c>
      <c r="F294" s="2">
        <v>0</v>
      </c>
      <c r="G294" t="s">
        <v>65</v>
      </c>
      <c r="H294" t="s">
        <v>451</v>
      </c>
      <c r="I294" t="s">
        <v>73</v>
      </c>
      <c r="J294" t="s">
        <v>102</v>
      </c>
      <c r="K294" t="s">
        <v>102</v>
      </c>
      <c r="L294">
        <v>15</v>
      </c>
      <c r="M294">
        <v>15</v>
      </c>
      <c r="N294" t="s">
        <v>153</v>
      </c>
      <c r="O294" t="s">
        <v>154</v>
      </c>
      <c r="P294" t="s">
        <v>173</v>
      </c>
      <c r="Q294">
        <v>0.73</v>
      </c>
      <c r="R294" s="9">
        <v>55890.99</v>
      </c>
      <c r="S294" t="str">
        <f>IF(OR(Sheet1[[#This Row],[Salary_USD]]&lt;$V$13,Sheet1[[#This Row],[Salary_USD]]&gt;$V$12),"Outlier","Normal")</f>
        <v>Normal</v>
      </c>
    </row>
    <row r="295" spans="1:19" x14ac:dyDescent="0.25">
      <c r="A295" t="s">
        <v>17</v>
      </c>
      <c r="B295" t="s">
        <v>24</v>
      </c>
      <c r="C295" t="s">
        <v>39</v>
      </c>
      <c r="D295" t="s">
        <v>61</v>
      </c>
      <c r="E295" s="2">
        <v>127282</v>
      </c>
      <c r="F295" s="2">
        <v>5313</v>
      </c>
      <c r="G295" t="s">
        <v>63</v>
      </c>
      <c r="H295" t="s">
        <v>56</v>
      </c>
      <c r="I295" t="s">
        <v>78</v>
      </c>
      <c r="J295" t="s">
        <v>105</v>
      </c>
      <c r="K295" t="s">
        <v>142</v>
      </c>
      <c r="L295">
        <v>8</v>
      </c>
      <c r="M295">
        <v>6</v>
      </c>
      <c r="N295" t="s">
        <v>151</v>
      </c>
      <c r="O295" t="s">
        <v>155</v>
      </c>
      <c r="P295" t="s">
        <v>175</v>
      </c>
      <c r="Q295">
        <v>1.1000000000000001</v>
      </c>
      <c r="R295" s="9">
        <v>140010.20000000001</v>
      </c>
      <c r="S295" t="str">
        <f>IF(OR(Sheet1[[#This Row],[Salary_USD]]&lt;$V$13,Sheet1[[#This Row],[Salary_USD]]&gt;$V$12),"Outlier","Normal")</f>
        <v>Normal</v>
      </c>
    </row>
    <row r="296" spans="1:19" x14ac:dyDescent="0.25">
      <c r="A296" t="s">
        <v>21</v>
      </c>
      <c r="B296" t="s">
        <v>31</v>
      </c>
      <c r="C296" t="s">
        <v>49</v>
      </c>
      <c r="D296" t="s">
        <v>57</v>
      </c>
      <c r="E296" s="2">
        <v>395158</v>
      </c>
      <c r="F296" s="2">
        <v>57560</v>
      </c>
      <c r="G296" t="s">
        <v>66</v>
      </c>
      <c r="H296" t="s">
        <v>56</v>
      </c>
      <c r="I296" t="s">
        <v>78</v>
      </c>
      <c r="J296" t="s">
        <v>109</v>
      </c>
      <c r="K296" t="s">
        <v>137</v>
      </c>
      <c r="L296">
        <v>9</v>
      </c>
      <c r="M296">
        <v>7</v>
      </c>
      <c r="N296" t="s">
        <v>153</v>
      </c>
      <c r="O296" t="s">
        <v>154</v>
      </c>
      <c r="P296" t="s">
        <v>289</v>
      </c>
      <c r="Q296">
        <v>1.2E-2</v>
      </c>
      <c r="R296" s="9">
        <v>4741.8959999999997</v>
      </c>
      <c r="S296" t="str">
        <f>IF(OR(Sheet1[[#This Row],[Salary_USD]]&lt;$V$13,Sheet1[[#This Row],[Salary_USD]]&gt;$V$12),"Outlier","Normal")</f>
        <v>Normal</v>
      </c>
    </row>
    <row r="297" spans="1:19" x14ac:dyDescent="0.25">
      <c r="A297" t="s">
        <v>21</v>
      </c>
      <c r="B297" t="s">
        <v>33</v>
      </c>
      <c r="C297" t="s">
        <v>36</v>
      </c>
      <c r="D297" t="s">
        <v>57</v>
      </c>
      <c r="E297" s="2">
        <v>1140973</v>
      </c>
      <c r="F297" s="2">
        <v>17142</v>
      </c>
      <c r="G297" t="s">
        <v>66</v>
      </c>
      <c r="H297" t="s">
        <v>69</v>
      </c>
      <c r="I297" t="s">
        <v>75</v>
      </c>
      <c r="J297" t="s">
        <v>108</v>
      </c>
      <c r="K297" t="s">
        <v>135</v>
      </c>
      <c r="L297">
        <v>20</v>
      </c>
      <c r="M297">
        <v>20</v>
      </c>
      <c r="N297" t="s">
        <v>149</v>
      </c>
      <c r="O297" t="s">
        <v>156</v>
      </c>
      <c r="P297" t="s">
        <v>169</v>
      </c>
      <c r="Q297">
        <v>1.2E-2</v>
      </c>
      <c r="R297" s="9">
        <v>13691.675999999999</v>
      </c>
      <c r="S297" t="str">
        <f>IF(OR(Sheet1[[#This Row],[Salary_USD]]&lt;$V$13,Sheet1[[#This Row],[Salary_USD]]&gt;$V$12),"Outlier","Normal")</f>
        <v>Normal</v>
      </c>
    </row>
    <row r="298" spans="1:19" x14ac:dyDescent="0.25">
      <c r="A298" t="s">
        <v>20</v>
      </c>
      <c r="B298" t="s">
        <v>22</v>
      </c>
      <c r="C298" t="s">
        <v>50</v>
      </c>
      <c r="D298" t="s">
        <v>56</v>
      </c>
      <c r="E298" s="2">
        <v>719122</v>
      </c>
      <c r="F298" s="2">
        <v>0</v>
      </c>
      <c r="G298" t="s">
        <v>66</v>
      </c>
      <c r="H298" t="s">
        <v>69</v>
      </c>
      <c r="I298" t="s">
        <v>72</v>
      </c>
      <c r="J298" t="s">
        <v>82</v>
      </c>
      <c r="K298" t="s">
        <v>112</v>
      </c>
      <c r="L298">
        <v>7</v>
      </c>
      <c r="M298">
        <v>5</v>
      </c>
      <c r="N298" t="s">
        <v>149</v>
      </c>
      <c r="O298" t="s">
        <v>157</v>
      </c>
      <c r="P298" t="s">
        <v>162</v>
      </c>
      <c r="Q298">
        <v>1.2E-2</v>
      </c>
      <c r="R298" s="9">
        <v>8629.4639999999999</v>
      </c>
      <c r="S298" t="str">
        <f>IF(OR(Sheet1[[#This Row],[Salary_USD]]&lt;$V$13,Sheet1[[#This Row],[Salary_USD]]&gt;$V$12),"Outlier","Normal")</f>
        <v>Normal</v>
      </c>
    </row>
    <row r="299" spans="1:19" x14ac:dyDescent="0.25">
      <c r="A299" t="s">
        <v>20</v>
      </c>
      <c r="B299" t="s">
        <v>31</v>
      </c>
      <c r="C299" t="s">
        <v>36</v>
      </c>
      <c r="D299" t="s">
        <v>451</v>
      </c>
      <c r="E299" s="2">
        <v>1254226</v>
      </c>
      <c r="F299" s="2">
        <v>105289</v>
      </c>
      <c r="G299" t="s">
        <v>66</v>
      </c>
      <c r="H299" t="s">
        <v>451</v>
      </c>
      <c r="I299" t="s">
        <v>76</v>
      </c>
      <c r="J299" t="s">
        <v>92</v>
      </c>
      <c r="K299" t="s">
        <v>119</v>
      </c>
      <c r="L299">
        <v>1</v>
      </c>
      <c r="M299">
        <v>1</v>
      </c>
      <c r="N299" t="s">
        <v>149</v>
      </c>
      <c r="O299" t="s">
        <v>154</v>
      </c>
      <c r="P299" t="s">
        <v>301</v>
      </c>
      <c r="Q299">
        <v>1.2E-2</v>
      </c>
      <c r="R299" s="9">
        <v>15050.712</v>
      </c>
      <c r="S299" t="str">
        <f>IF(OR(Sheet1[[#This Row],[Salary_USD]]&lt;$V$13,Sheet1[[#This Row],[Salary_USD]]&gt;$V$12),"Outlier","Normal")</f>
        <v>Normal</v>
      </c>
    </row>
    <row r="300" spans="1:19" x14ac:dyDescent="0.25">
      <c r="A300" t="s">
        <v>19</v>
      </c>
      <c r="B300" t="s">
        <v>29</v>
      </c>
      <c r="C300" t="s">
        <v>47</v>
      </c>
      <c r="D300" t="s">
        <v>54</v>
      </c>
      <c r="E300" s="2">
        <v>88612</v>
      </c>
      <c r="F300" s="2">
        <v>7308</v>
      </c>
      <c r="G300" t="s">
        <v>67</v>
      </c>
      <c r="H300" t="s">
        <v>69</v>
      </c>
      <c r="I300" t="s">
        <v>74</v>
      </c>
      <c r="J300" t="s">
        <v>84</v>
      </c>
      <c r="K300" t="s">
        <v>74</v>
      </c>
      <c r="L300">
        <v>15</v>
      </c>
      <c r="M300">
        <v>12</v>
      </c>
      <c r="N300" t="s">
        <v>148</v>
      </c>
      <c r="O300" t="s">
        <v>156</v>
      </c>
      <c r="P300" t="s">
        <v>165</v>
      </c>
      <c r="Q300">
        <v>1</v>
      </c>
      <c r="R300" s="9">
        <v>88612</v>
      </c>
      <c r="S300" t="str">
        <f>IF(OR(Sheet1[[#This Row],[Salary_USD]]&lt;$V$13,Sheet1[[#This Row],[Salary_USD]]&gt;$V$12),"Outlier","Normal")</f>
        <v>Normal</v>
      </c>
    </row>
    <row r="301" spans="1:19" x14ac:dyDescent="0.25">
      <c r="A301" t="s">
        <v>20</v>
      </c>
      <c r="B301" t="s">
        <v>28</v>
      </c>
      <c r="C301" t="s">
        <v>36</v>
      </c>
      <c r="D301" t="s">
        <v>62</v>
      </c>
      <c r="E301" s="2">
        <v>59808</v>
      </c>
      <c r="F301" s="2">
        <v>8930</v>
      </c>
      <c r="G301" t="s">
        <v>64</v>
      </c>
      <c r="H301" t="s">
        <v>451</v>
      </c>
      <c r="I301" t="s">
        <v>80</v>
      </c>
      <c r="J301" t="s">
        <v>106</v>
      </c>
      <c r="K301" t="s">
        <v>106</v>
      </c>
      <c r="L301">
        <v>5</v>
      </c>
      <c r="M301">
        <v>3</v>
      </c>
      <c r="N301" t="s">
        <v>149</v>
      </c>
      <c r="O301" t="s">
        <v>154</v>
      </c>
      <c r="P301" t="s">
        <v>212</v>
      </c>
      <c r="Q301">
        <v>0.65</v>
      </c>
      <c r="R301" s="9">
        <v>38875.200000000004</v>
      </c>
      <c r="S301" t="str">
        <f>IF(OR(Sheet1[[#This Row],[Salary_USD]]&lt;$V$13,Sheet1[[#This Row],[Salary_USD]]&gt;$V$12),"Outlier","Normal")</f>
        <v>Normal</v>
      </c>
    </row>
    <row r="302" spans="1:19" x14ac:dyDescent="0.25">
      <c r="A302" t="s">
        <v>19</v>
      </c>
      <c r="B302" t="s">
        <v>26</v>
      </c>
      <c r="C302" t="s">
        <v>39</v>
      </c>
      <c r="D302" t="s">
        <v>55</v>
      </c>
      <c r="E302" s="2">
        <v>53113</v>
      </c>
      <c r="F302" s="2">
        <v>0</v>
      </c>
      <c r="G302" t="s">
        <v>67</v>
      </c>
      <c r="H302" t="s">
        <v>70</v>
      </c>
      <c r="I302" t="s">
        <v>73</v>
      </c>
      <c r="J302" t="s">
        <v>102</v>
      </c>
      <c r="K302" t="s">
        <v>102</v>
      </c>
      <c r="L302">
        <v>5</v>
      </c>
      <c r="M302">
        <v>5</v>
      </c>
      <c r="N302" t="s">
        <v>152</v>
      </c>
      <c r="O302" t="s">
        <v>154</v>
      </c>
      <c r="P302" t="s">
        <v>294</v>
      </c>
      <c r="Q302">
        <v>1</v>
      </c>
      <c r="R302" s="9">
        <v>53113</v>
      </c>
      <c r="S302" t="str">
        <f>IF(OR(Sheet1[[#This Row],[Salary_USD]]&lt;$V$13,Sheet1[[#This Row],[Salary_USD]]&gt;$V$12),"Outlier","Normal")</f>
        <v>Normal</v>
      </c>
    </row>
    <row r="303" spans="1:19" x14ac:dyDescent="0.25">
      <c r="A303" t="s">
        <v>20</v>
      </c>
      <c r="B303" t="s">
        <v>22</v>
      </c>
      <c r="C303" t="s">
        <v>39</v>
      </c>
      <c r="D303" t="s">
        <v>54</v>
      </c>
      <c r="E303" s="2">
        <v>37667</v>
      </c>
      <c r="F303" s="2">
        <v>0</v>
      </c>
      <c r="G303" t="s">
        <v>63</v>
      </c>
      <c r="H303" t="s">
        <v>70</v>
      </c>
      <c r="I303" t="s">
        <v>77</v>
      </c>
      <c r="J303" t="s">
        <v>110</v>
      </c>
      <c r="K303" t="s">
        <v>139</v>
      </c>
      <c r="L303">
        <v>1</v>
      </c>
      <c r="M303">
        <v>0</v>
      </c>
      <c r="N303" t="s">
        <v>149</v>
      </c>
      <c r="O303" t="s">
        <v>156</v>
      </c>
      <c r="P303" t="s">
        <v>188</v>
      </c>
      <c r="Q303">
        <v>1.1000000000000001</v>
      </c>
      <c r="R303" s="9">
        <v>41433.700000000004</v>
      </c>
      <c r="S303" t="str">
        <f>IF(OR(Sheet1[[#This Row],[Salary_USD]]&lt;$V$13,Sheet1[[#This Row],[Salary_USD]]&gt;$V$12),"Outlier","Normal")</f>
        <v>Normal</v>
      </c>
    </row>
    <row r="304" spans="1:19" x14ac:dyDescent="0.25">
      <c r="A304" t="s">
        <v>20</v>
      </c>
      <c r="B304" t="s">
        <v>23</v>
      </c>
      <c r="C304" t="s">
        <v>52</v>
      </c>
      <c r="D304" t="s">
        <v>57</v>
      </c>
      <c r="E304" s="2">
        <v>43072</v>
      </c>
      <c r="F304" s="2">
        <v>2747</v>
      </c>
      <c r="G304" t="s">
        <v>68</v>
      </c>
      <c r="H304" t="s">
        <v>56</v>
      </c>
      <c r="I304" t="s">
        <v>81</v>
      </c>
      <c r="J304" t="s">
        <v>103</v>
      </c>
      <c r="K304" t="s">
        <v>130</v>
      </c>
      <c r="L304">
        <v>5</v>
      </c>
      <c r="M304">
        <v>5</v>
      </c>
      <c r="N304" t="s">
        <v>150</v>
      </c>
      <c r="O304" t="s">
        <v>155</v>
      </c>
      <c r="P304" t="s">
        <v>298</v>
      </c>
      <c r="Q304">
        <v>1.25</v>
      </c>
      <c r="R304" s="9">
        <v>53840</v>
      </c>
      <c r="S304" t="str">
        <f>IF(OR(Sheet1[[#This Row],[Salary_USD]]&lt;$V$13,Sheet1[[#This Row],[Salary_USD]]&gt;$V$12),"Outlier","Normal")</f>
        <v>Normal</v>
      </c>
    </row>
    <row r="305" spans="1:19" x14ac:dyDescent="0.25">
      <c r="A305" t="s">
        <v>21</v>
      </c>
      <c r="B305" t="s">
        <v>35</v>
      </c>
      <c r="C305" t="s">
        <v>46</v>
      </c>
      <c r="D305" t="s">
        <v>61</v>
      </c>
      <c r="E305" s="2">
        <v>60183</v>
      </c>
      <c r="F305" s="2">
        <v>2550</v>
      </c>
      <c r="G305" t="s">
        <v>64</v>
      </c>
      <c r="H305" t="s">
        <v>70</v>
      </c>
      <c r="I305" t="s">
        <v>75</v>
      </c>
      <c r="J305" t="s">
        <v>108</v>
      </c>
      <c r="K305" t="s">
        <v>135</v>
      </c>
      <c r="L305">
        <v>8</v>
      </c>
      <c r="M305">
        <v>6</v>
      </c>
      <c r="N305" t="s">
        <v>151</v>
      </c>
      <c r="O305" t="s">
        <v>155</v>
      </c>
      <c r="P305" t="s">
        <v>174</v>
      </c>
      <c r="Q305">
        <v>0.65</v>
      </c>
      <c r="R305" s="9">
        <v>39118.950000000004</v>
      </c>
      <c r="S305" t="str">
        <f>IF(OR(Sheet1[[#This Row],[Salary_USD]]&lt;$V$13,Sheet1[[#This Row],[Salary_USD]]&gt;$V$12),"Outlier","Normal")</f>
        <v>Normal</v>
      </c>
    </row>
    <row r="306" spans="1:19" x14ac:dyDescent="0.25">
      <c r="A306" t="s">
        <v>19</v>
      </c>
      <c r="B306" t="s">
        <v>35</v>
      </c>
      <c r="C306" t="s">
        <v>40</v>
      </c>
      <c r="D306" t="s">
        <v>57</v>
      </c>
      <c r="E306" s="2">
        <v>90896</v>
      </c>
      <c r="F306" s="2">
        <v>1272</v>
      </c>
      <c r="G306" t="s">
        <v>64</v>
      </c>
      <c r="H306" t="s">
        <v>56</v>
      </c>
      <c r="I306" t="s">
        <v>79</v>
      </c>
      <c r="J306" t="s">
        <v>91</v>
      </c>
      <c r="K306" t="s">
        <v>118</v>
      </c>
      <c r="L306">
        <v>8</v>
      </c>
      <c r="M306">
        <v>6</v>
      </c>
      <c r="N306" t="s">
        <v>150</v>
      </c>
      <c r="O306" t="s">
        <v>156</v>
      </c>
      <c r="P306" t="s">
        <v>302</v>
      </c>
      <c r="Q306">
        <v>0.65</v>
      </c>
      <c r="R306" s="9">
        <v>59082.400000000001</v>
      </c>
      <c r="S306" t="str">
        <f>IF(OR(Sheet1[[#This Row],[Salary_USD]]&lt;$V$13,Sheet1[[#This Row],[Salary_USD]]&gt;$V$12),"Outlier","Normal")</f>
        <v>Normal</v>
      </c>
    </row>
    <row r="307" spans="1:19" x14ac:dyDescent="0.25">
      <c r="A307" t="s">
        <v>19</v>
      </c>
      <c r="B307" t="s">
        <v>34</v>
      </c>
      <c r="C307" t="s">
        <v>53</v>
      </c>
      <c r="D307" t="s">
        <v>59</v>
      </c>
      <c r="E307" s="2">
        <v>128606</v>
      </c>
      <c r="F307" s="2">
        <v>0</v>
      </c>
      <c r="G307" t="s">
        <v>64</v>
      </c>
      <c r="H307" t="s">
        <v>71</v>
      </c>
      <c r="I307" t="s">
        <v>79</v>
      </c>
      <c r="J307" t="s">
        <v>107</v>
      </c>
      <c r="K307" t="s">
        <v>134</v>
      </c>
      <c r="L307">
        <v>7</v>
      </c>
      <c r="M307">
        <v>4</v>
      </c>
      <c r="N307" t="s">
        <v>150</v>
      </c>
      <c r="O307" t="s">
        <v>157</v>
      </c>
      <c r="P307" t="s">
        <v>188</v>
      </c>
      <c r="Q307">
        <v>0.65</v>
      </c>
      <c r="R307" s="9">
        <v>83593.900000000009</v>
      </c>
      <c r="S307" t="str">
        <f>IF(OR(Sheet1[[#This Row],[Salary_USD]]&lt;$V$13,Sheet1[[#This Row],[Salary_USD]]&gt;$V$12),"Outlier","Normal")</f>
        <v>Normal</v>
      </c>
    </row>
    <row r="308" spans="1:19" x14ac:dyDescent="0.25">
      <c r="A308" t="s">
        <v>20</v>
      </c>
      <c r="B308" t="s">
        <v>35</v>
      </c>
      <c r="C308" t="s">
        <v>38</v>
      </c>
      <c r="D308" t="s">
        <v>59</v>
      </c>
      <c r="E308" s="2">
        <v>49935</v>
      </c>
      <c r="F308" s="2">
        <v>0</v>
      </c>
      <c r="G308" t="s">
        <v>67</v>
      </c>
      <c r="H308" t="s">
        <v>451</v>
      </c>
      <c r="I308" t="s">
        <v>78</v>
      </c>
      <c r="J308" t="s">
        <v>104</v>
      </c>
      <c r="K308" t="s">
        <v>131</v>
      </c>
      <c r="L308">
        <v>0</v>
      </c>
      <c r="M308">
        <v>0</v>
      </c>
      <c r="N308" t="s">
        <v>148</v>
      </c>
      <c r="O308" t="s">
        <v>155</v>
      </c>
      <c r="P308" t="s">
        <v>178</v>
      </c>
      <c r="Q308">
        <v>1</v>
      </c>
      <c r="R308" s="9">
        <v>49935</v>
      </c>
      <c r="S308" t="str">
        <f>IF(OR(Sheet1[[#This Row],[Salary_USD]]&lt;$V$13,Sheet1[[#This Row],[Salary_USD]]&gt;$V$12),"Outlier","Normal")</f>
        <v>Normal</v>
      </c>
    </row>
    <row r="309" spans="1:19" x14ac:dyDescent="0.25">
      <c r="A309" t="s">
        <v>19</v>
      </c>
      <c r="B309" t="s">
        <v>35</v>
      </c>
      <c r="C309" t="s">
        <v>49</v>
      </c>
      <c r="D309" t="s">
        <v>58</v>
      </c>
      <c r="E309" s="2">
        <v>997327</v>
      </c>
      <c r="F309" s="2">
        <v>0</v>
      </c>
      <c r="G309" t="s">
        <v>66</v>
      </c>
      <c r="H309" t="s">
        <v>71</v>
      </c>
      <c r="I309" t="s">
        <v>78</v>
      </c>
      <c r="J309" t="s">
        <v>105</v>
      </c>
      <c r="K309" t="s">
        <v>133</v>
      </c>
      <c r="L309">
        <v>10</v>
      </c>
      <c r="M309">
        <v>10</v>
      </c>
      <c r="N309" t="s">
        <v>152</v>
      </c>
      <c r="O309" t="s">
        <v>154</v>
      </c>
      <c r="P309" t="s">
        <v>303</v>
      </c>
      <c r="Q309">
        <v>1.2E-2</v>
      </c>
      <c r="R309" s="9">
        <v>11967.924000000001</v>
      </c>
      <c r="S309" t="str">
        <f>IF(OR(Sheet1[[#This Row],[Salary_USD]]&lt;$V$13,Sheet1[[#This Row],[Salary_USD]]&gt;$V$12),"Outlier","Normal")</f>
        <v>Normal</v>
      </c>
    </row>
    <row r="310" spans="1:19" x14ac:dyDescent="0.25">
      <c r="A310" t="s">
        <v>20</v>
      </c>
      <c r="B310" t="s">
        <v>34</v>
      </c>
      <c r="C310" t="s">
        <v>50</v>
      </c>
      <c r="D310" t="s">
        <v>55</v>
      </c>
      <c r="E310" s="2">
        <v>39161</v>
      </c>
      <c r="F310" s="2">
        <v>5805</v>
      </c>
      <c r="G310" t="s">
        <v>68</v>
      </c>
      <c r="H310" t="s">
        <v>70</v>
      </c>
      <c r="I310" t="s">
        <v>80</v>
      </c>
      <c r="J310" t="s">
        <v>93</v>
      </c>
      <c r="K310" t="s">
        <v>93</v>
      </c>
      <c r="L310">
        <v>7</v>
      </c>
      <c r="M310">
        <v>4</v>
      </c>
      <c r="N310" t="s">
        <v>150</v>
      </c>
      <c r="O310" t="s">
        <v>154</v>
      </c>
      <c r="P310" t="s">
        <v>256</v>
      </c>
      <c r="Q310">
        <v>1.25</v>
      </c>
      <c r="R310" s="9">
        <v>48951.25</v>
      </c>
      <c r="S310" t="str">
        <f>IF(OR(Sheet1[[#This Row],[Salary_USD]]&lt;$V$13,Sheet1[[#This Row],[Salary_USD]]&gt;$V$12),"Outlier","Normal")</f>
        <v>Normal</v>
      </c>
    </row>
    <row r="311" spans="1:19" x14ac:dyDescent="0.25">
      <c r="A311" t="s">
        <v>20</v>
      </c>
      <c r="B311" t="s">
        <v>26</v>
      </c>
      <c r="C311" t="s">
        <v>48</v>
      </c>
      <c r="D311" t="s">
        <v>60</v>
      </c>
      <c r="E311" s="2">
        <v>114253</v>
      </c>
      <c r="F311" s="2">
        <v>12461</v>
      </c>
      <c r="G311" t="s">
        <v>64</v>
      </c>
      <c r="H311" t="s">
        <v>71</v>
      </c>
      <c r="I311" t="s">
        <v>77</v>
      </c>
      <c r="J311" t="s">
        <v>111</v>
      </c>
      <c r="K311" t="s">
        <v>141</v>
      </c>
      <c r="L311">
        <v>7</v>
      </c>
      <c r="M311">
        <v>7</v>
      </c>
      <c r="N311" t="s">
        <v>153</v>
      </c>
      <c r="O311" t="s">
        <v>156</v>
      </c>
      <c r="P311" t="s">
        <v>166</v>
      </c>
      <c r="Q311">
        <v>0.65</v>
      </c>
      <c r="R311" s="9">
        <v>74264.45</v>
      </c>
      <c r="S311" t="str">
        <f>IF(OR(Sheet1[[#This Row],[Salary_USD]]&lt;$V$13,Sheet1[[#This Row],[Salary_USD]]&gt;$V$12),"Outlier","Normal")</f>
        <v>Normal</v>
      </c>
    </row>
    <row r="312" spans="1:19" x14ac:dyDescent="0.25">
      <c r="A312" t="s">
        <v>19</v>
      </c>
      <c r="B312" t="s">
        <v>35</v>
      </c>
      <c r="C312" t="s">
        <v>40</v>
      </c>
      <c r="D312" t="s">
        <v>61</v>
      </c>
      <c r="E312" s="2">
        <v>1226669</v>
      </c>
      <c r="F312" s="2">
        <v>2275</v>
      </c>
      <c r="G312" t="s">
        <v>66</v>
      </c>
      <c r="H312" t="s">
        <v>71</v>
      </c>
      <c r="I312" t="s">
        <v>75</v>
      </c>
      <c r="J312" t="s">
        <v>96</v>
      </c>
      <c r="K312" t="s">
        <v>121</v>
      </c>
      <c r="L312">
        <v>4</v>
      </c>
      <c r="M312">
        <v>4</v>
      </c>
      <c r="N312" t="s">
        <v>153</v>
      </c>
      <c r="O312" t="s">
        <v>157</v>
      </c>
      <c r="P312" t="s">
        <v>166</v>
      </c>
      <c r="Q312">
        <v>1.2E-2</v>
      </c>
      <c r="R312" s="9">
        <v>14720.028</v>
      </c>
      <c r="S312" t="str">
        <f>IF(OR(Sheet1[[#This Row],[Salary_USD]]&lt;$V$13,Sheet1[[#This Row],[Salary_USD]]&gt;$V$12),"Outlier","Normal")</f>
        <v>Normal</v>
      </c>
    </row>
    <row r="313" spans="1:19" x14ac:dyDescent="0.25">
      <c r="A313" t="s">
        <v>21</v>
      </c>
      <c r="B313" t="s">
        <v>32</v>
      </c>
      <c r="C313" t="s">
        <v>44</v>
      </c>
      <c r="D313" t="s">
        <v>59</v>
      </c>
      <c r="E313" s="2">
        <v>120697</v>
      </c>
      <c r="F313" s="2">
        <v>6909</v>
      </c>
      <c r="G313" t="s">
        <v>67</v>
      </c>
      <c r="H313" t="s">
        <v>56</v>
      </c>
      <c r="I313" t="s">
        <v>78</v>
      </c>
      <c r="J313" t="s">
        <v>105</v>
      </c>
      <c r="K313" t="s">
        <v>142</v>
      </c>
      <c r="L313">
        <v>20</v>
      </c>
      <c r="M313">
        <v>18</v>
      </c>
      <c r="N313" t="s">
        <v>151</v>
      </c>
      <c r="O313" t="s">
        <v>157</v>
      </c>
      <c r="P313" t="s">
        <v>189</v>
      </c>
      <c r="Q313">
        <v>1</v>
      </c>
      <c r="R313" s="9">
        <v>120697</v>
      </c>
      <c r="S313" t="str">
        <f>IF(OR(Sheet1[[#This Row],[Salary_USD]]&lt;$V$13,Sheet1[[#This Row],[Salary_USD]]&gt;$V$12),"Outlier","Normal")</f>
        <v>Normal</v>
      </c>
    </row>
    <row r="314" spans="1:19" x14ac:dyDescent="0.25">
      <c r="A314" t="s">
        <v>19</v>
      </c>
      <c r="B314" t="s">
        <v>29</v>
      </c>
      <c r="C314" t="s">
        <v>50</v>
      </c>
      <c r="D314" t="s">
        <v>60</v>
      </c>
      <c r="E314" s="2">
        <v>43569</v>
      </c>
      <c r="F314" s="2">
        <v>555</v>
      </c>
      <c r="G314" t="s">
        <v>68</v>
      </c>
      <c r="H314" t="s">
        <v>56</v>
      </c>
      <c r="I314" t="s">
        <v>74</v>
      </c>
      <c r="J314" t="s">
        <v>84</v>
      </c>
      <c r="K314" t="s">
        <v>74</v>
      </c>
      <c r="L314">
        <v>10</v>
      </c>
      <c r="M314">
        <v>7</v>
      </c>
      <c r="N314" t="s">
        <v>148</v>
      </c>
      <c r="O314" t="s">
        <v>154</v>
      </c>
      <c r="P314" t="s">
        <v>169</v>
      </c>
      <c r="Q314">
        <v>1.25</v>
      </c>
      <c r="R314" s="9">
        <v>54461.25</v>
      </c>
      <c r="S314" t="str">
        <f>IF(OR(Sheet1[[#This Row],[Salary_USD]]&lt;$V$13,Sheet1[[#This Row],[Salary_USD]]&gt;$V$12),"Outlier","Normal")</f>
        <v>Normal</v>
      </c>
    </row>
    <row r="315" spans="1:19" x14ac:dyDescent="0.25">
      <c r="A315" t="s">
        <v>20</v>
      </c>
      <c r="B315" t="s">
        <v>26</v>
      </c>
      <c r="C315" t="s">
        <v>44</v>
      </c>
      <c r="D315" t="s">
        <v>54</v>
      </c>
      <c r="E315" s="2">
        <v>51318</v>
      </c>
      <c r="F315" s="2">
        <v>3935</v>
      </c>
      <c r="G315" t="s">
        <v>64</v>
      </c>
      <c r="H315" t="s">
        <v>70</v>
      </c>
      <c r="I315" t="s">
        <v>77</v>
      </c>
      <c r="J315" t="s">
        <v>97</v>
      </c>
      <c r="K315" t="s">
        <v>122</v>
      </c>
      <c r="L315">
        <v>0</v>
      </c>
      <c r="M315">
        <v>0</v>
      </c>
      <c r="N315" t="s">
        <v>150</v>
      </c>
      <c r="O315" t="s">
        <v>154</v>
      </c>
      <c r="P315" t="s">
        <v>304</v>
      </c>
      <c r="Q315">
        <v>0.65</v>
      </c>
      <c r="R315" s="9">
        <v>33356.700000000004</v>
      </c>
      <c r="S315" t="str">
        <f>IF(OR(Sheet1[[#This Row],[Salary_USD]]&lt;$V$13,Sheet1[[#This Row],[Salary_USD]]&gt;$V$12),"Outlier","Normal")</f>
        <v>Normal</v>
      </c>
    </row>
    <row r="316" spans="1:19" x14ac:dyDescent="0.25">
      <c r="A316" t="s">
        <v>17</v>
      </c>
      <c r="B316" t="s">
        <v>29</v>
      </c>
      <c r="C316" t="s">
        <v>47</v>
      </c>
      <c r="D316" t="s">
        <v>59</v>
      </c>
      <c r="E316" s="2">
        <v>57303</v>
      </c>
      <c r="F316" s="2">
        <v>8886</v>
      </c>
      <c r="G316" t="s">
        <v>64</v>
      </c>
      <c r="H316" t="s">
        <v>451</v>
      </c>
      <c r="I316" t="s">
        <v>78</v>
      </c>
      <c r="J316" t="s">
        <v>109</v>
      </c>
      <c r="K316" t="s">
        <v>137</v>
      </c>
      <c r="L316">
        <v>8</v>
      </c>
      <c r="M316">
        <v>8</v>
      </c>
      <c r="N316" t="s">
        <v>152</v>
      </c>
      <c r="O316" t="s">
        <v>154</v>
      </c>
      <c r="P316" t="s">
        <v>305</v>
      </c>
      <c r="Q316">
        <v>0.65</v>
      </c>
      <c r="R316" s="9">
        <v>37246.950000000004</v>
      </c>
      <c r="S316" t="str">
        <f>IF(OR(Sheet1[[#This Row],[Salary_USD]]&lt;$V$13,Sheet1[[#This Row],[Salary_USD]]&gt;$V$12),"Outlier","Normal")</f>
        <v>Normal</v>
      </c>
    </row>
    <row r="317" spans="1:19" x14ac:dyDescent="0.25">
      <c r="A317" t="s">
        <v>17</v>
      </c>
      <c r="B317" t="s">
        <v>35</v>
      </c>
      <c r="C317" t="s">
        <v>49</v>
      </c>
      <c r="D317" t="s">
        <v>57</v>
      </c>
      <c r="E317" s="2">
        <v>1148982</v>
      </c>
      <c r="F317" s="2">
        <v>11461</v>
      </c>
      <c r="G317" t="s">
        <v>66</v>
      </c>
      <c r="H317" t="s">
        <v>56</v>
      </c>
      <c r="I317" t="s">
        <v>72</v>
      </c>
      <c r="J317" t="s">
        <v>95</v>
      </c>
      <c r="K317" t="s">
        <v>120</v>
      </c>
      <c r="L317">
        <v>10</v>
      </c>
      <c r="M317">
        <v>10</v>
      </c>
      <c r="N317" t="s">
        <v>152</v>
      </c>
      <c r="O317" t="s">
        <v>156</v>
      </c>
      <c r="P317" t="s">
        <v>306</v>
      </c>
      <c r="Q317">
        <v>1.2E-2</v>
      </c>
      <c r="R317" s="9">
        <v>13787.784</v>
      </c>
      <c r="S317" t="str">
        <f>IF(OR(Sheet1[[#This Row],[Salary_USD]]&lt;$V$13,Sheet1[[#This Row],[Salary_USD]]&gt;$V$12),"Outlier","Normal")</f>
        <v>Normal</v>
      </c>
    </row>
    <row r="318" spans="1:19" x14ac:dyDescent="0.25">
      <c r="A318" t="s">
        <v>20</v>
      </c>
      <c r="B318" t="s">
        <v>26</v>
      </c>
      <c r="C318" t="s">
        <v>40</v>
      </c>
      <c r="D318" t="s">
        <v>451</v>
      </c>
      <c r="E318" s="2">
        <v>21806</v>
      </c>
      <c r="F318" s="2">
        <v>1436</v>
      </c>
      <c r="G318" t="s">
        <v>63</v>
      </c>
      <c r="H318" t="s">
        <v>451</v>
      </c>
      <c r="I318" t="s">
        <v>77</v>
      </c>
      <c r="J318" t="s">
        <v>111</v>
      </c>
      <c r="K318" t="s">
        <v>141</v>
      </c>
      <c r="L318">
        <v>5</v>
      </c>
      <c r="M318">
        <v>2</v>
      </c>
      <c r="N318" t="s">
        <v>149</v>
      </c>
      <c r="O318" t="s">
        <v>156</v>
      </c>
      <c r="P318" t="s">
        <v>174</v>
      </c>
      <c r="Q318">
        <v>1.1000000000000001</v>
      </c>
      <c r="R318" s="9">
        <v>23986.600000000002</v>
      </c>
      <c r="S318" t="str">
        <f>IF(OR(Sheet1[[#This Row],[Salary_USD]]&lt;$V$13,Sheet1[[#This Row],[Salary_USD]]&gt;$V$12),"Outlier","Normal")</f>
        <v>Normal</v>
      </c>
    </row>
    <row r="319" spans="1:19" x14ac:dyDescent="0.25">
      <c r="A319" t="s">
        <v>21</v>
      </c>
      <c r="B319" t="s">
        <v>26</v>
      </c>
      <c r="C319" t="s">
        <v>50</v>
      </c>
      <c r="D319" t="s">
        <v>62</v>
      </c>
      <c r="E319" s="2">
        <v>915667</v>
      </c>
      <c r="F319" s="2">
        <v>219472</v>
      </c>
      <c r="G319" t="s">
        <v>66</v>
      </c>
      <c r="H319" t="s">
        <v>69</v>
      </c>
      <c r="I319" t="s">
        <v>78</v>
      </c>
      <c r="J319" t="s">
        <v>105</v>
      </c>
      <c r="K319" t="s">
        <v>133</v>
      </c>
      <c r="L319">
        <v>12</v>
      </c>
      <c r="M319">
        <v>10</v>
      </c>
      <c r="N319" t="s">
        <v>150</v>
      </c>
      <c r="O319" t="s">
        <v>156</v>
      </c>
      <c r="P319" t="s">
        <v>307</v>
      </c>
      <c r="Q319">
        <v>1.2E-2</v>
      </c>
      <c r="R319" s="9">
        <v>10988.004000000001</v>
      </c>
      <c r="S319" t="str">
        <f>IF(OR(Sheet1[[#This Row],[Salary_USD]]&lt;$V$13,Sheet1[[#This Row],[Salary_USD]]&gt;$V$12),"Outlier","Normal")</f>
        <v>Normal</v>
      </c>
    </row>
    <row r="320" spans="1:19" x14ac:dyDescent="0.25">
      <c r="A320" t="s">
        <v>17</v>
      </c>
      <c r="B320" t="s">
        <v>29</v>
      </c>
      <c r="C320" t="s">
        <v>39</v>
      </c>
      <c r="D320" t="s">
        <v>60</v>
      </c>
      <c r="E320" s="2">
        <v>42800</v>
      </c>
      <c r="F320" s="2">
        <v>752</v>
      </c>
      <c r="G320" t="s">
        <v>64</v>
      </c>
      <c r="H320" t="s">
        <v>70</v>
      </c>
      <c r="I320" t="s">
        <v>76</v>
      </c>
      <c r="J320" t="s">
        <v>86</v>
      </c>
      <c r="K320" t="s">
        <v>115</v>
      </c>
      <c r="L320">
        <v>10</v>
      </c>
      <c r="M320">
        <v>9</v>
      </c>
      <c r="N320" t="s">
        <v>150</v>
      </c>
      <c r="O320" t="s">
        <v>154</v>
      </c>
      <c r="P320" t="s">
        <v>308</v>
      </c>
      <c r="Q320">
        <v>0.65</v>
      </c>
      <c r="R320" s="9">
        <v>27820</v>
      </c>
      <c r="S320" t="str">
        <f>IF(OR(Sheet1[[#This Row],[Salary_USD]]&lt;$V$13,Sheet1[[#This Row],[Salary_USD]]&gt;$V$12),"Outlier","Normal")</f>
        <v>Normal</v>
      </c>
    </row>
    <row r="321" spans="1:19" x14ac:dyDescent="0.25">
      <c r="A321" t="s">
        <v>20</v>
      </c>
      <c r="B321" t="s">
        <v>35</v>
      </c>
      <c r="C321" t="s">
        <v>51</v>
      </c>
      <c r="D321" t="s">
        <v>451</v>
      </c>
      <c r="E321" s="2">
        <v>1311380</v>
      </c>
      <c r="F321" s="2">
        <v>292934</v>
      </c>
      <c r="G321" t="s">
        <v>66</v>
      </c>
      <c r="H321" t="s">
        <v>69</v>
      </c>
      <c r="I321" t="s">
        <v>81</v>
      </c>
      <c r="J321" t="s">
        <v>98</v>
      </c>
      <c r="K321" t="s">
        <v>123</v>
      </c>
      <c r="L321">
        <v>4</v>
      </c>
      <c r="M321">
        <v>2</v>
      </c>
      <c r="N321" t="s">
        <v>151</v>
      </c>
      <c r="O321" t="s">
        <v>154</v>
      </c>
      <c r="P321" t="s">
        <v>309</v>
      </c>
      <c r="Q321">
        <v>1.2E-2</v>
      </c>
      <c r="R321" s="9">
        <v>15736.56</v>
      </c>
      <c r="S321" t="str">
        <f>IF(OR(Sheet1[[#This Row],[Salary_USD]]&lt;$V$13,Sheet1[[#This Row],[Salary_USD]]&gt;$V$12),"Outlier","Normal")</f>
        <v>Normal</v>
      </c>
    </row>
    <row r="322" spans="1:19" x14ac:dyDescent="0.25">
      <c r="A322" t="s">
        <v>20</v>
      </c>
      <c r="B322" t="s">
        <v>35</v>
      </c>
      <c r="C322" t="s">
        <v>43</v>
      </c>
      <c r="D322" t="s">
        <v>55</v>
      </c>
      <c r="E322" s="2">
        <v>55670</v>
      </c>
      <c r="F322" s="2">
        <v>5562</v>
      </c>
      <c r="G322" t="s">
        <v>63</v>
      </c>
      <c r="H322" t="s">
        <v>70</v>
      </c>
      <c r="I322" t="s">
        <v>80</v>
      </c>
      <c r="J322" t="s">
        <v>106</v>
      </c>
      <c r="K322" t="s">
        <v>106</v>
      </c>
      <c r="L322">
        <v>3</v>
      </c>
      <c r="M322">
        <v>0</v>
      </c>
      <c r="N322" t="s">
        <v>152</v>
      </c>
      <c r="O322" t="s">
        <v>157</v>
      </c>
      <c r="P322" t="s">
        <v>190</v>
      </c>
      <c r="Q322">
        <v>1.1000000000000001</v>
      </c>
      <c r="R322" s="9">
        <v>61237.000000000007</v>
      </c>
      <c r="S322" t="str">
        <f>IF(OR(Sheet1[[#This Row],[Salary_USD]]&lt;$V$13,Sheet1[[#This Row],[Salary_USD]]&gt;$V$12),"Outlier","Normal")</f>
        <v>Normal</v>
      </c>
    </row>
    <row r="323" spans="1:19" x14ac:dyDescent="0.25">
      <c r="A323" t="s">
        <v>17</v>
      </c>
      <c r="B323" t="s">
        <v>23</v>
      </c>
      <c r="C323" t="s">
        <v>52</v>
      </c>
      <c r="D323" t="s">
        <v>61</v>
      </c>
      <c r="E323" s="2">
        <v>27453</v>
      </c>
      <c r="F323" s="2">
        <v>645</v>
      </c>
      <c r="G323" t="s">
        <v>68</v>
      </c>
      <c r="H323" t="s">
        <v>69</v>
      </c>
      <c r="I323" t="s">
        <v>74</v>
      </c>
      <c r="J323" t="s">
        <v>84</v>
      </c>
      <c r="K323" t="s">
        <v>74</v>
      </c>
      <c r="L323">
        <v>20</v>
      </c>
      <c r="M323">
        <v>20</v>
      </c>
      <c r="N323" t="s">
        <v>148</v>
      </c>
      <c r="O323" t="s">
        <v>157</v>
      </c>
      <c r="P323" t="s">
        <v>212</v>
      </c>
      <c r="Q323">
        <v>1.25</v>
      </c>
      <c r="R323" s="9">
        <v>34316.25</v>
      </c>
      <c r="S323" t="str">
        <f>IF(OR(Sheet1[[#This Row],[Salary_USD]]&lt;$V$13,Sheet1[[#This Row],[Salary_USD]]&gt;$V$12),"Outlier","Normal")</f>
        <v>Normal</v>
      </c>
    </row>
    <row r="324" spans="1:19" x14ac:dyDescent="0.25">
      <c r="A324" t="s">
        <v>21</v>
      </c>
      <c r="B324" t="s">
        <v>29</v>
      </c>
      <c r="C324" t="s">
        <v>41</v>
      </c>
      <c r="D324" t="s">
        <v>56</v>
      </c>
      <c r="E324" s="2">
        <v>935398</v>
      </c>
      <c r="F324" s="2">
        <v>0</v>
      </c>
      <c r="G324" t="s">
        <v>66</v>
      </c>
      <c r="H324" t="s">
        <v>71</v>
      </c>
      <c r="I324" t="s">
        <v>80</v>
      </c>
      <c r="J324" t="s">
        <v>106</v>
      </c>
      <c r="K324" t="s">
        <v>106</v>
      </c>
      <c r="L324">
        <v>20</v>
      </c>
      <c r="M324">
        <v>20</v>
      </c>
      <c r="N324" t="s">
        <v>151</v>
      </c>
      <c r="O324" t="s">
        <v>155</v>
      </c>
      <c r="P324" t="s">
        <v>193</v>
      </c>
      <c r="Q324">
        <v>1.2E-2</v>
      </c>
      <c r="R324" s="9">
        <v>11224.776</v>
      </c>
      <c r="S324" t="str">
        <f>IF(OR(Sheet1[[#This Row],[Salary_USD]]&lt;$V$13,Sheet1[[#This Row],[Salary_USD]]&gt;$V$12),"Outlier","Normal")</f>
        <v>Normal</v>
      </c>
    </row>
    <row r="325" spans="1:19" x14ac:dyDescent="0.25">
      <c r="A325" t="s">
        <v>17</v>
      </c>
      <c r="B325" t="s">
        <v>29</v>
      </c>
      <c r="C325" t="s">
        <v>36</v>
      </c>
      <c r="D325" t="s">
        <v>62</v>
      </c>
      <c r="E325" s="2">
        <v>78333</v>
      </c>
      <c r="F325" s="2">
        <v>0</v>
      </c>
      <c r="G325" t="s">
        <v>65</v>
      </c>
      <c r="H325" t="s">
        <v>70</v>
      </c>
      <c r="I325" t="s">
        <v>78</v>
      </c>
      <c r="J325" t="s">
        <v>90</v>
      </c>
      <c r="K325" t="s">
        <v>138</v>
      </c>
      <c r="L325">
        <v>9</v>
      </c>
      <c r="M325">
        <v>8</v>
      </c>
      <c r="N325" t="s">
        <v>152</v>
      </c>
      <c r="O325" t="s">
        <v>157</v>
      </c>
      <c r="P325" t="s">
        <v>212</v>
      </c>
      <c r="Q325">
        <v>0.73</v>
      </c>
      <c r="R325" s="9">
        <v>57183.09</v>
      </c>
      <c r="S325" t="str">
        <f>IF(OR(Sheet1[[#This Row],[Salary_USD]]&lt;$V$13,Sheet1[[#This Row],[Salary_USD]]&gt;$V$12),"Outlier","Normal")</f>
        <v>Normal</v>
      </c>
    </row>
    <row r="326" spans="1:19" x14ac:dyDescent="0.25">
      <c r="A326" t="s">
        <v>21</v>
      </c>
      <c r="B326" t="s">
        <v>26</v>
      </c>
      <c r="C326" t="s">
        <v>45</v>
      </c>
      <c r="D326" t="s">
        <v>54</v>
      </c>
      <c r="E326" s="2">
        <v>80894</v>
      </c>
      <c r="F326" s="2">
        <v>6586</v>
      </c>
      <c r="G326" t="s">
        <v>68</v>
      </c>
      <c r="H326" t="s">
        <v>71</v>
      </c>
      <c r="I326" t="s">
        <v>74</v>
      </c>
      <c r="J326" t="s">
        <v>84</v>
      </c>
      <c r="K326" t="s">
        <v>74</v>
      </c>
      <c r="L326">
        <v>25</v>
      </c>
      <c r="M326">
        <v>25</v>
      </c>
      <c r="N326" t="s">
        <v>149</v>
      </c>
      <c r="O326" t="s">
        <v>155</v>
      </c>
      <c r="P326" t="s">
        <v>174</v>
      </c>
      <c r="Q326">
        <v>1.25</v>
      </c>
      <c r="R326" s="9">
        <v>101117.5</v>
      </c>
      <c r="S326" t="str">
        <f>IF(OR(Sheet1[[#This Row],[Salary_USD]]&lt;$V$13,Sheet1[[#This Row],[Salary_USD]]&gt;$V$12),"Outlier","Normal")</f>
        <v>Normal</v>
      </c>
    </row>
    <row r="327" spans="1:19" x14ac:dyDescent="0.25">
      <c r="A327" t="s">
        <v>18</v>
      </c>
      <c r="B327" t="s">
        <v>29</v>
      </c>
      <c r="C327" t="s">
        <v>38</v>
      </c>
      <c r="D327" t="s">
        <v>57</v>
      </c>
      <c r="E327" s="2">
        <v>56903</v>
      </c>
      <c r="F327" s="2">
        <v>0</v>
      </c>
      <c r="G327" t="s">
        <v>68</v>
      </c>
      <c r="H327" t="s">
        <v>69</v>
      </c>
      <c r="I327" t="s">
        <v>79</v>
      </c>
      <c r="J327" t="s">
        <v>91</v>
      </c>
      <c r="K327" t="s">
        <v>118</v>
      </c>
      <c r="L327">
        <v>1</v>
      </c>
      <c r="M327">
        <v>0</v>
      </c>
      <c r="N327" t="s">
        <v>150</v>
      </c>
      <c r="O327" t="s">
        <v>155</v>
      </c>
      <c r="P327" t="s">
        <v>169</v>
      </c>
      <c r="Q327">
        <v>1.25</v>
      </c>
      <c r="R327" s="9">
        <v>71128.75</v>
      </c>
      <c r="S327" t="str">
        <f>IF(OR(Sheet1[[#This Row],[Salary_USD]]&lt;$V$13,Sheet1[[#This Row],[Salary_USD]]&gt;$V$12),"Outlier","Normal")</f>
        <v>Normal</v>
      </c>
    </row>
    <row r="328" spans="1:19" x14ac:dyDescent="0.25">
      <c r="A328" t="s">
        <v>19</v>
      </c>
      <c r="B328" t="s">
        <v>22</v>
      </c>
      <c r="C328" t="s">
        <v>42</v>
      </c>
      <c r="D328" t="s">
        <v>55</v>
      </c>
      <c r="E328" s="2">
        <v>87297</v>
      </c>
      <c r="F328" s="2">
        <v>8964</v>
      </c>
      <c r="G328" t="s">
        <v>68</v>
      </c>
      <c r="H328" t="s">
        <v>71</v>
      </c>
      <c r="I328" t="s">
        <v>81</v>
      </c>
      <c r="J328" t="s">
        <v>103</v>
      </c>
      <c r="K328" t="s">
        <v>140</v>
      </c>
      <c r="L328">
        <v>15</v>
      </c>
      <c r="M328">
        <v>15</v>
      </c>
      <c r="N328" t="s">
        <v>152</v>
      </c>
      <c r="O328" t="s">
        <v>156</v>
      </c>
      <c r="P328" t="s">
        <v>188</v>
      </c>
      <c r="Q328">
        <v>1.25</v>
      </c>
      <c r="R328" s="9">
        <v>109121.25</v>
      </c>
      <c r="S328" t="str">
        <f>IF(OR(Sheet1[[#This Row],[Salary_USD]]&lt;$V$13,Sheet1[[#This Row],[Salary_USD]]&gt;$V$12),"Outlier","Normal")</f>
        <v>Normal</v>
      </c>
    </row>
    <row r="329" spans="1:19" x14ac:dyDescent="0.25">
      <c r="A329" t="s">
        <v>20</v>
      </c>
      <c r="B329" t="s">
        <v>28</v>
      </c>
      <c r="C329" t="s">
        <v>50</v>
      </c>
      <c r="D329" t="s">
        <v>56</v>
      </c>
      <c r="E329" s="2">
        <v>137568</v>
      </c>
      <c r="F329" s="2">
        <v>2914</v>
      </c>
      <c r="G329" t="s">
        <v>64</v>
      </c>
      <c r="H329" t="s">
        <v>69</v>
      </c>
      <c r="I329" t="s">
        <v>79</v>
      </c>
      <c r="J329" t="s">
        <v>91</v>
      </c>
      <c r="K329" t="s">
        <v>118</v>
      </c>
      <c r="L329">
        <v>5</v>
      </c>
      <c r="M329">
        <v>5</v>
      </c>
      <c r="N329" t="s">
        <v>151</v>
      </c>
      <c r="O329" t="s">
        <v>156</v>
      </c>
      <c r="P329" t="s">
        <v>162</v>
      </c>
      <c r="Q329">
        <v>0.65</v>
      </c>
      <c r="R329" s="9">
        <v>89419.199999999997</v>
      </c>
      <c r="S329" t="str">
        <f>IF(OR(Sheet1[[#This Row],[Salary_USD]]&lt;$V$13,Sheet1[[#This Row],[Salary_USD]]&gt;$V$12),"Outlier","Normal")</f>
        <v>Normal</v>
      </c>
    </row>
    <row r="330" spans="1:19" x14ac:dyDescent="0.25">
      <c r="A330" t="s">
        <v>19</v>
      </c>
      <c r="B330" t="s">
        <v>29</v>
      </c>
      <c r="C330" t="s">
        <v>37</v>
      </c>
      <c r="D330" t="s">
        <v>57</v>
      </c>
      <c r="E330" s="2">
        <v>43540</v>
      </c>
      <c r="F330" s="2">
        <v>5668</v>
      </c>
      <c r="G330" t="s">
        <v>68</v>
      </c>
      <c r="H330" t="s">
        <v>451</v>
      </c>
      <c r="I330" t="s">
        <v>72</v>
      </c>
      <c r="J330" t="s">
        <v>82</v>
      </c>
      <c r="K330" t="s">
        <v>112</v>
      </c>
      <c r="L330">
        <v>7</v>
      </c>
      <c r="M330">
        <v>7</v>
      </c>
      <c r="N330" t="s">
        <v>153</v>
      </c>
      <c r="O330" t="s">
        <v>157</v>
      </c>
      <c r="P330" t="s">
        <v>310</v>
      </c>
      <c r="Q330">
        <v>1.25</v>
      </c>
      <c r="R330" s="9">
        <v>54425</v>
      </c>
      <c r="S330" t="str">
        <f>IF(OR(Sheet1[[#This Row],[Salary_USD]]&lt;$V$13,Sheet1[[#This Row],[Salary_USD]]&gt;$V$12),"Outlier","Normal")</f>
        <v>Normal</v>
      </c>
    </row>
    <row r="331" spans="1:19" x14ac:dyDescent="0.25">
      <c r="A331" t="s">
        <v>20</v>
      </c>
      <c r="B331" t="s">
        <v>22</v>
      </c>
      <c r="C331" t="s">
        <v>36</v>
      </c>
      <c r="D331" t="s">
        <v>59</v>
      </c>
      <c r="E331" s="2">
        <v>71614</v>
      </c>
      <c r="F331" s="2">
        <v>4649</v>
      </c>
      <c r="G331" t="s">
        <v>64</v>
      </c>
      <c r="H331" t="s">
        <v>71</v>
      </c>
      <c r="I331" t="s">
        <v>74</v>
      </c>
      <c r="J331" t="s">
        <v>84</v>
      </c>
      <c r="K331" t="s">
        <v>74</v>
      </c>
      <c r="L331">
        <v>5</v>
      </c>
      <c r="M331">
        <v>4</v>
      </c>
      <c r="N331" t="s">
        <v>152</v>
      </c>
      <c r="O331" t="s">
        <v>157</v>
      </c>
      <c r="P331" t="s">
        <v>167</v>
      </c>
      <c r="Q331">
        <v>0.65</v>
      </c>
      <c r="R331" s="9">
        <v>46549.1</v>
      </c>
      <c r="S331" t="str">
        <f>IF(OR(Sheet1[[#This Row],[Salary_USD]]&lt;$V$13,Sheet1[[#This Row],[Salary_USD]]&gt;$V$12),"Outlier","Normal")</f>
        <v>Normal</v>
      </c>
    </row>
    <row r="332" spans="1:19" x14ac:dyDescent="0.25">
      <c r="A332" t="s">
        <v>20</v>
      </c>
      <c r="B332" t="s">
        <v>22</v>
      </c>
      <c r="C332" t="s">
        <v>47</v>
      </c>
      <c r="D332" t="s">
        <v>451</v>
      </c>
      <c r="E332" s="2">
        <v>1212737</v>
      </c>
      <c r="F332" s="2">
        <v>5538</v>
      </c>
      <c r="G332" t="s">
        <v>66</v>
      </c>
      <c r="H332" t="s">
        <v>451</v>
      </c>
      <c r="I332" t="s">
        <v>80</v>
      </c>
      <c r="J332" t="s">
        <v>106</v>
      </c>
      <c r="K332" t="s">
        <v>106</v>
      </c>
      <c r="L332">
        <v>4</v>
      </c>
      <c r="M332">
        <v>4</v>
      </c>
      <c r="N332" t="s">
        <v>148</v>
      </c>
      <c r="O332" t="s">
        <v>157</v>
      </c>
      <c r="P332" t="s">
        <v>311</v>
      </c>
      <c r="Q332">
        <v>1.2E-2</v>
      </c>
      <c r="R332" s="9">
        <v>14552.844000000001</v>
      </c>
      <c r="S332" t="str">
        <f>IF(OR(Sheet1[[#This Row],[Salary_USD]]&lt;$V$13,Sheet1[[#This Row],[Salary_USD]]&gt;$V$12),"Outlier","Normal")</f>
        <v>Normal</v>
      </c>
    </row>
    <row r="333" spans="1:19" x14ac:dyDescent="0.25">
      <c r="A333" t="s">
        <v>19</v>
      </c>
      <c r="B333" t="s">
        <v>23</v>
      </c>
      <c r="C333" t="s">
        <v>37</v>
      </c>
      <c r="D333" t="s">
        <v>57</v>
      </c>
      <c r="E333" s="2">
        <v>108620</v>
      </c>
      <c r="F333" s="2">
        <v>1353</v>
      </c>
      <c r="G333" t="s">
        <v>65</v>
      </c>
      <c r="H333" t="s">
        <v>71</v>
      </c>
      <c r="I333" t="s">
        <v>80</v>
      </c>
      <c r="J333" t="s">
        <v>93</v>
      </c>
      <c r="K333" t="s">
        <v>93</v>
      </c>
      <c r="L333">
        <v>4</v>
      </c>
      <c r="M333">
        <v>4</v>
      </c>
      <c r="N333" t="s">
        <v>152</v>
      </c>
      <c r="O333" t="s">
        <v>154</v>
      </c>
      <c r="P333" t="s">
        <v>312</v>
      </c>
      <c r="Q333">
        <v>0.73</v>
      </c>
      <c r="R333" s="9">
        <v>79292.599999999991</v>
      </c>
      <c r="S333" t="str">
        <f>IF(OR(Sheet1[[#This Row],[Salary_USD]]&lt;$V$13,Sheet1[[#This Row],[Salary_USD]]&gt;$V$12),"Outlier","Normal")</f>
        <v>Normal</v>
      </c>
    </row>
    <row r="334" spans="1:19" x14ac:dyDescent="0.25">
      <c r="A334" t="s">
        <v>17</v>
      </c>
      <c r="B334" t="s">
        <v>29</v>
      </c>
      <c r="C334" t="s">
        <v>50</v>
      </c>
      <c r="D334" t="s">
        <v>61</v>
      </c>
      <c r="E334" s="2">
        <v>20372</v>
      </c>
      <c r="F334" s="2">
        <v>0</v>
      </c>
      <c r="G334" t="s">
        <v>65</v>
      </c>
      <c r="H334" t="s">
        <v>70</v>
      </c>
      <c r="I334" t="s">
        <v>73</v>
      </c>
      <c r="J334" t="s">
        <v>83</v>
      </c>
      <c r="K334" t="s">
        <v>113</v>
      </c>
      <c r="L334">
        <v>9</v>
      </c>
      <c r="M334">
        <v>8</v>
      </c>
      <c r="N334" t="s">
        <v>153</v>
      </c>
      <c r="O334" t="s">
        <v>157</v>
      </c>
      <c r="P334" t="s">
        <v>313</v>
      </c>
      <c r="Q334">
        <v>0.73</v>
      </c>
      <c r="R334" s="9">
        <v>14871.56</v>
      </c>
      <c r="S334" t="str">
        <f>IF(OR(Sheet1[[#This Row],[Salary_USD]]&lt;$V$13,Sheet1[[#This Row],[Salary_USD]]&gt;$V$12),"Outlier","Normal")</f>
        <v>Normal</v>
      </c>
    </row>
    <row r="335" spans="1:19" x14ac:dyDescent="0.25">
      <c r="A335" t="s">
        <v>20</v>
      </c>
      <c r="B335" t="s">
        <v>35</v>
      </c>
      <c r="C335" t="s">
        <v>44</v>
      </c>
      <c r="D335" t="s">
        <v>54</v>
      </c>
      <c r="E335" s="2">
        <v>100658</v>
      </c>
      <c r="F335" s="2">
        <v>0</v>
      </c>
      <c r="G335" t="s">
        <v>64</v>
      </c>
      <c r="H335" t="s">
        <v>69</v>
      </c>
      <c r="I335" t="s">
        <v>77</v>
      </c>
      <c r="J335" t="s">
        <v>111</v>
      </c>
      <c r="K335" t="s">
        <v>141</v>
      </c>
      <c r="L335">
        <v>1</v>
      </c>
      <c r="M335">
        <v>1</v>
      </c>
      <c r="N335" t="s">
        <v>153</v>
      </c>
      <c r="O335" t="s">
        <v>154</v>
      </c>
      <c r="P335" t="s">
        <v>314</v>
      </c>
      <c r="Q335">
        <v>0.65</v>
      </c>
      <c r="R335" s="9">
        <v>65427.700000000004</v>
      </c>
      <c r="S335" t="str">
        <f>IF(OR(Sheet1[[#This Row],[Salary_USD]]&lt;$V$13,Sheet1[[#This Row],[Salary_USD]]&gt;$V$12),"Outlier","Normal")</f>
        <v>Normal</v>
      </c>
    </row>
    <row r="336" spans="1:19" x14ac:dyDescent="0.25">
      <c r="A336" t="s">
        <v>19</v>
      </c>
      <c r="B336" t="s">
        <v>28</v>
      </c>
      <c r="C336" t="s">
        <v>49</v>
      </c>
      <c r="D336" t="s">
        <v>60</v>
      </c>
      <c r="E336" s="2">
        <v>87418</v>
      </c>
      <c r="F336" s="2">
        <v>10486</v>
      </c>
      <c r="G336" t="s">
        <v>68</v>
      </c>
      <c r="H336" t="s">
        <v>451</v>
      </c>
      <c r="I336" t="s">
        <v>74</v>
      </c>
      <c r="J336" t="s">
        <v>84</v>
      </c>
      <c r="K336" t="s">
        <v>74</v>
      </c>
      <c r="L336">
        <v>3</v>
      </c>
      <c r="M336">
        <v>3</v>
      </c>
      <c r="N336" t="s">
        <v>149</v>
      </c>
      <c r="O336" t="s">
        <v>155</v>
      </c>
      <c r="P336" t="s">
        <v>315</v>
      </c>
      <c r="Q336">
        <v>1.25</v>
      </c>
      <c r="R336" s="9">
        <v>109272.5</v>
      </c>
      <c r="S336" t="str">
        <f>IF(OR(Sheet1[[#This Row],[Salary_USD]]&lt;$V$13,Sheet1[[#This Row],[Salary_USD]]&gt;$V$12),"Outlier","Normal")</f>
        <v>Normal</v>
      </c>
    </row>
    <row r="337" spans="1:19" x14ac:dyDescent="0.25">
      <c r="A337" t="s">
        <v>19</v>
      </c>
      <c r="B337" t="s">
        <v>35</v>
      </c>
      <c r="C337" t="s">
        <v>46</v>
      </c>
      <c r="D337" t="s">
        <v>57</v>
      </c>
      <c r="E337" s="2">
        <v>34924</v>
      </c>
      <c r="F337" s="2">
        <v>5205</v>
      </c>
      <c r="G337" t="s">
        <v>68</v>
      </c>
      <c r="H337" t="s">
        <v>69</v>
      </c>
      <c r="I337" t="s">
        <v>75</v>
      </c>
      <c r="J337" t="s">
        <v>108</v>
      </c>
      <c r="K337" t="s">
        <v>135</v>
      </c>
      <c r="L337">
        <v>15</v>
      </c>
      <c r="M337">
        <v>15</v>
      </c>
      <c r="N337" t="s">
        <v>148</v>
      </c>
      <c r="O337" t="s">
        <v>156</v>
      </c>
      <c r="P337" t="s">
        <v>162</v>
      </c>
      <c r="Q337">
        <v>1.25</v>
      </c>
      <c r="R337" s="9">
        <v>43655</v>
      </c>
      <c r="S337" t="str">
        <f>IF(OR(Sheet1[[#This Row],[Salary_USD]]&lt;$V$13,Sheet1[[#This Row],[Salary_USD]]&gt;$V$12),"Outlier","Normal")</f>
        <v>Normal</v>
      </c>
    </row>
    <row r="338" spans="1:19" x14ac:dyDescent="0.25">
      <c r="A338" t="s">
        <v>19</v>
      </c>
      <c r="B338" t="s">
        <v>22</v>
      </c>
      <c r="C338" t="s">
        <v>46</v>
      </c>
      <c r="D338" t="s">
        <v>61</v>
      </c>
      <c r="E338" s="2">
        <v>19650</v>
      </c>
      <c r="F338" s="2">
        <v>447</v>
      </c>
      <c r="G338" t="s">
        <v>67</v>
      </c>
      <c r="H338" t="s">
        <v>451</v>
      </c>
      <c r="I338" t="s">
        <v>80</v>
      </c>
      <c r="J338" t="s">
        <v>106</v>
      </c>
      <c r="K338" t="s">
        <v>106</v>
      </c>
      <c r="L338">
        <v>7</v>
      </c>
      <c r="M338">
        <v>4</v>
      </c>
      <c r="N338" t="s">
        <v>150</v>
      </c>
      <c r="O338" t="s">
        <v>156</v>
      </c>
      <c r="P338" t="s">
        <v>171</v>
      </c>
      <c r="Q338">
        <v>1</v>
      </c>
      <c r="R338" s="9">
        <v>19650</v>
      </c>
      <c r="S338" t="str">
        <f>IF(OR(Sheet1[[#This Row],[Salary_USD]]&lt;$V$13,Sheet1[[#This Row],[Salary_USD]]&gt;$V$12),"Outlier","Normal")</f>
        <v>Normal</v>
      </c>
    </row>
    <row r="339" spans="1:19" x14ac:dyDescent="0.25">
      <c r="A339" t="s">
        <v>20</v>
      </c>
      <c r="B339" t="s">
        <v>32</v>
      </c>
      <c r="C339" t="s">
        <v>44</v>
      </c>
      <c r="D339" t="s">
        <v>58</v>
      </c>
      <c r="E339" s="2">
        <v>92541</v>
      </c>
      <c r="F339" s="2">
        <v>969</v>
      </c>
      <c r="G339" t="s">
        <v>63</v>
      </c>
      <c r="H339" t="s">
        <v>69</v>
      </c>
      <c r="I339" t="s">
        <v>80</v>
      </c>
      <c r="J339" t="s">
        <v>106</v>
      </c>
      <c r="K339" t="s">
        <v>106</v>
      </c>
      <c r="L339">
        <v>1</v>
      </c>
      <c r="M339">
        <v>1</v>
      </c>
      <c r="N339" t="s">
        <v>152</v>
      </c>
      <c r="O339" t="s">
        <v>154</v>
      </c>
      <c r="P339" t="s">
        <v>188</v>
      </c>
      <c r="Q339">
        <v>1.1000000000000001</v>
      </c>
      <c r="R339" s="9">
        <v>101795.1</v>
      </c>
      <c r="S339" t="str">
        <f>IF(OR(Sheet1[[#This Row],[Salary_USD]]&lt;$V$13,Sheet1[[#This Row],[Salary_USD]]&gt;$V$12),"Outlier","Normal")</f>
        <v>Normal</v>
      </c>
    </row>
    <row r="340" spans="1:19" x14ac:dyDescent="0.25">
      <c r="A340" t="s">
        <v>19</v>
      </c>
      <c r="B340" t="s">
        <v>35</v>
      </c>
      <c r="C340" t="s">
        <v>51</v>
      </c>
      <c r="D340" t="s">
        <v>62</v>
      </c>
      <c r="E340" s="2">
        <v>66737</v>
      </c>
      <c r="F340" s="2">
        <v>3269</v>
      </c>
      <c r="G340" t="s">
        <v>63</v>
      </c>
      <c r="H340" t="s">
        <v>71</v>
      </c>
      <c r="I340" t="s">
        <v>74</v>
      </c>
      <c r="J340" t="s">
        <v>84</v>
      </c>
      <c r="K340" t="s">
        <v>74</v>
      </c>
      <c r="L340">
        <v>5</v>
      </c>
      <c r="M340">
        <v>5</v>
      </c>
      <c r="N340" t="s">
        <v>149</v>
      </c>
      <c r="O340" t="s">
        <v>154</v>
      </c>
      <c r="P340" t="s">
        <v>316</v>
      </c>
      <c r="Q340">
        <v>1.1000000000000001</v>
      </c>
      <c r="R340" s="9">
        <v>73410.700000000012</v>
      </c>
      <c r="S340" t="str">
        <f>IF(OR(Sheet1[[#This Row],[Salary_USD]]&lt;$V$13,Sheet1[[#This Row],[Salary_USD]]&gt;$V$12),"Outlier","Normal")</f>
        <v>Normal</v>
      </c>
    </row>
    <row r="341" spans="1:19" x14ac:dyDescent="0.25">
      <c r="A341" t="s">
        <v>21</v>
      </c>
      <c r="B341" t="s">
        <v>31</v>
      </c>
      <c r="C341" t="s">
        <v>43</v>
      </c>
      <c r="D341" t="s">
        <v>451</v>
      </c>
      <c r="E341" s="2">
        <v>1215015</v>
      </c>
      <c r="F341" s="2">
        <v>218001</v>
      </c>
      <c r="G341" t="s">
        <v>66</v>
      </c>
      <c r="H341" t="s">
        <v>451</v>
      </c>
      <c r="I341" t="s">
        <v>75</v>
      </c>
      <c r="J341" t="s">
        <v>85</v>
      </c>
      <c r="K341" t="s">
        <v>114</v>
      </c>
      <c r="L341">
        <v>20</v>
      </c>
      <c r="M341">
        <v>17</v>
      </c>
      <c r="N341" t="s">
        <v>150</v>
      </c>
      <c r="O341" t="s">
        <v>154</v>
      </c>
      <c r="P341" t="s">
        <v>317</v>
      </c>
      <c r="Q341">
        <v>1.2E-2</v>
      </c>
      <c r="R341" s="9">
        <v>14580.18</v>
      </c>
      <c r="S341" t="str">
        <f>IF(OR(Sheet1[[#This Row],[Salary_USD]]&lt;$V$13,Sheet1[[#This Row],[Salary_USD]]&gt;$V$12),"Outlier","Normal")</f>
        <v>Normal</v>
      </c>
    </row>
    <row r="342" spans="1:19" x14ac:dyDescent="0.25">
      <c r="A342" t="s">
        <v>21</v>
      </c>
      <c r="B342" t="s">
        <v>24</v>
      </c>
      <c r="C342" t="s">
        <v>43</v>
      </c>
      <c r="D342" t="s">
        <v>54</v>
      </c>
      <c r="E342" s="2">
        <v>61340</v>
      </c>
      <c r="F342" s="2">
        <v>8040</v>
      </c>
      <c r="G342" t="s">
        <v>63</v>
      </c>
      <c r="H342" t="s">
        <v>70</v>
      </c>
      <c r="I342" t="s">
        <v>79</v>
      </c>
      <c r="J342" t="s">
        <v>91</v>
      </c>
      <c r="K342" t="s">
        <v>118</v>
      </c>
      <c r="L342">
        <v>9</v>
      </c>
      <c r="M342">
        <v>9</v>
      </c>
      <c r="N342" t="s">
        <v>151</v>
      </c>
      <c r="O342" t="s">
        <v>156</v>
      </c>
      <c r="P342" t="s">
        <v>165</v>
      </c>
      <c r="Q342">
        <v>1.1000000000000001</v>
      </c>
      <c r="R342" s="9">
        <v>67474</v>
      </c>
      <c r="S342" t="str">
        <f>IF(OR(Sheet1[[#This Row],[Salary_USD]]&lt;$V$13,Sheet1[[#This Row],[Salary_USD]]&gt;$V$12),"Outlier","Normal")</f>
        <v>Normal</v>
      </c>
    </row>
    <row r="343" spans="1:19" x14ac:dyDescent="0.25">
      <c r="A343" t="s">
        <v>17</v>
      </c>
      <c r="B343" t="s">
        <v>31</v>
      </c>
      <c r="C343" t="s">
        <v>40</v>
      </c>
      <c r="D343" t="s">
        <v>55</v>
      </c>
      <c r="E343" s="2">
        <v>99207</v>
      </c>
      <c r="F343" s="2">
        <v>2035</v>
      </c>
      <c r="G343" t="s">
        <v>64</v>
      </c>
      <c r="H343" t="s">
        <v>69</v>
      </c>
      <c r="I343" t="s">
        <v>77</v>
      </c>
      <c r="J343" t="s">
        <v>89</v>
      </c>
      <c r="K343" t="s">
        <v>124</v>
      </c>
      <c r="L343">
        <v>25</v>
      </c>
      <c r="M343">
        <v>22</v>
      </c>
      <c r="N343" t="s">
        <v>153</v>
      </c>
      <c r="O343" t="s">
        <v>155</v>
      </c>
      <c r="P343" t="s">
        <v>318</v>
      </c>
      <c r="Q343">
        <v>0.65</v>
      </c>
      <c r="R343" s="9">
        <v>64484.55</v>
      </c>
      <c r="S343" t="str">
        <f>IF(OR(Sheet1[[#This Row],[Salary_USD]]&lt;$V$13,Sheet1[[#This Row],[Salary_USD]]&gt;$V$12),"Outlier","Normal")</f>
        <v>Normal</v>
      </c>
    </row>
    <row r="344" spans="1:19" x14ac:dyDescent="0.25">
      <c r="A344" t="s">
        <v>17</v>
      </c>
      <c r="B344" t="s">
        <v>34</v>
      </c>
      <c r="C344" t="s">
        <v>49</v>
      </c>
      <c r="D344" t="s">
        <v>54</v>
      </c>
      <c r="E344" s="2">
        <v>78728</v>
      </c>
      <c r="F344" s="2">
        <v>1658</v>
      </c>
      <c r="G344" t="s">
        <v>67</v>
      </c>
      <c r="H344" t="s">
        <v>71</v>
      </c>
      <c r="I344" t="s">
        <v>79</v>
      </c>
      <c r="J344" t="s">
        <v>107</v>
      </c>
      <c r="K344" t="s">
        <v>134</v>
      </c>
      <c r="L344">
        <v>10</v>
      </c>
      <c r="M344">
        <v>10</v>
      </c>
      <c r="N344" t="s">
        <v>153</v>
      </c>
      <c r="O344" t="s">
        <v>155</v>
      </c>
      <c r="P344" t="s">
        <v>238</v>
      </c>
      <c r="Q344">
        <v>1</v>
      </c>
      <c r="R344" s="9">
        <v>78728</v>
      </c>
      <c r="S344" t="str">
        <f>IF(OR(Sheet1[[#This Row],[Salary_USD]]&lt;$V$13,Sheet1[[#This Row],[Salary_USD]]&gt;$V$12),"Outlier","Normal")</f>
        <v>Normal</v>
      </c>
    </row>
    <row r="345" spans="1:19" x14ac:dyDescent="0.25">
      <c r="A345" t="s">
        <v>19</v>
      </c>
      <c r="B345" t="s">
        <v>24</v>
      </c>
      <c r="C345" t="s">
        <v>48</v>
      </c>
      <c r="D345" t="s">
        <v>61</v>
      </c>
      <c r="E345" s="2">
        <v>112963</v>
      </c>
      <c r="F345" s="2">
        <v>2568</v>
      </c>
      <c r="G345" t="s">
        <v>65</v>
      </c>
      <c r="H345" t="s">
        <v>56</v>
      </c>
      <c r="I345" t="s">
        <v>75</v>
      </c>
      <c r="J345" t="s">
        <v>96</v>
      </c>
      <c r="K345" t="s">
        <v>121</v>
      </c>
      <c r="L345">
        <v>15</v>
      </c>
      <c r="M345">
        <v>13</v>
      </c>
      <c r="N345" t="s">
        <v>152</v>
      </c>
      <c r="O345" t="s">
        <v>155</v>
      </c>
      <c r="P345" t="s">
        <v>315</v>
      </c>
      <c r="Q345">
        <v>0.73</v>
      </c>
      <c r="R345" s="9">
        <v>82462.990000000005</v>
      </c>
      <c r="S345" t="str">
        <f>IF(OR(Sheet1[[#This Row],[Salary_USD]]&lt;$V$13,Sheet1[[#This Row],[Salary_USD]]&gt;$V$12),"Outlier","Normal")</f>
        <v>Normal</v>
      </c>
    </row>
    <row r="346" spans="1:19" x14ac:dyDescent="0.25">
      <c r="A346" t="s">
        <v>20</v>
      </c>
      <c r="B346" t="s">
        <v>34</v>
      </c>
      <c r="C346" t="s">
        <v>53</v>
      </c>
      <c r="D346" t="s">
        <v>55</v>
      </c>
      <c r="E346" s="2">
        <v>108858</v>
      </c>
      <c r="F346" s="2">
        <v>1760</v>
      </c>
      <c r="G346" t="s">
        <v>67</v>
      </c>
      <c r="H346" t="s">
        <v>70</v>
      </c>
      <c r="I346" t="s">
        <v>75</v>
      </c>
      <c r="J346" t="s">
        <v>96</v>
      </c>
      <c r="K346" t="s">
        <v>121</v>
      </c>
      <c r="L346">
        <v>1</v>
      </c>
      <c r="M346">
        <v>0</v>
      </c>
      <c r="N346" t="s">
        <v>148</v>
      </c>
      <c r="O346" t="s">
        <v>155</v>
      </c>
      <c r="P346" t="s">
        <v>162</v>
      </c>
      <c r="Q346">
        <v>1</v>
      </c>
      <c r="R346" s="9">
        <v>108858</v>
      </c>
      <c r="S346" t="str">
        <f>IF(OR(Sheet1[[#This Row],[Salary_USD]]&lt;$V$13,Sheet1[[#This Row],[Salary_USD]]&gt;$V$12),"Outlier","Normal")</f>
        <v>Normal</v>
      </c>
    </row>
    <row r="347" spans="1:19" x14ac:dyDescent="0.25">
      <c r="A347" t="s">
        <v>19</v>
      </c>
      <c r="B347" t="s">
        <v>32</v>
      </c>
      <c r="C347" t="s">
        <v>42</v>
      </c>
      <c r="D347" t="s">
        <v>56</v>
      </c>
      <c r="E347" s="2">
        <v>76630</v>
      </c>
      <c r="F347" s="2">
        <v>933</v>
      </c>
      <c r="G347" t="s">
        <v>65</v>
      </c>
      <c r="H347" t="s">
        <v>56</v>
      </c>
      <c r="I347" t="s">
        <v>74</v>
      </c>
      <c r="J347" t="s">
        <v>84</v>
      </c>
      <c r="K347" t="s">
        <v>74</v>
      </c>
      <c r="L347">
        <v>10</v>
      </c>
      <c r="M347">
        <v>9</v>
      </c>
      <c r="N347" t="s">
        <v>148</v>
      </c>
      <c r="O347" t="s">
        <v>154</v>
      </c>
      <c r="P347" t="s">
        <v>255</v>
      </c>
      <c r="Q347">
        <v>0.73</v>
      </c>
      <c r="R347" s="9">
        <v>55939.9</v>
      </c>
      <c r="S347" t="str">
        <f>IF(OR(Sheet1[[#This Row],[Salary_USD]]&lt;$V$13,Sheet1[[#This Row],[Salary_USD]]&gt;$V$12),"Outlier","Normal")</f>
        <v>Normal</v>
      </c>
    </row>
    <row r="348" spans="1:19" x14ac:dyDescent="0.25">
      <c r="A348" t="s">
        <v>19</v>
      </c>
      <c r="B348" t="s">
        <v>22</v>
      </c>
      <c r="C348" t="s">
        <v>36</v>
      </c>
      <c r="D348" t="s">
        <v>55</v>
      </c>
      <c r="E348" s="2">
        <v>64540</v>
      </c>
      <c r="F348" s="2">
        <v>2955</v>
      </c>
      <c r="G348" t="s">
        <v>64</v>
      </c>
      <c r="H348" t="s">
        <v>69</v>
      </c>
      <c r="I348" t="s">
        <v>76</v>
      </c>
      <c r="J348" t="s">
        <v>100</v>
      </c>
      <c r="K348" t="s">
        <v>126</v>
      </c>
      <c r="L348">
        <v>15</v>
      </c>
      <c r="M348">
        <v>13</v>
      </c>
      <c r="N348" t="s">
        <v>148</v>
      </c>
      <c r="O348" t="s">
        <v>156</v>
      </c>
      <c r="P348" t="s">
        <v>299</v>
      </c>
      <c r="Q348">
        <v>0.65</v>
      </c>
      <c r="R348" s="9">
        <v>41951</v>
      </c>
      <c r="S348" t="str">
        <f>IF(OR(Sheet1[[#This Row],[Salary_USD]]&lt;$V$13,Sheet1[[#This Row],[Salary_USD]]&gt;$V$12),"Outlier","Normal")</f>
        <v>Normal</v>
      </c>
    </row>
    <row r="349" spans="1:19" x14ac:dyDescent="0.25">
      <c r="A349" t="s">
        <v>19</v>
      </c>
      <c r="B349" t="s">
        <v>26</v>
      </c>
      <c r="C349" t="s">
        <v>51</v>
      </c>
      <c r="D349" t="s">
        <v>61</v>
      </c>
      <c r="E349" s="2">
        <v>998685</v>
      </c>
      <c r="F349" s="2">
        <v>30708</v>
      </c>
      <c r="G349" t="s">
        <v>66</v>
      </c>
      <c r="H349" t="s">
        <v>69</v>
      </c>
      <c r="I349" t="s">
        <v>78</v>
      </c>
      <c r="J349" t="s">
        <v>88</v>
      </c>
      <c r="K349" t="s">
        <v>136</v>
      </c>
      <c r="L349">
        <v>2</v>
      </c>
      <c r="M349">
        <v>0</v>
      </c>
      <c r="N349" t="s">
        <v>153</v>
      </c>
      <c r="O349" t="s">
        <v>157</v>
      </c>
      <c r="P349" t="s">
        <v>169</v>
      </c>
      <c r="Q349">
        <v>1.2E-2</v>
      </c>
      <c r="R349" s="9">
        <v>11984.22</v>
      </c>
      <c r="S349" t="str">
        <f>IF(OR(Sheet1[[#This Row],[Salary_USD]]&lt;$V$13,Sheet1[[#This Row],[Salary_USD]]&gt;$V$12),"Outlier","Normal")</f>
        <v>Normal</v>
      </c>
    </row>
    <row r="350" spans="1:19" x14ac:dyDescent="0.25">
      <c r="A350" t="s">
        <v>20</v>
      </c>
      <c r="B350" t="s">
        <v>35</v>
      </c>
      <c r="C350" t="s">
        <v>39</v>
      </c>
      <c r="D350" t="s">
        <v>58</v>
      </c>
      <c r="E350" s="2">
        <v>100458</v>
      </c>
      <c r="F350" s="2">
        <v>0</v>
      </c>
      <c r="G350" t="s">
        <v>65</v>
      </c>
      <c r="H350" t="s">
        <v>56</v>
      </c>
      <c r="I350" t="s">
        <v>73</v>
      </c>
      <c r="J350" t="s">
        <v>99</v>
      </c>
      <c r="K350" t="s">
        <v>125</v>
      </c>
      <c r="L350">
        <v>1</v>
      </c>
      <c r="M350">
        <v>0</v>
      </c>
      <c r="N350" t="s">
        <v>151</v>
      </c>
      <c r="O350" t="s">
        <v>154</v>
      </c>
      <c r="P350" t="s">
        <v>319</v>
      </c>
      <c r="Q350">
        <v>0.73</v>
      </c>
      <c r="R350" s="9">
        <v>73334.34</v>
      </c>
      <c r="S350" t="str">
        <f>IF(OR(Sheet1[[#This Row],[Salary_USD]]&lt;$V$13,Sheet1[[#This Row],[Salary_USD]]&gt;$V$12),"Outlier","Normal")</f>
        <v>Normal</v>
      </c>
    </row>
    <row r="351" spans="1:19" x14ac:dyDescent="0.25">
      <c r="A351" t="s">
        <v>17</v>
      </c>
      <c r="B351" t="s">
        <v>23</v>
      </c>
      <c r="C351" t="s">
        <v>43</v>
      </c>
      <c r="D351" t="s">
        <v>58</v>
      </c>
      <c r="E351" s="2">
        <v>24554</v>
      </c>
      <c r="F351" s="2">
        <v>598</v>
      </c>
      <c r="G351" t="s">
        <v>68</v>
      </c>
      <c r="H351" t="s">
        <v>70</v>
      </c>
      <c r="I351" t="s">
        <v>77</v>
      </c>
      <c r="J351" t="s">
        <v>111</v>
      </c>
      <c r="K351" t="s">
        <v>141</v>
      </c>
      <c r="L351">
        <v>10</v>
      </c>
      <c r="M351">
        <v>10</v>
      </c>
      <c r="N351" t="s">
        <v>151</v>
      </c>
      <c r="O351" t="s">
        <v>154</v>
      </c>
      <c r="P351" t="s">
        <v>179</v>
      </c>
      <c r="Q351">
        <v>1.25</v>
      </c>
      <c r="R351" s="9">
        <v>30692.5</v>
      </c>
      <c r="S351" t="str">
        <f>IF(OR(Sheet1[[#This Row],[Salary_USD]]&lt;$V$13,Sheet1[[#This Row],[Salary_USD]]&gt;$V$12),"Outlier","Normal")</f>
        <v>Normal</v>
      </c>
    </row>
    <row r="352" spans="1:19" x14ac:dyDescent="0.25">
      <c r="A352" t="s">
        <v>17</v>
      </c>
      <c r="B352" t="s">
        <v>22</v>
      </c>
      <c r="C352" t="s">
        <v>40</v>
      </c>
      <c r="D352" t="s">
        <v>451</v>
      </c>
      <c r="E352" s="2">
        <v>73160</v>
      </c>
      <c r="F352" s="2">
        <v>1140</v>
      </c>
      <c r="G352" t="s">
        <v>67</v>
      </c>
      <c r="H352" t="s">
        <v>69</v>
      </c>
      <c r="I352" t="s">
        <v>72</v>
      </c>
      <c r="J352" t="s">
        <v>82</v>
      </c>
      <c r="K352" t="s">
        <v>112</v>
      </c>
      <c r="L352">
        <v>18</v>
      </c>
      <c r="M352">
        <v>16</v>
      </c>
      <c r="N352" t="s">
        <v>152</v>
      </c>
      <c r="O352" t="s">
        <v>154</v>
      </c>
      <c r="P352" t="s">
        <v>236</v>
      </c>
      <c r="Q352">
        <v>1</v>
      </c>
      <c r="R352" s="9">
        <v>73160</v>
      </c>
      <c r="S352" t="str">
        <f>IF(OR(Sheet1[[#This Row],[Salary_USD]]&lt;$V$13,Sheet1[[#This Row],[Salary_USD]]&gt;$V$12),"Outlier","Normal")</f>
        <v>Normal</v>
      </c>
    </row>
    <row r="353" spans="1:19" x14ac:dyDescent="0.25">
      <c r="A353" t="s">
        <v>19</v>
      </c>
      <c r="B353" t="s">
        <v>451</v>
      </c>
      <c r="C353" t="s">
        <v>451</v>
      </c>
      <c r="D353" t="s">
        <v>55</v>
      </c>
      <c r="E353" s="2">
        <v>0</v>
      </c>
      <c r="F353" s="2">
        <v>15612</v>
      </c>
      <c r="G353" t="s">
        <v>63</v>
      </c>
      <c r="H353" t="s">
        <v>56</v>
      </c>
      <c r="I353" t="s">
        <v>79</v>
      </c>
      <c r="J353" t="s">
        <v>91</v>
      </c>
      <c r="K353" t="s">
        <v>451</v>
      </c>
      <c r="L353">
        <v>0</v>
      </c>
      <c r="M353">
        <v>3</v>
      </c>
      <c r="N353" t="s">
        <v>153</v>
      </c>
      <c r="O353" t="s">
        <v>452</v>
      </c>
      <c r="P353" t="s">
        <v>181</v>
      </c>
      <c r="Q353">
        <v>1.1000000000000001</v>
      </c>
      <c r="R353" s="9">
        <v>0</v>
      </c>
      <c r="S353" t="str">
        <f>IF(OR(Sheet1[[#This Row],[Salary_USD]]&lt;$V$13,Sheet1[[#This Row],[Salary_USD]]&gt;$V$12),"Outlier","Normal")</f>
        <v>Normal</v>
      </c>
    </row>
    <row r="354" spans="1:19" x14ac:dyDescent="0.25">
      <c r="A354" t="s">
        <v>19</v>
      </c>
      <c r="B354" t="s">
        <v>29</v>
      </c>
      <c r="C354" t="s">
        <v>41</v>
      </c>
      <c r="D354" t="s">
        <v>451</v>
      </c>
      <c r="E354" s="2">
        <v>8865</v>
      </c>
      <c r="F354" s="2">
        <v>1278</v>
      </c>
      <c r="G354" t="s">
        <v>67</v>
      </c>
      <c r="H354" t="s">
        <v>71</v>
      </c>
      <c r="I354" t="s">
        <v>76</v>
      </c>
      <c r="J354" t="s">
        <v>92</v>
      </c>
      <c r="K354" t="s">
        <v>119</v>
      </c>
      <c r="L354">
        <v>9</v>
      </c>
      <c r="M354">
        <v>6</v>
      </c>
      <c r="N354" t="s">
        <v>153</v>
      </c>
      <c r="O354" t="s">
        <v>157</v>
      </c>
      <c r="P354" t="s">
        <v>320</v>
      </c>
      <c r="Q354">
        <v>1</v>
      </c>
      <c r="R354" s="9">
        <v>8865</v>
      </c>
      <c r="S354" t="str">
        <f>IF(OR(Sheet1[[#This Row],[Salary_USD]]&lt;$V$13,Sheet1[[#This Row],[Salary_USD]]&gt;$V$12),"Outlier","Normal")</f>
        <v>Normal</v>
      </c>
    </row>
    <row r="355" spans="1:19" x14ac:dyDescent="0.25">
      <c r="A355" t="s">
        <v>21</v>
      </c>
      <c r="B355" t="s">
        <v>29</v>
      </c>
      <c r="C355" t="s">
        <v>53</v>
      </c>
      <c r="D355" t="s">
        <v>451</v>
      </c>
      <c r="E355" s="2">
        <v>54070</v>
      </c>
      <c r="F355" s="2">
        <v>1728</v>
      </c>
      <c r="G355" t="s">
        <v>63</v>
      </c>
      <c r="H355" t="s">
        <v>56</v>
      </c>
      <c r="I355" t="s">
        <v>73</v>
      </c>
      <c r="J355" t="s">
        <v>83</v>
      </c>
      <c r="K355" t="s">
        <v>113</v>
      </c>
      <c r="L355">
        <v>20</v>
      </c>
      <c r="M355">
        <v>20</v>
      </c>
      <c r="N355" t="s">
        <v>149</v>
      </c>
      <c r="O355" t="s">
        <v>156</v>
      </c>
      <c r="P355" t="s">
        <v>166</v>
      </c>
      <c r="Q355">
        <v>1.1000000000000001</v>
      </c>
      <c r="R355" s="9">
        <v>59477.000000000007</v>
      </c>
      <c r="S355" t="str">
        <f>IF(OR(Sheet1[[#This Row],[Salary_USD]]&lt;$V$13,Sheet1[[#This Row],[Salary_USD]]&gt;$V$12),"Outlier","Normal")</f>
        <v>Normal</v>
      </c>
    </row>
    <row r="356" spans="1:19" x14ac:dyDescent="0.25">
      <c r="A356" t="s">
        <v>21</v>
      </c>
      <c r="B356" t="s">
        <v>31</v>
      </c>
      <c r="C356" t="s">
        <v>49</v>
      </c>
      <c r="D356" t="s">
        <v>54</v>
      </c>
      <c r="E356" s="2">
        <v>115383</v>
      </c>
      <c r="F356" s="2">
        <v>2455</v>
      </c>
      <c r="G356" t="s">
        <v>65</v>
      </c>
      <c r="H356" t="s">
        <v>56</v>
      </c>
      <c r="I356" t="s">
        <v>80</v>
      </c>
      <c r="J356" t="s">
        <v>93</v>
      </c>
      <c r="K356" t="s">
        <v>93</v>
      </c>
      <c r="L356">
        <v>9</v>
      </c>
      <c r="M356">
        <v>7</v>
      </c>
      <c r="N356" t="s">
        <v>148</v>
      </c>
      <c r="O356" t="s">
        <v>156</v>
      </c>
      <c r="P356" t="s">
        <v>321</v>
      </c>
      <c r="Q356">
        <v>0.73</v>
      </c>
      <c r="R356" s="9">
        <v>84229.59</v>
      </c>
      <c r="S356" t="str">
        <f>IF(OR(Sheet1[[#This Row],[Salary_USD]]&lt;$V$13,Sheet1[[#This Row],[Salary_USD]]&gt;$V$12),"Outlier","Normal")</f>
        <v>Normal</v>
      </c>
    </row>
    <row r="357" spans="1:19" x14ac:dyDescent="0.25">
      <c r="A357" t="s">
        <v>19</v>
      </c>
      <c r="B357" t="s">
        <v>31</v>
      </c>
      <c r="C357" t="s">
        <v>48</v>
      </c>
      <c r="D357" t="s">
        <v>55</v>
      </c>
      <c r="E357" s="2">
        <v>67686</v>
      </c>
      <c r="F357" s="2">
        <v>7946</v>
      </c>
      <c r="G357" t="s">
        <v>63</v>
      </c>
      <c r="H357" t="s">
        <v>70</v>
      </c>
      <c r="I357" t="s">
        <v>81</v>
      </c>
      <c r="J357" t="s">
        <v>103</v>
      </c>
      <c r="K357" t="s">
        <v>140</v>
      </c>
      <c r="L357">
        <v>12</v>
      </c>
      <c r="M357">
        <v>12</v>
      </c>
      <c r="N357" t="s">
        <v>149</v>
      </c>
      <c r="O357" t="s">
        <v>156</v>
      </c>
      <c r="P357" t="s">
        <v>212</v>
      </c>
      <c r="Q357">
        <v>1.1000000000000001</v>
      </c>
      <c r="R357" s="9">
        <v>74454.600000000006</v>
      </c>
      <c r="S357" t="str">
        <f>IF(OR(Sheet1[[#This Row],[Salary_USD]]&lt;$V$13,Sheet1[[#This Row],[Salary_USD]]&gt;$V$12),"Outlier","Normal")</f>
        <v>Normal</v>
      </c>
    </row>
    <row r="358" spans="1:19" x14ac:dyDescent="0.25">
      <c r="A358" t="s">
        <v>21</v>
      </c>
      <c r="B358" t="s">
        <v>24</v>
      </c>
      <c r="C358" t="s">
        <v>41</v>
      </c>
      <c r="D358" t="s">
        <v>59</v>
      </c>
      <c r="E358" s="2">
        <v>116195</v>
      </c>
      <c r="F358" s="2">
        <v>13412</v>
      </c>
      <c r="G358" t="s">
        <v>65</v>
      </c>
      <c r="H358" t="s">
        <v>56</v>
      </c>
      <c r="I358" t="s">
        <v>75</v>
      </c>
      <c r="J358" t="s">
        <v>85</v>
      </c>
      <c r="K358" t="s">
        <v>114</v>
      </c>
      <c r="L358">
        <v>8</v>
      </c>
      <c r="M358">
        <v>8</v>
      </c>
      <c r="N358" t="s">
        <v>148</v>
      </c>
      <c r="O358" t="s">
        <v>154</v>
      </c>
      <c r="P358" t="s">
        <v>165</v>
      </c>
      <c r="Q358">
        <v>0.73</v>
      </c>
      <c r="R358" s="9">
        <v>84822.349999999991</v>
      </c>
      <c r="S358" t="str">
        <f>IF(OR(Sheet1[[#This Row],[Salary_USD]]&lt;$V$13,Sheet1[[#This Row],[Salary_USD]]&gt;$V$12),"Outlier","Normal")</f>
        <v>Normal</v>
      </c>
    </row>
    <row r="359" spans="1:19" x14ac:dyDescent="0.25">
      <c r="A359" t="s">
        <v>20</v>
      </c>
      <c r="B359" t="s">
        <v>22</v>
      </c>
      <c r="C359" t="s">
        <v>52</v>
      </c>
      <c r="D359" t="s">
        <v>62</v>
      </c>
      <c r="E359" s="2">
        <v>30856</v>
      </c>
      <c r="F359" s="2">
        <v>265</v>
      </c>
      <c r="G359" t="s">
        <v>67</v>
      </c>
      <c r="H359" t="s">
        <v>451</v>
      </c>
      <c r="I359" t="s">
        <v>79</v>
      </c>
      <c r="J359" t="s">
        <v>91</v>
      </c>
      <c r="K359" t="s">
        <v>118</v>
      </c>
      <c r="L359">
        <v>0</v>
      </c>
      <c r="M359">
        <v>0</v>
      </c>
      <c r="N359" t="s">
        <v>148</v>
      </c>
      <c r="O359" t="s">
        <v>156</v>
      </c>
      <c r="P359" t="s">
        <v>188</v>
      </c>
      <c r="Q359">
        <v>1</v>
      </c>
      <c r="R359" s="9">
        <v>30856</v>
      </c>
      <c r="S359" t="str">
        <f>IF(OR(Sheet1[[#This Row],[Salary_USD]]&lt;$V$13,Sheet1[[#This Row],[Salary_USD]]&gt;$V$12),"Outlier","Normal")</f>
        <v>Normal</v>
      </c>
    </row>
    <row r="360" spans="1:19" x14ac:dyDescent="0.25">
      <c r="A360" t="s">
        <v>17</v>
      </c>
      <c r="B360" t="s">
        <v>26</v>
      </c>
      <c r="C360" t="s">
        <v>37</v>
      </c>
      <c r="D360" t="s">
        <v>58</v>
      </c>
      <c r="E360" s="2">
        <v>83632</v>
      </c>
      <c r="F360" s="2">
        <v>2855</v>
      </c>
      <c r="G360" t="s">
        <v>64</v>
      </c>
      <c r="H360" t="s">
        <v>70</v>
      </c>
      <c r="I360" t="s">
        <v>77</v>
      </c>
      <c r="J360" t="s">
        <v>89</v>
      </c>
      <c r="K360" t="s">
        <v>124</v>
      </c>
      <c r="L360">
        <v>8</v>
      </c>
      <c r="M360">
        <v>8</v>
      </c>
      <c r="N360" t="s">
        <v>148</v>
      </c>
      <c r="O360" t="s">
        <v>156</v>
      </c>
      <c r="P360" t="s">
        <v>165</v>
      </c>
      <c r="Q360">
        <v>0.65</v>
      </c>
      <c r="R360" s="9">
        <v>54360.800000000003</v>
      </c>
      <c r="S360" t="str">
        <f>IF(OR(Sheet1[[#This Row],[Salary_USD]]&lt;$V$13,Sheet1[[#This Row],[Salary_USD]]&gt;$V$12),"Outlier","Normal")</f>
        <v>Normal</v>
      </c>
    </row>
    <row r="361" spans="1:19" x14ac:dyDescent="0.25">
      <c r="A361" t="s">
        <v>19</v>
      </c>
      <c r="B361" t="s">
        <v>22</v>
      </c>
      <c r="C361" t="s">
        <v>51</v>
      </c>
      <c r="D361" t="s">
        <v>58</v>
      </c>
      <c r="E361" s="2">
        <v>117208</v>
      </c>
      <c r="F361" s="2">
        <v>851</v>
      </c>
      <c r="G361" t="s">
        <v>64</v>
      </c>
      <c r="H361" t="s">
        <v>70</v>
      </c>
      <c r="I361" t="s">
        <v>72</v>
      </c>
      <c r="J361" t="s">
        <v>95</v>
      </c>
      <c r="K361" t="s">
        <v>120</v>
      </c>
      <c r="L361">
        <v>9</v>
      </c>
      <c r="M361">
        <v>9</v>
      </c>
      <c r="N361" t="s">
        <v>151</v>
      </c>
      <c r="O361" t="s">
        <v>156</v>
      </c>
      <c r="P361" t="s">
        <v>229</v>
      </c>
      <c r="Q361">
        <v>0.65</v>
      </c>
      <c r="R361" s="9">
        <v>76185.2</v>
      </c>
      <c r="S361" t="str">
        <f>IF(OR(Sheet1[[#This Row],[Salary_USD]]&lt;$V$13,Sheet1[[#This Row],[Salary_USD]]&gt;$V$12),"Outlier","Normal")</f>
        <v>Normal</v>
      </c>
    </row>
    <row r="362" spans="1:19" x14ac:dyDescent="0.25">
      <c r="A362" t="s">
        <v>19</v>
      </c>
      <c r="B362" t="s">
        <v>35</v>
      </c>
      <c r="C362" t="s">
        <v>37</v>
      </c>
      <c r="D362" t="s">
        <v>451</v>
      </c>
      <c r="E362" s="2">
        <v>67912</v>
      </c>
      <c r="F362" s="2">
        <v>0</v>
      </c>
      <c r="G362" t="s">
        <v>68</v>
      </c>
      <c r="H362" t="s">
        <v>71</v>
      </c>
      <c r="I362" t="s">
        <v>79</v>
      </c>
      <c r="J362" t="s">
        <v>107</v>
      </c>
      <c r="K362" t="s">
        <v>134</v>
      </c>
      <c r="L362">
        <v>2</v>
      </c>
      <c r="M362">
        <v>2</v>
      </c>
      <c r="N362" t="s">
        <v>151</v>
      </c>
      <c r="O362" t="s">
        <v>156</v>
      </c>
      <c r="P362" t="s">
        <v>172</v>
      </c>
      <c r="Q362">
        <v>1.25</v>
      </c>
      <c r="R362" s="9">
        <v>84890</v>
      </c>
      <c r="S362" t="str">
        <f>IF(OR(Sheet1[[#This Row],[Salary_USD]]&lt;$V$13,Sheet1[[#This Row],[Salary_USD]]&gt;$V$12),"Outlier","Normal")</f>
        <v>Normal</v>
      </c>
    </row>
    <row r="363" spans="1:19" x14ac:dyDescent="0.25">
      <c r="A363" t="s">
        <v>21</v>
      </c>
      <c r="B363" t="s">
        <v>24</v>
      </c>
      <c r="C363" t="s">
        <v>42</v>
      </c>
      <c r="D363" t="s">
        <v>59</v>
      </c>
      <c r="E363" s="2">
        <v>88843</v>
      </c>
      <c r="F363" s="2">
        <v>0</v>
      </c>
      <c r="G363" t="s">
        <v>64</v>
      </c>
      <c r="H363" t="s">
        <v>70</v>
      </c>
      <c r="I363" t="s">
        <v>72</v>
      </c>
      <c r="J363" t="s">
        <v>95</v>
      </c>
      <c r="K363" t="s">
        <v>120</v>
      </c>
      <c r="L363">
        <v>10</v>
      </c>
      <c r="M363">
        <v>9</v>
      </c>
      <c r="N363" t="s">
        <v>149</v>
      </c>
      <c r="O363" t="s">
        <v>156</v>
      </c>
      <c r="P363" t="s">
        <v>300</v>
      </c>
      <c r="Q363">
        <v>0.65</v>
      </c>
      <c r="R363" s="9">
        <v>57747.950000000004</v>
      </c>
      <c r="S363" t="str">
        <f>IF(OR(Sheet1[[#This Row],[Salary_USD]]&lt;$V$13,Sheet1[[#This Row],[Salary_USD]]&gt;$V$12),"Outlier","Normal")</f>
        <v>Normal</v>
      </c>
    </row>
    <row r="364" spans="1:19" x14ac:dyDescent="0.25">
      <c r="A364" t="s">
        <v>19</v>
      </c>
      <c r="B364" t="s">
        <v>24</v>
      </c>
      <c r="C364" t="s">
        <v>53</v>
      </c>
      <c r="D364" t="s">
        <v>55</v>
      </c>
      <c r="E364" s="2">
        <v>39285</v>
      </c>
      <c r="F364" s="2">
        <v>1566</v>
      </c>
      <c r="G364" t="s">
        <v>68</v>
      </c>
      <c r="H364" t="s">
        <v>70</v>
      </c>
      <c r="I364" t="s">
        <v>74</v>
      </c>
      <c r="J364" t="s">
        <v>84</v>
      </c>
      <c r="K364" t="s">
        <v>74</v>
      </c>
      <c r="L364">
        <v>5</v>
      </c>
      <c r="M364">
        <v>5</v>
      </c>
      <c r="N364" t="s">
        <v>148</v>
      </c>
      <c r="O364" t="s">
        <v>157</v>
      </c>
      <c r="P364" t="s">
        <v>212</v>
      </c>
      <c r="Q364">
        <v>1.25</v>
      </c>
      <c r="R364" s="9">
        <v>49106.25</v>
      </c>
      <c r="S364" t="str">
        <f>IF(OR(Sheet1[[#This Row],[Salary_USD]]&lt;$V$13,Sheet1[[#This Row],[Salary_USD]]&gt;$V$12),"Outlier","Normal")</f>
        <v>Normal</v>
      </c>
    </row>
    <row r="365" spans="1:19" x14ac:dyDescent="0.25">
      <c r="A365" t="s">
        <v>19</v>
      </c>
      <c r="B365" t="s">
        <v>32</v>
      </c>
      <c r="C365" t="s">
        <v>45</v>
      </c>
      <c r="D365" t="s">
        <v>56</v>
      </c>
      <c r="E365" s="2">
        <v>77051</v>
      </c>
      <c r="F365" s="2">
        <v>0</v>
      </c>
      <c r="G365" t="s">
        <v>68</v>
      </c>
      <c r="H365" t="s">
        <v>451</v>
      </c>
      <c r="I365" t="s">
        <v>76</v>
      </c>
      <c r="J365" t="s">
        <v>92</v>
      </c>
      <c r="K365" t="s">
        <v>119</v>
      </c>
      <c r="L365">
        <v>8</v>
      </c>
      <c r="M365">
        <v>8</v>
      </c>
      <c r="N365" t="s">
        <v>152</v>
      </c>
      <c r="O365" t="s">
        <v>156</v>
      </c>
      <c r="P365" t="s">
        <v>162</v>
      </c>
      <c r="Q365">
        <v>1.25</v>
      </c>
      <c r="R365" s="9">
        <v>96313.75</v>
      </c>
      <c r="S365" t="str">
        <f>IF(OR(Sheet1[[#This Row],[Salary_USD]]&lt;$V$13,Sheet1[[#This Row],[Salary_USD]]&gt;$V$12),"Outlier","Normal")</f>
        <v>Normal</v>
      </c>
    </row>
    <row r="366" spans="1:19" x14ac:dyDescent="0.25">
      <c r="A366" t="s">
        <v>20</v>
      </c>
      <c r="B366" t="s">
        <v>33</v>
      </c>
      <c r="C366" t="s">
        <v>44</v>
      </c>
      <c r="D366" t="s">
        <v>451</v>
      </c>
      <c r="E366" s="2">
        <v>50554</v>
      </c>
      <c r="F366" s="2">
        <v>0</v>
      </c>
      <c r="G366" t="s">
        <v>65</v>
      </c>
      <c r="H366" t="s">
        <v>71</v>
      </c>
      <c r="I366" t="s">
        <v>72</v>
      </c>
      <c r="J366" t="s">
        <v>82</v>
      </c>
      <c r="K366" t="s">
        <v>112</v>
      </c>
      <c r="L366">
        <v>4</v>
      </c>
      <c r="M366">
        <v>4</v>
      </c>
      <c r="N366" t="s">
        <v>150</v>
      </c>
      <c r="O366" t="s">
        <v>154</v>
      </c>
      <c r="P366" t="s">
        <v>188</v>
      </c>
      <c r="Q366">
        <v>0.73</v>
      </c>
      <c r="R366" s="9">
        <v>36904.42</v>
      </c>
      <c r="S366" t="str">
        <f>IF(OR(Sheet1[[#This Row],[Salary_USD]]&lt;$V$13,Sheet1[[#This Row],[Salary_USD]]&gt;$V$12),"Outlier","Normal")</f>
        <v>Normal</v>
      </c>
    </row>
    <row r="367" spans="1:19" x14ac:dyDescent="0.25">
      <c r="A367" t="s">
        <v>19</v>
      </c>
      <c r="B367" t="s">
        <v>35</v>
      </c>
      <c r="C367" t="s">
        <v>49</v>
      </c>
      <c r="D367" t="s">
        <v>59</v>
      </c>
      <c r="E367" s="2">
        <v>92481</v>
      </c>
      <c r="F367" s="2">
        <v>0</v>
      </c>
      <c r="G367" t="s">
        <v>64</v>
      </c>
      <c r="H367" t="s">
        <v>451</v>
      </c>
      <c r="I367" t="s">
        <v>74</v>
      </c>
      <c r="J367" t="s">
        <v>84</v>
      </c>
      <c r="K367" t="s">
        <v>74</v>
      </c>
      <c r="L367">
        <v>3</v>
      </c>
      <c r="M367">
        <v>3</v>
      </c>
      <c r="N367" t="s">
        <v>151</v>
      </c>
      <c r="O367" t="s">
        <v>156</v>
      </c>
      <c r="P367" t="s">
        <v>250</v>
      </c>
      <c r="Q367">
        <v>0.65</v>
      </c>
      <c r="R367" s="9">
        <v>60112.65</v>
      </c>
      <c r="S367" t="str">
        <f>IF(OR(Sheet1[[#This Row],[Salary_USD]]&lt;$V$13,Sheet1[[#This Row],[Salary_USD]]&gt;$V$12),"Outlier","Normal")</f>
        <v>Normal</v>
      </c>
    </row>
    <row r="368" spans="1:19" x14ac:dyDescent="0.25">
      <c r="A368" t="s">
        <v>20</v>
      </c>
      <c r="B368" t="s">
        <v>35</v>
      </c>
      <c r="C368" t="s">
        <v>37</v>
      </c>
      <c r="D368" t="s">
        <v>56</v>
      </c>
      <c r="E368" s="2">
        <v>64195</v>
      </c>
      <c r="F368" s="2">
        <v>11106</v>
      </c>
      <c r="G368" t="s">
        <v>67</v>
      </c>
      <c r="H368" t="s">
        <v>69</v>
      </c>
      <c r="I368" t="s">
        <v>75</v>
      </c>
      <c r="J368" t="s">
        <v>96</v>
      </c>
      <c r="K368" t="s">
        <v>121</v>
      </c>
      <c r="L368">
        <v>1</v>
      </c>
      <c r="M368">
        <v>0</v>
      </c>
      <c r="N368" t="s">
        <v>152</v>
      </c>
      <c r="O368" t="s">
        <v>155</v>
      </c>
      <c r="P368" t="s">
        <v>209</v>
      </c>
      <c r="Q368">
        <v>1</v>
      </c>
      <c r="R368" s="9">
        <v>64195</v>
      </c>
      <c r="S368" t="str">
        <f>IF(OR(Sheet1[[#This Row],[Salary_USD]]&lt;$V$13,Sheet1[[#This Row],[Salary_USD]]&gt;$V$12),"Outlier","Normal")</f>
        <v>Normal</v>
      </c>
    </row>
    <row r="369" spans="1:19" x14ac:dyDescent="0.25">
      <c r="A369" t="s">
        <v>17</v>
      </c>
      <c r="B369" t="s">
        <v>23</v>
      </c>
      <c r="C369" t="s">
        <v>46</v>
      </c>
      <c r="D369" t="s">
        <v>58</v>
      </c>
      <c r="E369" s="2">
        <v>50209</v>
      </c>
      <c r="F369" s="2">
        <v>2701</v>
      </c>
      <c r="G369" t="s">
        <v>68</v>
      </c>
      <c r="H369" t="s">
        <v>71</v>
      </c>
      <c r="I369" t="s">
        <v>75</v>
      </c>
      <c r="J369" t="s">
        <v>108</v>
      </c>
      <c r="K369" t="s">
        <v>135</v>
      </c>
      <c r="L369">
        <v>9</v>
      </c>
      <c r="M369">
        <v>8</v>
      </c>
      <c r="N369" t="s">
        <v>153</v>
      </c>
      <c r="O369" t="s">
        <v>155</v>
      </c>
      <c r="P369" t="s">
        <v>169</v>
      </c>
      <c r="Q369">
        <v>1.25</v>
      </c>
      <c r="R369" s="9">
        <v>62761.25</v>
      </c>
      <c r="S369" t="str">
        <f>IF(OR(Sheet1[[#This Row],[Salary_USD]]&lt;$V$13,Sheet1[[#This Row],[Salary_USD]]&gt;$V$12),"Outlier","Normal")</f>
        <v>Normal</v>
      </c>
    </row>
    <row r="370" spans="1:19" x14ac:dyDescent="0.25">
      <c r="A370" t="s">
        <v>19</v>
      </c>
      <c r="B370" t="s">
        <v>34</v>
      </c>
      <c r="C370" t="s">
        <v>52</v>
      </c>
      <c r="D370" t="s">
        <v>58</v>
      </c>
      <c r="E370" s="2">
        <v>92742</v>
      </c>
      <c r="F370" s="2">
        <v>3071</v>
      </c>
      <c r="G370" t="s">
        <v>67</v>
      </c>
      <c r="H370" t="s">
        <v>71</v>
      </c>
      <c r="I370" t="s">
        <v>73</v>
      </c>
      <c r="J370" t="s">
        <v>83</v>
      </c>
      <c r="K370" t="s">
        <v>113</v>
      </c>
      <c r="L370">
        <v>3</v>
      </c>
      <c r="M370">
        <v>2</v>
      </c>
      <c r="N370" t="s">
        <v>149</v>
      </c>
      <c r="O370" t="s">
        <v>157</v>
      </c>
      <c r="P370" t="s">
        <v>256</v>
      </c>
      <c r="Q370">
        <v>1</v>
      </c>
      <c r="R370" s="9">
        <v>92742</v>
      </c>
      <c r="S370" t="str">
        <f>IF(OR(Sheet1[[#This Row],[Salary_USD]]&lt;$V$13,Sheet1[[#This Row],[Salary_USD]]&gt;$V$12),"Outlier","Normal")</f>
        <v>Normal</v>
      </c>
    </row>
    <row r="371" spans="1:19" x14ac:dyDescent="0.25">
      <c r="A371" t="s">
        <v>19</v>
      </c>
      <c r="B371" t="s">
        <v>28</v>
      </c>
      <c r="C371" t="s">
        <v>38</v>
      </c>
      <c r="D371" t="s">
        <v>56</v>
      </c>
      <c r="E371" s="2">
        <v>56840</v>
      </c>
      <c r="F371" s="2">
        <v>1276</v>
      </c>
      <c r="G371" t="s">
        <v>67</v>
      </c>
      <c r="H371" t="s">
        <v>56</v>
      </c>
      <c r="I371" t="s">
        <v>75</v>
      </c>
      <c r="J371" t="s">
        <v>85</v>
      </c>
      <c r="K371" t="s">
        <v>114</v>
      </c>
      <c r="L371">
        <v>25</v>
      </c>
      <c r="M371">
        <v>24</v>
      </c>
      <c r="N371" t="s">
        <v>150</v>
      </c>
      <c r="O371" t="s">
        <v>156</v>
      </c>
      <c r="P371" t="s">
        <v>165</v>
      </c>
      <c r="Q371">
        <v>1</v>
      </c>
      <c r="R371" s="9">
        <v>56840</v>
      </c>
      <c r="S371" t="str">
        <f>IF(OR(Sheet1[[#This Row],[Salary_USD]]&lt;$V$13,Sheet1[[#This Row],[Salary_USD]]&gt;$V$12),"Outlier","Normal")</f>
        <v>Normal</v>
      </c>
    </row>
    <row r="372" spans="1:19" x14ac:dyDescent="0.25">
      <c r="A372" t="s">
        <v>20</v>
      </c>
      <c r="B372" t="s">
        <v>35</v>
      </c>
      <c r="C372" t="s">
        <v>46</v>
      </c>
      <c r="D372" t="s">
        <v>451</v>
      </c>
      <c r="E372" s="2">
        <v>51803</v>
      </c>
      <c r="F372" s="2">
        <v>3032</v>
      </c>
      <c r="G372" t="s">
        <v>65</v>
      </c>
      <c r="H372" t="s">
        <v>70</v>
      </c>
      <c r="I372" t="s">
        <v>76</v>
      </c>
      <c r="J372" t="s">
        <v>86</v>
      </c>
      <c r="K372" t="s">
        <v>115</v>
      </c>
      <c r="L372">
        <v>7</v>
      </c>
      <c r="M372">
        <v>7</v>
      </c>
      <c r="N372" t="s">
        <v>153</v>
      </c>
      <c r="O372" t="s">
        <v>157</v>
      </c>
      <c r="P372" t="s">
        <v>323</v>
      </c>
      <c r="Q372">
        <v>0.73</v>
      </c>
      <c r="R372" s="9">
        <v>37816.19</v>
      </c>
      <c r="S372" t="str">
        <f>IF(OR(Sheet1[[#This Row],[Salary_USD]]&lt;$V$13,Sheet1[[#This Row],[Salary_USD]]&gt;$V$12),"Outlier","Normal")</f>
        <v>Normal</v>
      </c>
    </row>
    <row r="373" spans="1:19" x14ac:dyDescent="0.25">
      <c r="A373" t="s">
        <v>19</v>
      </c>
      <c r="B373" t="s">
        <v>34</v>
      </c>
      <c r="C373" t="s">
        <v>51</v>
      </c>
      <c r="D373" t="s">
        <v>56</v>
      </c>
      <c r="E373" s="2">
        <v>119743</v>
      </c>
      <c r="F373" s="2">
        <v>26932</v>
      </c>
      <c r="G373" t="s">
        <v>64</v>
      </c>
      <c r="H373" t="s">
        <v>70</v>
      </c>
      <c r="I373" t="s">
        <v>81</v>
      </c>
      <c r="J373" t="s">
        <v>103</v>
      </c>
      <c r="K373" t="s">
        <v>140</v>
      </c>
      <c r="L373">
        <v>6</v>
      </c>
      <c r="M373">
        <v>6</v>
      </c>
      <c r="N373" t="s">
        <v>153</v>
      </c>
      <c r="O373" t="s">
        <v>157</v>
      </c>
      <c r="P373" t="s">
        <v>167</v>
      </c>
      <c r="Q373">
        <v>0.65</v>
      </c>
      <c r="R373" s="9">
        <v>77832.95</v>
      </c>
      <c r="S373" t="str">
        <f>IF(OR(Sheet1[[#This Row],[Salary_USD]]&lt;$V$13,Sheet1[[#This Row],[Salary_USD]]&gt;$V$12),"Outlier","Normal")</f>
        <v>Normal</v>
      </c>
    </row>
    <row r="374" spans="1:19" x14ac:dyDescent="0.25">
      <c r="A374" t="s">
        <v>17</v>
      </c>
      <c r="B374" t="s">
        <v>31</v>
      </c>
      <c r="C374" t="s">
        <v>50</v>
      </c>
      <c r="D374" t="s">
        <v>56</v>
      </c>
      <c r="E374" s="2">
        <v>92796</v>
      </c>
      <c r="F374" s="2">
        <v>0</v>
      </c>
      <c r="G374" t="s">
        <v>64</v>
      </c>
      <c r="H374" t="s">
        <v>70</v>
      </c>
      <c r="I374" t="s">
        <v>72</v>
      </c>
      <c r="J374" t="s">
        <v>82</v>
      </c>
      <c r="K374" t="s">
        <v>112</v>
      </c>
      <c r="L374">
        <v>9</v>
      </c>
      <c r="M374">
        <v>9</v>
      </c>
      <c r="N374" t="s">
        <v>150</v>
      </c>
      <c r="O374" t="s">
        <v>155</v>
      </c>
      <c r="P374" t="s">
        <v>162</v>
      </c>
      <c r="Q374">
        <v>0.65</v>
      </c>
      <c r="R374" s="9">
        <v>60317.4</v>
      </c>
      <c r="S374" t="str">
        <f>IF(OR(Sheet1[[#This Row],[Salary_USD]]&lt;$V$13,Sheet1[[#This Row],[Salary_USD]]&gt;$V$12),"Outlier","Normal")</f>
        <v>Normal</v>
      </c>
    </row>
    <row r="375" spans="1:19" x14ac:dyDescent="0.25">
      <c r="A375" t="s">
        <v>19</v>
      </c>
      <c r="B375" t="s">
        <v>35</v>
      </c>
      <c r="C375" t="s">
        <v>40</v>
      </c>
      <c r="D375" t="s">
        <v>57</v>
      </c>
      <c r="E375" s="2">
        <v>737729</v>
      </c>
      <c r="F375" s="2">
        <v>68871</v>
      </c>
      <c r="G375" t="s">
        <v>66</v>
      </c>
      <c r="H375" t="s">
        <v>56</v>
      </c>
      <c r="I375" t="s">
        <v>76</v>
      </c>
      <c r="J375" t="s">
        <v>92</v>
      </c>
      <c r="K375" t="s">
        <v>119</v>
      </c>
      <c r="L375">
        <v>7</v>
      </c>
      <c r="M375">
        <v>5</v>
      </c>
      <c r="N375" t="s">
        <v>150</v>
      </c>
      <c r="O375" t="s">
        <v>157</v>
      </c>
      <c r="P375" t="s">
        <v>324</v>
      </c>
      <c r="Q375">
        <v>1.2E-2</v>
      </c>
      <c r="R375" s="9">
        <v>8852.7479999999996</v>
      </c>
      <c r="S375" t="str">
        <f>IF(OR(Sheet1[[#This Row],[Salary_USD]]&lt;$V$13,Sheet1[[#This Row],[Salary_USD]]&gt;$V$12),"Outlier","Normal")</f>
        <v>Normal</v>
      </c>
    </row>
    <row r="376" spans="1:19" x14ac:dyDescent="0.25">
      <c r="A376" t="s">
        <v>20</v>
      </c>
      <c r="B376" t="s">
        <v>32</v>
      </c>
      <c r="C376" t="s">
        <v>38</v>
      </c>
      <c r="D376" t="s">
        <v>61</v>
      </c>
      <c r="E376" s="2">
        <v>69699</v>
      </c>
      <c r="F376" s="2">
        <v>2388</v>
      </c>
      <c r="G376" t="s">
        <v>64</v>
      </c>
      <c r="H376" t="s">
        <v>56</v>
      </c>
      <c r="I376" t="s">
        <v>74</v>
      </c>
      <c r="J376" t="s">
        <v>84</v>
      </c>
      <c r="K376" t="s">
        <v>74</v>
      </c>
      <c r="L376">
        <v>6</v>
      </c>
      <c r="M376">
        <v>4</v>
      </c>
      <c r="N376" t="s">
        <v>149</v>
      </c>
      <c r="O376" t="s">
        <v>155</v>
      </c>
      <c r="P376" t="s">
        <v>171</v>
      </c>
      <c r="Q376">
        <v>0.65</v>
      </c>
      <c r="R376" s="9">
        <v>45304.35</v>
      </c>
      <c r="S376" t="str">
        <f>IF(OR(Sheet1[[#This Row],[Salary_USD]]&lt;$V$13,Sheet1[[#This Row],[Salary_USD]]&gt;$V$12),"Outlier","Normal")</f>
        <v>Normal</v>
      </c>
    </row>
    <row r="377" spans="1:19" x14ac:dyDescent="0.25">
      <c r="A377" t="s">
        <v>20</v>
      </c>
      <c r="B377" t="s">
        <v>24</v>
      </c>
      <c r="C377" t="s">
        <v>41</v>
      </c>
      <c r="D377" t="s">
        <v>57</v>
      </c>
      <c r="E377" s="2">
        <v>66776</v>
      </c>
      <c r="F377" s="2">
        <v>0</v>
      </c>
      <c r="G377" t="s">
        <v>68</v>
      </c>
      <c r="H377" t="s">
        <v>451</v>
      </c>
      <c r="I377" t="s">
        <v>74</v>
      </c>
      <c r="J377" t="s">
        <v>84</v>
      </c>
      <c r="K377" t="s">
        <v>74</v>
      </c>
      <c r="L377">
        <v>0</v>
      </c>
      <c r="M377">
        <v>0</v>
      </c>
      <c r="N377" t="s">
        <v>149</v>
      </c>
      <c r="O377" t="s">
        <v>155</v>
      </c>
      <c r="P377" t="s">
        <v>325</v>
      </c>
      <c r="Q377">
        <v>1.25</v>
      </c>
      <c r="R377" s="9">
        <v>83470</v>
      </c>
      <c r="S377" t="str">
        <f>IF(OR(Sheet1[[#This Row],[Salary_USD]]&lt;$V$13,Sheet1[[#This Row],[Salary_USD]]&gt;$V$12),"Outlier","Normal")</f>
        <v>Normal</v>
      </c>
    </row>
    <row r="378" spans="1:19" x14ac:dyDescent="0.25">
      <c r="A378" t="s">
        <v>21</v>
      </c>
      <c r="B378" t="s">
        <v>22</v>
      </c>
      <c r="C378" t="s">
        <v>52</v>
      </c>
      <c r="D378" t="s">
        <v>56</v>
      </c>
      <c r="E378" s="2">
        <v>131498</v>
      </c>
      <c r="F378" s="2">
        <v>4538</v>
      </c>
      <c r="G378" t="s">
        <v>64</v>
      </c>
      <c r="H378" t="s">
        <v>451</v>
      </c>
      <c r="I378" t="s">
        <v>76</v>
      </c>
      <c r="J378" t="s">
        <v>86</v>
      </c>
      <c r="K378" t="s">
        <v>115</v>
      </c>
      <c r="L378">
        <v>25</v>
      </c>
      <c r="M378">
        <v>25</v>
      </c>
      <c r="N378" t="s">
        <v>152</v>
      </c>
      <c r="O378" t="s">
        <v>154</v>
      </c>
      <c r="P378" t="s">
        <v>190</v>
      </c>
      <c r="Q378">
        <v>0.65</v>
      </c>
      <c r="R378" s="9">
        <v>85473.7</v>
      </c>
      <c r="S378" t="str">
        <f>IF(OR(Sheet1[[#This Row],[Salary_USD]]&lt;$V$13,Sheet1[[#This Row],[Salary_USD]]&gt;$V$12),"Outlier","Normal")</f>
        <v>Normal</v>
      </c>
    </row>
    <row r="379" spans="1:19" x14ac:dyDescent="0.25">
      <c r="A379" t="s">
        <v>21</v>
      </c>
      <c r="B379" t="s">
        <v>31</v>
      </c>
      <c r="C379" t="s">
        <v>40</v>
      </c>
      <c r="D379" t="s">
        <v>61</v>
      </c>
      <c r="E379" s="2">
        <v>44502</v>
      </c>
      <c r="F379" s="2">
        <v>1188</v>
      </c>
      <c r="G379" t="s">
        <v>65</v>
      </c>
      <c r="H379" t="s">
        <v>71</v>
      </c>
      <c r="I379" t="s">
        <v>72</v>
      </c>
      <c r="J379" t="s">
        <v>82</v>
      </c>
      <c r="K379" t="s">
        <v>112</v>
      </c>
      <c r="L379">
        <v>12</v>
      </c>
      <c r="M379">
        <v>12</v>
      </c>
      <c r="N379" t="s">
        <v>149</v>
      </c>
      <c r="O379" t="s">
        <v>155</v>
      </c>
      <c r="P379" t="s">
        <v>326</v>
      </c>
      <c r="Q379">
        <v>0.73</v>
      </c>
      <c r="R379" s="9">
        <v>32486.46</v>
      </c>
      <c r="S379" t="str">
        <f>IF(OR(Sheet1[[#This Row],[Salary_USD]]&lt;$V$13,Sheet1[[#This Row],[Salary_USD]]&gt;$V$12),"Outlier","Normal")</f>
        <v>Normal</v>
      </c>
    </row>
    <row r="380" spans="1:19" x14ac:dyDescent="0.25">
      <c r="A380" t="s">
        <v>17</v>
      </c>
      <c r="B380" t="s">
        <v>26</v>
      </c>
      <c r="C380" t="s">
        <v>39</v>
      </c>
      <c r="D380" t="s">
        <v>451</v>
      </c>
      <c r="E380" s="2">
        <v>128535</v>
      </c>
      <c r="F380" s="2">
        <v>7312</v>
      </c>
      <c r="G380" t="s">
        <v>67</v>
      </c>
      <c r="H380" t="s">
        <v>70</v>
      </c>
      <c r="I380" t="s">
        <v>72</v>
      </c>
      <c r="J380" t="s">
        <v>95</v>
      </c>
      <c r="K380" t="s">
        <v>120</v>
      </c>
      <c r="L380">
        <v>25</v>
      </c>
      <c r="M380">
        <v>25</v>
      </c>
      <c r="N380" t="s">
        <v>153</v>
      </c>
      <c r="O380" t="s">
        <v>155</v>
      </c>
      <c r="P380" t="s">
        <v>169</v>
      </c>
      <c r="Q380">
        <v>1</v>
      </c>
      <c r="R380" s="9">
        <v>128535</v>
      </c>
      <c r="S380" t="str">
        <f>IF(OR(Sheet1[[#This Row],[Salary_USD]]&lt;$V$13,Sheet1[[#This Row],[Salary_USD]]&gt;$V$12),"Outlier","Normal")</f>
        <v>Normal</v>
      </c>
    </row>
    <row r="381" spans="1:19" x14ac:dyDescent="0.25">
      <c r="A381" t="s">
        <v>19</v>
      </c>
      <c r="B381" t="s">
        <v>31</v>
      </c>
      <c r="C381" t="s">
        <v>39</v>
      </c>
      <c r="D381" t="s">
        <v>54</v>
      </c>
      <c r="E381" s="2">
        <v>61980</v>
      </c>
      <c r="F381" s="2">
        <v>4111</v>
      </c>
      <c r="G381" t="s">
        <v>65</v>
      </c>
      <c r="H381" t="s">
        <v>71</v>
      </c>
      <c r="I381" t="s">
        <v>74</v>
      </c>
      <c r="J381" t="s">
        <v>84</v>
      </c>
      <c r="K381" t="s">
        <v>74</v>
      </c>
      <c r="L381">
        <v>3</v>
      </c>
      <c r="M381">
        <v>0</v>
      </c>
      <c r="N381" t="s">
        <v>151</v>
      </c>
      <c r="O381" t="s">
        <v>154</v>
      </c>
      <c r="P381" t="s">
        <v>159</v>
      </c>
      <c r="Q381">
        <v>0.73</v>
      </c>
      <c r="R381" s="9">
        <v>45245.4</v>
      </c>
      <c r="S381" t="str">
        <f>IF(OR(Sheet1[[#This Row],[Salary_USD]]&lt;$V$13,Sheet1[[#This Row],[Salary_USD]]&gt;$V$12),"Outlier","Normal")</f>
        <v>Normal</v>
      </c>
    </row>
    <row r="382" spans="1:19" x14ac:dyDescent="0.25">
      <c r="A382" t="s">
        <v>19</v>
      </c>
      <c r="B382" t="s">
        <v>22</v>
      </c>
      <c r="C382" t="s">
        <v>45</v>
      </c>
      <c r="D382" t="s">
        <v>62</v>
      </c>
      <c r="E382" s="2">
        <v>460062</v>
      </c>
      <c r="F382" s="2">
        <v>48081</v>
      </c>
      <c r="G382" t="s">
        <v>66</v>
      </c>
      <c r="H382" t="s">
        <v>451</v>
      </c>
      <c r="I382" t="s">
        <v>72</v>
      </c>
      <c r="J382" t="s">
        <v>82</v>
      </c>
      <c r="K382" t="s">
        <v>112</v>
      </c>
      <c r="L382">
        <v>3</v>
      </c>
      <c r="M382">
        <v>2</v>
      </c>
      <c r="N382" t="s">
        <v>148</v>
      </c>
      <c r="O382" t="s">
        <v>157</v>
      </c>
      <c r="P382" t="s">
        <v>175</v>
      </c>
      <c r="Q382">
        <v>1.2E-2</v>
      </c>
      <c r="R382" s="9">
        <v>5520.7439999999997</v>
      </c>
      <c r="S382" t="str">
        <f>IF(OR(Sheet1[[#This Row],[Salary_USD]]&lt;$V$13,Sheet1[[#This Row],[Salary_USD]]&gt;$V$12),"Outlier","Normal")</f>
        <v>Normal</v>
      </c>
    </row>
    <row r="383" spans="1:19" x14ac:dyDescent="0.25">
      <c r="A383" t="s">
        <v>17</v>
      </c>
      <c r="B383" t="s">
        <v>22</v>
      </c>
      <c r="C383" t="s">
        <v>44</v>
      </c>
      <c r="D383" t="s">
        <v>61</v>
      </c>
      <c r="E383" s="2">
        <v>27627</v>
      </c>
      <c r="F383" s="2">
        <v>891</v>
      </c>
      <c r="G383" t="s">
        <v>68</v>
      </c>
      <c r="H383" t="s">
        <v>71</v>
      </c>
      <c r="I383" t="s">
        <v>73</v>
      </c>
      <c r="J383" t="s">
        <v>99</v>
      </c>
      <c r="K383" t="s">
        <v>125</v>
      </c>
      <c r="L383">
        <v>9</v>
      </c>
      <c r="M383">
        <v>9</v>
      </c>
      <c r="N383" t="s">
        <v>151</v>
      </c>
      <c r="O383" t="s">
        <v>155</v>
      </c>
      <c r="P383" t="s">
        <v>296</v>
      </c>
      <c r="Q383">
        <v>1.25</v>
      </c>
      <c r="R383" s="9">
        <v>34533.75</v>
      </c>
      <c r="S383" t="str">
        <f>IF(OR(Sheet1[[#This Row],[Salary_USD]]&lt;$V$13,Sheet1[[#This Row],[Salary_USD]]&gt;$V$12),"Outlier","Normal")</f>
        <v>Normal</v>
      </c>
    </row>
    <row r="384" spans="1:19" x14ac:dyDescent="0.25">
      <c r="A384" t="s">
        <v>21</v>
      </c>
      <c r="B384" t="s">
        <v>26</v>
      </c>
      <c r="C384" t="s">
        <v>41</v>
      </c>
      <c r="D384" t="s">
        <v>62</v>
      </c>
      <c r="E384" s="2">
        <v>97888</v>
      </c>
      <c r="F384" s="2">
        <v>0</v>
      </c>
      <c r="G384" t="s">
        <v>64</v>
      </c>
      <c r="H384" t="s">
        <v>56</v>
      </c>
      <c r="I384" t="s">
        <v>73</v>
      </c>
      <c r="J384" t="s">
        <v>99</v>
      </c>
      <c r="K384" t="s">
        <v>125</v>
      </c>
      <c r="L384">
        <v>10</v>
      </c>
      <c r="M384">
        <v>10</v>
      </c>
      <c r="N384" t="s">
        <v>153</v>
      </c>
      <c r="O384" t="s">
        <v>154</v>
      </c>
      <c r="P384" t="s">
        <v>212</v>
      </c>
      <c r="Q384">
        <v>0.65</v>
      </c>
      <c r="R384" s="9">
        <v>63627.200000000004</v>
      </c>
      <c r="S384" t="str">
        <f>IF(OR(Sheet1[[#This Row],[Salary_USD]]&lt;$V$13,Sheet1[[#This Row],[Salary_USD]]&gt;$V$12),"Outlier","Normal")</f>
        <v>Normal</v>
      </c>
    </row>
    <row r="385" spans="1:19" x14ac:dyDescent="0.25">
      <c r="A385" t="s">
        <v>20</v>
      </c>
      <c r="B385" t="s">
        <v>35</v>
      </c>
      <c r="C385" t="s">
        <v>48</v>
      </c>
      <c r="D385" t="s">
        <v>58</v>
      </c>
      <c r="E385" s="2">
        <v>61933</v>
      </c>
      <c r="F385" s="2">
        <v>1884</v>
      </c>
      <c r="G385" t="s">
        <v>63</v>
      </c>
      <c r="H385" t="s">
        <v>71</v>
      </c>
      <c r="I385" t="s">
        <v>80</v>
      </c>
      <c r="J385" t="s">
        <v>93</v>
      </c>
      <c r="K385" t="s">
        <v>93</v>
      </c>
      <c r="L385">
        <v>3</v>
      </c>
      <c r="M385">
        <v>0</v>
      </c>
      <c r="N385" t="s">
        <v>149</v>
      </c>
      <c r="O385" t="s">
        <v>155</v>
      </c>
      <c r="P385" t="s">
        <v>327</v>
      </c>
      <c r="Q385">
        <v>1.1000000000000001</v>
      </c>
      <c r="R385" s="9">
        <v>68126.3</v>
      </c>
      <c r="S385" t="str">
        <f>IF(OR(Sheet1[[#This Row],[Salary_USD]]&lt;$V$13,Sheet1[[#This Row],[Salary_USD]]&gt;$V$12),"Outlier","Normal")</f>
        <v>Normal</v>
      </c>
    </row>
    <row r="386" spans="1:19" x14ac:dyDescent="0.25">
      <c r="A386" t="s">
        <v>20</v>
      </c>
      <c r="B386" t="s">
        <v>34</v>
      </c>
      <c r="C386" t="s">
        <v>40</v>
      </c>
      <c r="D386" t="s">
        <v>55</v>
      </c>
      <c r="E386" s="2">
        <v>47387</v>
      </c>
      <c r="F386" s="2">
        <v>504</v>
      </c>
      <c r="G386" t="s">
        <v>63</v>
      </c>
      <c r="H386" t="s">
        <v>69</v>
      </c>
      <c r="I386" t="s">
        <v>75</v>
      </c>
      <c r="J386" t="s">
        <v>85</v>
      </c>
      <c r="K386" t="s">
        <v>114</v>
      </c>
      <c r="L386">
        <v>0</v>
      </c>
      <c r="M386">
        <v>0</v>
      </c>
      <c r="N386" t="s">
        <v>152</v>
      </c>
      <c r="O386" t="s">
        <v>154</v>
      </c>
      <c r="P386" t="s">
        <v>178</v>
      </c>
      <c r="Q386">
        <v>1.1000000000000001</v>
      </c>
      <c r="R386" s="9">
        <v>52125.700000000004</v>
      </c>
      <c r="S386" t="str">
        <f>IF(OR(Sheet1[[#This Row],[Salary_USD]]&lt;$V$13,Sheet1[[#This Row],[Salary_USD]]&gt;$V$12),"Outlier","Normal")</f>
        <v>Normal</v>
      </c>
    </row>
    <row r="387" spans="1:19" x14ac:dyDescent="0.25">
      <c r="A387" t="s">
        <v>20</v>
      </c>
      <c r="B387" t="s">
        <v>451</v>
      </c>
      <c r="C387" t="s">
        <v>451</v>
      </c>
      <c r="D387" t="s">
        <v>451</v>
      </c>
      <c r="E387" s="2">
        <v>0</v>
      </c>
      <c r="F387" s="2">
        <v>2481</v>
      </c>
      <c r="G387" t="s">
        <v>64</v>
      </c>
      <c r="H387" t="s">
        <v>56</v>
      </c>
      <c r="I387" t="s">
        <v>81</v>
      </c>
      <c r="J387" t="s">
        <v>94</v>
      </c>
      <c r="K387" t="s">
        <v>451</v>
      </c>
      <c r="L387">
        <v>0</v>
      </c>
      <c r="M387">
        <v>5</v>
      </c>
      <c r="N387" t="s">
        <v>149</v>
      </c>
      <c r="O387" t="s">
        <v>452</v>
      </c>
      <c r="P387" t="s">
        <v>229</v>
      </c>
      <c r="Q387">
        <v>0.65</v>
      </c>
      <c r="R387" s="9">
        <v>0</v>
      </c>
      <c r="S387" t="str">
        <f>IF(OR(Sheet1[[#This Row],[Salary_USD]]&lt;$V$13,Sheet1[[#This Row],[Salary_USD]]&gt;$V$12),"Outlier","Normal")</f>
        <v>Normal</v>
      </c>
    </row>
    <row r="388" spans="1:19" x14ac:dyDescent="0.25">
      <c r="A388" t="s">
        <v>21</v>
      </c>
      <c r="B388" t="s">
        <v>35</v>
      </c>
      <c r="C388" t="s">
        <v>52</v>
      </c>
      <c r="D388" t="s">
        <v>59</v>
      </c>
      <c r="E388" s="2">
        <v>86823</v>
      </c>
      <c r="F388" s="2">
        <v>0</v>
      </c>
      <c r="G388" t="s">
        <v>65</v>
      </c>
      <c r="H388" t="s">
        <v>56</v>
      </c>
      <c r="I388" t="s">
        <v>81</v>
      </c>
      <c r="J388" t="s">
        <v>101</v>
      </c>
      <c r="K388" t="s">
        <v>127</v>
      </c>
      <c r="L388">
        <v>10</v>
      </c>
      <c r="M388">
        <v>10</v>
      </c>
      <c r="N388" t="s">
        <v>149</v>
      </c>
      <c r="O388" t="s">
        <v>156</v>
      </c>
      <c r="P388" t="s">
        <v>162</v>
      </c>
      <c r="Q388">
        <v>0.73</v>
      </c>
      <c r="R388" s="9">
        <v>63380.79</v>
      </c>
      <c r="S388" t="str">
        <f>IF(OR(Sheet1[[#This Row],[Salary_USD]]&lt;$V$13,Sheet1[[#This Row],[Salary_USD]]&gt;$V$12),"Outlier","Normal")</f>
        <v>Normal</v>
      </c>
    </row>
    <row r="389" spans="1:19" x14ac:dyDescent="0.25">
      <c r="A389" t="s">
        <v>21</v>
      </c>
      <c r="B389" t="s">
        <v>35</v>
      </c>
      <c r="C389" t="s">
        <v>37</v>
      </c>
      <c r="D389" t="s">
        <v>54</v>
      </c>
      <c r="E389" s="2">
        <v>90234</v>
      </c>
      <c r="F389" s="2">
        <v>10883</v>
      </c>
      <c r="G389" t="s">
        <v>65</v>
      </c>
      <c r="H389" t="s">
        <v>71</v>
      </c>
      <c r="I389" t="s">
        <v>78</v>
      </c>
      <c r="J389" t="s">
        <v>105</v>
      </c>
      <c r="K389" t="s">
        <v>133</v>
      </c>
      <c r="L389">
        <v>10</v>
      </c>
      <c r="M389">
        <v>9</v>
      </c>
      <c r="N389" t="s">
        <v>148</v>
      </c>
      <c r="O389" t="s">
        <v>155</v>
      </c>
      <c r="P389" t="s">
        <v>184</v>
      </c>
      <c r="Q389">
        <v>0.73</v>
      </c>
      <c r="R389" s="9">
        <v>65870.819999999992</v>
      </c>
      <c r="S389" t="str">
        <f>IF(OR(Sheet1[[#This Row],[Salary_USD]]&lt;$V$13,Sheet1[[#This Row],[Salary_USD]]&gt;$V$12),"Outlier","Normal")</f>
        <v>Normal</v>
      </c>
    </row>
    <row r="390" spans="1:19" x14ac:dyDescent="0.25">
      <c r="A390" t="s">
        <v>19</v>
      </c>
      <c r="B390" t="s">
        <v>22</v>
      </c>
      <c r="C390" t="s">
        <v>53</v>
      </c>
      <c r="D390" t="s">
        <v>62</v>
      </c>
      <c r="E390" s="2">
        <v>117376</v>
      </c>
      <c r="F390" s="2">
        <v>20584</v>
      </c>
      <c r="G390" t="s">
        <v>63</v>
      </c>
      <c r="H390" t="s">
        <v>451</v>
      </c>
      <c r="I390" t="s">
        <v>81</v>
      </c>
      <c r="J390" t="s">
        <v>101</v>
      </c>
      <c r="K390" t="s">
        <v>127</v>
      </c>
      <c r="L390">
        <v>15</v>
      </c>
      <c r="M390">
        <v>15</v>
      </c>
      <c r="N390" t="s">
        <v>150</v>
      </c>
      <c r="O390" t="s">
        <v>156</v>
      </c>
      <c r="P390" t="s">
        <v>169</v>
      </c>
      <c r="Q390">
        <v>1.1000000000000001</v>
      </c>
      <c r="R390" s="9">
        <v>129113.60000000001</v>
      </c>
      <c r="S390" t="str">
        <f>IF(OR(Sheet1[[#This Row],[Salary_USD]]&lt;$V$13,Sheet1[[#This Row],[Salary_USD]]&gt;$V$12),"Outlier","Normal")</f>
        <v>Normal</v>
      </c>
    </row>
    <row r="391" spans="1:19" x14ac:dyDescent="0.25">
      <c r="A391" t="s">
        <v>19</v>
      </c>
      <c r="B391" t="s">
        <v>34</v>
      </c>
      <c r="C391" t="s">
        <v>37</v>
      </c>
      <c r="D391" t="s">
        <v>58</v>
      </c>
      <c r="E391" s="2">
        <v>85417</v>
      </c>
      <c r="F391" s="2">
        <v>14866</v>
      </c>
      <c r="G391" t="s">
        <v>64</v>
      </c>
      <c r="H391" t="s">
        <v>70</v>
      </c>
      <c r="I391" t="s">
        <v>80</v>
      </c>
      <c r="J391" t="s">
        <v>93</v>
      </c>
      <c r="K391" t="s">
        <v>93</v>
      </c>
      <c r="L391">
        <v>2</v>
      </c>
      <c r="M391">
        <v>2</v>
      </c>
      <c r="N391" t="s">
        <v>151</v>
      </c>
      <c r="O391" t="s">
        <v>156</v>
      </c>
      <c r="P391" t="s">
        <v>328</v>
      </c>
      <c r="Q391">
        <v>0.65</v>
      </c>
      <c r="R391" s="9">
        <v>55521.05</v>
      </c>
      <c r="S391" t="str">
        <f>IF(OR(Sheet1[[#This Row],[Salary_USD]]&lt;$V$13,Sheet1[[#This Row],[Salary_USD]]&gt;$V$12),"Outlier","Normal")</f>
        <v>Normal</v>
      </c>
    </row>
    <row r="392" spans="1:19" x14ac:dyDescent="0.25">
      <c r="A392" t="s">
        <v>20</v>
      </c>
      <c r="B392" t="s">
        <v>22</v>
      </c>
      <c r="C392" t="s">
        <v>39</v>
      </c>
      <c r="D392" t="s">
        <v>60</v>
      </c>
      <c r="E392" s="2">
        <v>67307</v>
      </c>
      <c r="F392" s="2">
        <v>0</v>
      </c>
      <c r="G392" t="s">
        <v>63</v>
      </c>
      <c r="H392" t="s">
        <v>56</v>
      </c>
      <c r="I392" t="s">
        <v>77</v>
      </c>
      <c r="J392" t="s">
        <v>111</v>
      </c>
      <c r="K392" t="s">
        <v>141</v>
      </c>
      <c r="L392">
        <v>7</v>
      </c>
      <c r="M392">
        <v>7</v>
      </c>
      <c r="N392" t="s">
        <v>153</v>
      </c>
      <c r="O392" t="s">
        <v>157</v>
      </c>
      <c r="P392" t="s">
        <v>197</v>
      </c>
      <c r="Q392">
        <v>1.1000000000000001</v>
      </c>
      <c r="R392" s="9">
        <v>74037.700000000012</v>
      </c>
      <c r="S392" t="str">
        <f>IF(OR(Sheet1[[#This Row],[Salary_USD]]&lt;$V$13,Sheet1[[#This Row],[Salary_USD]]&gt;$V$12),"Outlier","Normal")</f>
        <v>Normal</v>
      </c>
    </row>
    <row r="393" spans="1:19" x14ac:dyDescent="0.25">
      <c r="A393" t="s">
        <v>19</v>
      </c>
      <c r="B393" t="s">
        <v>33</v>
      </c>
      <c r="C393" t="s">
        <v>42</v>
      </c>
      <c r="D393" t="s">
        <v>57</v>
      </c>
      <c r="E393" s="2">
        <v>131939</v>
      </c>
      <c r="F393" s="2">
        <v>3110</v>
      </c>
      <c r="G393" t="s">
        <v>64</v>
      </c>
      <c r="H393" t="s">
        <v>71</v>
      </c>
      <c r="I393" t="s">
        <v>75</v>
      </c>
      <c r="J393" t="s">
        <v>96</v>
      </c>
      <c r="K393" t="s">
        <v>121</v>
      </c>
      <c r="L393">
        <v>10</v>
      </c>
      <c r="M393">
        <v>8</v>
      </c>
      <c r="N393" t="s">
        <v>149</v>
      </c>
      <c r="O393" t="s">
        <v>157</v>
      </c>
      <c r="P393" t="s">
        <v>240</v>
      </c>
      <c r="Q393">
        <v>0.65</v>
      </c>
      <c r="R393" s="9">
        <v>85760.35</v>
      </c>
      <c r="S393" t="str">
        <f>IF(OR(Sheet1[[#This Row],[Salary_USD]]&lt;$V$13,Sheet1[[#This Row],[Salary_USD]]&gt;$V$12),"Outlier","Normal")</f>
        <v>Normal</v>
      </c>
    </row>
    <row r="394" spans="1:19" x14ac:dyDescent="0.25">
      <c r="A394" t="s">
        <v>21</v>
      </c>
      <c r="B394" t="s">
        <v>29</v>
      </c>
      <c r="C394" t="s">
        <v>42</v>
      </c>
      <c r="D394" t="s">
        <v>61</v>
      </c>
      <c r="E394" s="2">
        <v>99478</v>
      </c>
      <c r="F394" s="2">
        <v>9034</v>
      </c>
      <c r="G394" t="s">
        <v>68</v>
      </c>
      <c r="H394" t="s">
        <v>71</v>
      </c>
      <c r="I394" t="s">
        <v>78</v>
      </c>
      <c r="J394" t="s">
        <v>90</v>
      </c>
      <c r="K394" t="s">
        <v>147</v>
      </c>
      <c r="L394">
        <v>12</v>
      </c>
      <c r="M394">
        <v>10</v>
      </c>
      <c r="N394" t="s">
        <v>149</v>
      </c>
      <c r="O394" t="s">
        <v>155</v>
      </c>
      <c r="P394" t="s">
        <v>184</v>
      </c>
      <c r="Q394">
        <v>1.25</v>
      </c>
      <c r="R394" s="9">
        <v>124347.5</v>
      </c>
      <c r="S394" t="str">
        <f>IF(OR(Sheet1[[#This Row],[Salary_USD]]&lt;$V$13,Sheet1[[#This Row],[Salary_USD]]&gt;$V$12),"Outlier","Normal")</f>
        <v>Normal</v>
      </c>
    </row>
    <row r="395" spans="1:19" x14ac:dyDescent="0.25">
      <c r="A395" t="s">
        <v>20</v>
      </c>
      <c r="B395" t="s">
        <v>22</v>
      </c>
      <c r="C395" t="s">
        <v>48</v>
      </c>
      <c r="D395" t="s">
        <v>61</v>
      </c>
      <c r="E395" s="2">
        <v>46804</v>
      </c>
      <c r="F395" s="2">
        <v>612</v>
      </c>
      <c r="G395" t="s">
        <v>65</v>
      </c>
      <c r="H395" t="s">
        <v>70</v>
      </c>
      <c r="I395" t="s">
        <v>73</v>
      </c>
      <c r="J395" t="s">
        <v>83</v>
      </c>
      <c r="K395" t="s">
        <v>113</v>
      </c>
      <c r="L395">
        <v>3</v>
      </c>
      <c r="M395">
        <v>3</v>
      </c>
      <c r="N395" t="s">
        <v>153</v>
      </c>
      <c r="O395" t="s">
        <v>155</v>
      </c>
      <c r="P395" t="s">
        <v>212</v>
      </c>
      <c r="Q395">
        <v>0.73</v>
      </c>
      <c r="R395" s="9">
        <v>34166.92</v>
      </c>
      <c r="S395" t="str">
        <f>IF(OR(Sheet1[[#This Row],[Salary_USD]]&lt;$V$13,Sheet1[[#This Row],[Salary_USD]]&gt;$V$12),"Outlier","Normal")</f>
        <v>Normal</v>
      </c>
    </row>
    <row r="396" spans="1:19" x14ac:dyDescent="0.25">
      <c r="A396" t="s">
        <v>20</v>
      </c>
      <c r="B396" t="s">
        <v>28</v>
      </c>
      <c r="C396" t="s">
        <v>37</v>
      </c>
      <c r="D396" t="s">
        <v>451</v>
      </c>
      <c r="E396" s="2">
        <v>45146</v>
      </c>
      <c r="F396" s="2">
        <v>3117</v>
      </c>
      <c r="G396" t="s">
        <v>68</v>
      </c>
      <c r="H396" t="s">
        <v>71</v>
      </c>
      <c r="I396" t="s">
        <v>75</v>
      </c>
      <c r="J396" t="s">
        <v>108</v>
      </c>
      <c r="K396" t="s">
        <v>135</v>
      </c>
      <c r="L396">
        <v>1</v>
      </c>
      <c r="M396">
        <v>0</v>
      </c>
      <c r="N396" t="s">
        <v>152</v>
      </c>
      <c r="O396" t="s">
        <v>154</v>
      </c>
      <c r="P396" t="s">
        <v>174</v>
      </c>
      <c r="Q396">
        <v>1.25</v>
      </c>
      <c r="R396" s="9">
        <v>56432.5</v>
      </c>
      <c r="S396" t="str">
        <f>IF(OR(Sheet1[[#This Row],[Salary_USD]]&lt;$V$13,Sheet1[[#This Row],[Salary_USD]]&gt;$V$12),"Outlier","Normal")</f>
        <v>Normal</v>
      </c>
    </row>
    <row r="397" spans="1:19" x14ac:dyDescent="0.25">
      <c r="A397" t="s">
        <v>20</v>
      </c>
      <c r="B397" t="s">
        <v>31</v>
      </c>
      <c r="C397" t="s">
        <v>53</v>
      </c>
      <c r="D397" t="s">
        <v>58</v>
      </c>
      <c r="E397" s="2">
        <v>103454</v>
      </c>
      <c r="F397" s="2">
        <v>25623</v>
      </c>
      <c r="G397" t="s">
        <v>65</v>
      </c>
      <c r="H397" t="s">
        <v>71</v>
      </c>
      <c r="I397" t="s">
        <v>81</v>
      </c>
      <c r="J397" t="s">
        <v>98</v>
      </c>
      <c r="K397" t="s">
        <v>123</v>
      </c>
      <c r="L397">
        <v>7</v>
      </c>
      <c r="M397">
        <v>4</v>
      </c>
      <c r="N397" t="s">
        <v>151</v>
      </c>
      <c r="O397" t="s">
        <v>156</v>
      </c>
      <c r="P397" t="s">
        <v>329</v>
      </c>
      <c r="Q397">
        <v>0.73</v>
      </c>
      <c r="R397" s="9">
        <v>75521.42</v>
      </c>
      <c r="S397" t="str">
        <f>IF(OR(Sheet1[[#This Row],[Salary_USD]]&lt;$V$13,Sheet1[[#This Row],[Salary_USD]]&gt;$V$12),"Outlier","Normal")</f>
        <v>Normal</v>
      </c>
    </row>
    <row r="398" spans="1:19" x14ac:dyDescent="0.25">
      <c r="A398" t="s">
        <v>17</v>
      </c>
      <c r="B398" t="s">
        <v>35</v>
      </c>
      <c r="C398" t="s">
        <v>43</v>
      </c>
      <c r="D398" t="s">
        <v>58</v>
      </c>
      <c r="E398" s="2">
        <v>140230</v>
      </c>
      <c r="F398" s="2">
        <v>0</v>
      </c>
      <c r="G398" t="s">
        <v>67</v>
      </c>
      <c r="H398" t="s">
        <v>56</v>
      </c>
      <c r="I398" t="s">
        <v>77</v>
      </c>
      <c r="J398" t="s">
        <v>111</v>
      </c>
      <c r="K398" t="s">
        <v>141</v>
      </c>
      <c r="L398">
        <v>25</v>
      </c>
      <c r="M398">
        <v>25</v>
      </c>
      <c r="N398" t="s">
        <v>151</v>
      </c>
      <c r="O398" t="s">
        <v>156</v>
      </c>
      <c r="P398" t="s">
        <v>162</v>
      </c>
      <c r="Q398">
        <v>1</v>
      </c>
      <c r="R398" s="9">
        <v>140230</v>
      </c>
      <c r="S398" t="str">
        <f>IF(OR(Sheet1[[#This Row],[Salary_USD]]&lt;$V$13,Sheet1[[#This Row],[Salary_USD]]&gt;$V$12),"Outlier","Normal")</f>
        <v>Normal</v>
      </c>
    </row>
    <row r="399" spans="1:19" x14ac:dyDescent="0.25">
      <c r="A399" t="s">
        <v>19</v>
      </c>
      <c r="B399" t="s">
        <v>29</v>
      </c>
      <c r="C399" t="s">
        <v>36</v>
      </c>
      <c r="D399" t="s">
        <v>59</v>
      </c>
      <c r="E399" s="2">
        <v>1657577</v>
      </c>
      <c r="F399" s="2">
        <v>74305</v>
      </c>
      <c r="G399" t="s">
        <v>66</v>
      </c>
      <c r="H399" t="s">
        <v>70</v>
      </c>
      <c r="I399" t="s">
        <v>77</v>
      </c>
      <c r="J399" t="s">
        <v>89</v>
      </c>
      <c r="K399" t="s">
        <v>124</v>
      </c>
      <c r="L399">
        <v>15</v>
      </c>
      <c r="M399">
        <v>12</v>
      </c>
      <c r="N399" t="s">
        <v>151</v>
      </c>
      <c r="O399" t="s">
        <v>155</v>
      </c>
      <c r="P399" t="s">
        <v>189</v>
      </c>
      <c r="Q399">
        <v>1.2E-2</v>
      </c>
      <c r="R399" s="9">
        <v>19890.923999999999</v>
      </c>
      <c r="S399" t="str">
        <f>IF(OR(Sheet1[[#This Row],[Salary_USD]]&lt;$V$13,Sheet1[[#This Row],[Salary_USD]]&gt;$V$12),"Outlier","Normal")</f>
        <v>Normal</v>
      </c>
    </row>
    <row r="400" spans="1:19" x14ac:dyDescent="0.25">
      <c r="A400" t="s">
        <v>21</v>
      </c>
      <c r="B400" t="s">
        <v>29</v>
      </c>
      <c r="C400" t="s">
        <v>48</v>
      </c>
      <c r="D400" t="s">
        <v>60</v>
      </c>
      <c r="E400" s="2">
        <v>112785</v>
      </c>
      <c r="F400" s="2">
        <v>7383</v>
      </c>
      <c r="G400" t="s">
        <v>64</v>
      </c>
      <c r="H400" t="s">
        <v>70</v>
      </c>
      <c r="I400" t="s">
        <v>76</v>
      </c>
      <c r="J400" t="s">
        <v>100</v>
      </c>
      <c r="K400" t="s">
        <v>132</v>
      </c>
      <c r="L400">
        <v>25</v>
      </c>
      <c r="M400">
        <v>25</v>
      </c>
      <c r="N400" t="s">
        <v>152</v>
      </c>
      <c r="O400" t="s">
        <v>156</v>
      </c>
      <c r="P400" t="s">
        <v>208</v>
      </c>
      <c r="Q400">
        <v>0.65</v>
      </c>
      <c r="R400" s="9">
        <v>73310.25</v>
      </c>
      <c r="S400" t="str">
        <f>IF(OR(Sheet1[[#This Row],[Salary_USD]]&lt;$V$13,Sheet1[[#This Row],[Salary_USD]]&gt;$V$12),"Outlier","Normal")</f>
        <v>Normal</v>
      </c>
    </row>
    <row r="401" spans="1:19" x14ac:dyDescent="0.25">
      <c r="A401" t="s">
        <v>19</v>
      </c>
      <c r="B401" t="s">
        <v>35</v>
      </c>
      <c r="C401" t="s">
        <v>49</v>
      </c>
      <c r="D401" t="s">
        <v>451</v>
      </c>
      <c r="E401" s="2">
        <v>58856</v>
      </c>
      <c r="F401" s="2">
        <v>4995</v>
      </c>
      <c r="G401" t="s">
        <v>63</v>
      </c>
      <c r="H401" t="s">
        <v>69</v>
      </c>
      <c r="I401" t="s">
        <v>77</v>
      </c>
      <c r="J401" t="s">
        <v>110</v>
      </c>
      <c r="K401" t="s">
        <v>145</v>
      </c>
      <c r="L401">
        <v>4</v>
      </c>
      <c r="M401">
        <v>4</v>
      </c>
      <c r="N401" t="s">
        <v>150</v>
      </c>
      <c r="O401" t="s">
        <v>156</v>
      </c>
      <c r="P401" t="s">
        <v>190</v>
      </c>
      <c r="Q401">
        <v>1.1000000000000001</v>
      </c>
      <c r="R401" s="9">
        <v>64741.600000000006</v>
      </c>
      <c r="S401" t="str">
        <f>IF(OR(Sheet1[[#This Row],[Salary_USD]]&lt;$V$13,Sheet1[[#This Row],[Salary_USD]]&gt;$V$12),"Outlier","Normal")</f>
        <v>Normal</v>
      </c>
    </row>
    <row r="402" spans="1:19" x14ac:dyDescent="0.25">
      <c r="A402" t="s">
        <v>17</v>
      </c>
      <c r="B402" t="s">
        <v>28</v>
      </c>
      <c r="C402" t="s">
        <v>36</v>
      </c>
      <c r="D402" t="s">
        <v>60</v>
      </c>
      <c r="E402" s="2">
        <v>48130</v>
      </c>
      <c r="F402" s="2">
        <v>10413</v>
      </c>
      <c r="G402" t="s">
        <v>65</v>
      </c>
      <c r="H402" t="s">
        <v>69</v>
      </c>
      <c r="I402" t="s">
        <v>80</v>
      </c>
      <c r="J402" t="s">
        <v>93</v>
      </c>
      <c r="K402" t="s">
        <v>93</v>
      </c>
      <c r="L402">
        <v>15</v>
      </c>
      <c r="M402">
        <v>15</v>
      </c>
      <c r="N402" t="s">
        <v>150</v>
      </c>
      <c r="O402" t="s">
        <v>157</v>
      </c>
      <c r="P402" t="s">
        <v>189</v>
      </c>
      <c r="Q402">
        <v>0.73</v>
      </c>
      <c r="R402" s="9">
        <v>35134.9</v>
      </c>
      <c r="S402" t="str">
        <f>IF(OR(Sheet1[[#This Row],[Salary_USD]]&lt;$V$13,Sheet1[[#This Row],[Salary_USD]]&gt;$V$12),"Outlier","Normal")</f>
        <v>Normal</v>
      </c>
    </row>
    <row r="403" spans="1:19" x14ac:dyDescent="0.25">
      <c r="A403" t="s">
        <v>19</v>
      </c>
      <c r="B403" t="s">
        <v>29</v>
      </c>
      <c r="C403" t="s">
        <v>49</v>
      </c>
      <c r="D403" t="s">
        <v>451</v>
      </c>
      <c r="E403" s="2">
        <v>80669</v>
      </c>
      <c r="F403" s="2">
        <v>5103</v>
      </c>
      <c r="G403" t="s">
        <v>64</v>
      </c>
      <c r="H403" t="s">
        <v>70</v>
      </c>
      <c r="I403" t="s">
        <v>77</v>
      </c>
      <c r="J403" t="s">
        <v>111</v>
      </c>
      <c r="K403" t="s">
        <v>141</v>
      </c>
      <c r="L403">
        <v>12</v>
      </c>
      <c r="M403">
        <v>12</v>
      </c>
      <c r="N403" t="s">
        <v>149</v>
      </c>
      <c r="O403" t="s">
        <v>154</v>
      </c>
      <c r="P403" t="s">
        <v>162</v>
      </c>
      <c r="Q403">
        <v>0.65</v>
      </c>
      <c r="R403" s="9">
        <v>52434.85</v>
      </c>
      <c r="S403" t="str">
        <f>IF(OR(Sheet1[[#This Row],[Salary_USD]]&lt;$V$13,Sheet1[[#This Row],[Salary_USD]]&gt;$V$12),"Outlier","Normal")</f>
        <v>Normal</v>
      </c>
    </row>
    <row r="404" spans="1:19" x14ac:dyDescent="0.25">
      <c r="A404" t="s">
        <v>18</v>
      </c>
      <c r="B404" t="s">
        <v>28</v>
      </c>
      <c r="C404" t="s">
        <v>40</v>
      </c>
      <c r="D404" t="s">
        <v>59</v>
      </c>
      <c r="E404" s="2">
        <v>118701</v>
      </c>
      <c r="F404" s="2">
        <v>17452</v>
      </c>
      <c r="G404" t="s">
        <v>67</v>
      </c>
      <c r="H404" t="s">
        <v>451</v>
      </c>
      <c r="I404" t="s">
        <v>73</v>
      </c>
      <c r="J404" t="s">
        <v>102</v>
      </c>
      <c r="K404" t="s">
        <v>102</v>
      </c>
      <c r="L404">
        <v>1</v>
      </c>
      <c r="M404">
        <v>0</v>
      </c>
      <c r="N404" t="s">
        <v>148</v>
      </c>
      <c r="O404" t="s">
        <v>156</v>
      </c>
      <c r="P404" t="s">
        <v>223</v>
      </c>
      <c r="Q404">
        <v>1</v>
      </c>
      <c r="R404" s="9">
        <v>118701</v>
      </c>
      <c r="S404" t="str">
        <f>IF(OR(Sheet1[[#This Row],[Salary_USD]]&lt;$V$13,Sheet1[[#This Row],[Salary_USD]]&gt;$V$12),"Outlier","Normal")</f>
        <v>Normal</v>
      </c>
    </row>
    <row r="405" spans="1:19" x14ac:dyDescent="0.25">
      <c r="A405" t="s">
        <v>19</v>
      </c>
      <c r="B405" t="s">
        <v>34</v>
      </c>
      <c r="C405" t="s">
        <v>36</v>
      </c>
      <c r="D405" t="s">
        <v>57</v>
      </c>
      <c r="E405" s="2">
        <v>139843</v>
      </c>
      <c r="F405" s="2">
        <v>11955</v>
      </c>
      <c r="G405" t="s">
        <v>67</v>
      </c>
      <c r="H405" t="s">
        <v>70</v>
      </c>
      <c r="I405" t="s">
        <v>81</v>
      </c>
      <c r="J405" t="s">
        <v>98</v>
      </c>
      <c r="K405" t="s">
        <v>123</v>
      </c>
      <c r="L405">
        <v>8</v>
      </c>
      <c r="M405">
        <v>8</v>
      </c>
      <c r="N405" t="s">
        <v>152</v>
      </c>
      <c r="O405" t="s">
        <v>155</v>
      </c>
      <c r="P405" t="s">
        <v>181</v>
      </c>
      <c r="Q405">
        <v>1</v>
      </c>
      <c r="R405" s="9">
        <v>139843</v>
      </c>
      <c r="S405" t="str">
        <f>IF(OR(Sheet1[[#This Row],[Salary_USD]]&lt;$V$13,Sheet1[[#This Row],[Salary_USD]]&gt;$V$12),"Outlier","Normal")</f>
        <v>Normal</v>
      </c>
    </row>
    <row r="406" spans="1:19" x14ac:dyDescent="0.25">
      <c r="A406" t="s">
        <v>20</v>
      </c>
      <c r="B406" t="s">
        <v>35</v>
      </c>
      <c r="C406" t="s">
        <v>36</v>
      </c>
      <c r="D406" t="s">
        <v>62</v>
      </c>
      <c r="E406" s="2">
        <v>106420</v>
      </c>
      <c r="F406" s="2">
        <v>29713</v>
      </c>
      <c r="G406" t="s">
        <v>64</v>
      </c>
      <c r="H406" t="s">
        <v>69</v>
      </c>
      <c r="I406" t="s">
        <v>81</v>
      </c>
      <c r="J406" t="s">
        <v>98</v>
      </c>
      <c r="K406" t="s">
        <v>123</v>
      </c>
      <c r="L406">
        <v>5</v>
      </c>
      <c r="M406">
        <v>3</v>
      </c>
      <c r="N406" t="s">
        <v>148</v>
      </c>
      <c r="O406" t="s">
        <v>154</v>
      </c>
      <c r="P406" t="s">
        <v>162</v>
      </c>
      <c r="Q406">
        <v>0.65</v>
      </c>
      <c r="R406" s="9">
        <v>69173</v>
      </c>
      <c r="S406" t="str">
        <f>IF(OR(Sheet1[[#This Row],[Salary_USD]]&lt;$V$13,Sheet1[[#This Row],[Salary_USD]]&gt;$V$12),"Outlier","Normal")</f>
        <v>Normal</v>
      </c>
    </row>
    <row r="407" spans="1:19" x14ac:dyDescent="0.25">
      <c r="A407" t="s">
        <v>20</v>
      </c>
      <c r="B407" t="s">
        <v>35</v>
      </c>
      <c r="C407" t="s">
        <v>51</v>
      </c>
      <c r="D407" t="s">
        <v>57</v>
      </c>
      <c r="E407" s="2">
        <v>90141</v>
      </c>
      <c r="F407" s="2">
        <v>7664</v>
      </c>
      <c r="G407" t="s">
        <v>64</v>
      </c>
      <c r="H407" t="s">
        <v>451</v>
      </c>
      <c r="I407" t="s">
        <v>79</v>
      </c>
      <c r="J407" t="s">
        <v>91</v>
      </c>
      <c r="K407" t="s">
        <v>118</v>
      </c>
      <c r="L407">
        <v>3</v>
      </c>
      <c r="M407">
        <v>1</v>
      </c>
      <c r="N407" t="s">
        <v>152</v>
      </c>
      <c r="O407" t="s">
        <v>156</v>
      </c>
      <c r="P407" t="s">
        <v>165</v>
      </c>
      <c r="Q407">
        <v>0.65</v>
      </c>
      <c r="R407" s="9">
        <v>58591.65</v>
      </c>
      <c r="S407" t="str">
        <f>IF(OR(Sheet1[[#This Row],[Salary_USD]]&lt;$V$13,Sheet1[[#This Row],[Salary_USD]]&gt;$V$12),"Outlier","Normal")</f>
        <v>Normal</v>
      </c>
    </row>
    <row r="408" spans="1:19" x14ac:dyDescent="0.25">
      <c r="A408" t="s">
        <v>17</v>
      </c>
      <c r="B408" t="s">
        <v>35</v>
      </c>
      <c r="C408" t="s">
        <v>36</v>
      </c>
      <c r="D408" t="s">
        <v>62</v>
      </c>
      <c r="E408" s="2">
        <v>595513</v>
      </c>
      <c r="F408" s="2">
        <v>0</v>
      </c>
      <c r="G408" t="s">
        <v>66</v>
      </c>
      <c r="H408" t="s">
        <v>70</v>
      </c>
      <c r="I408" t="s">
        <v>78</v>
      </c>
      <c r="J408" t="s">
        <v>88</v>
      </c>
      <c r="K408" t="s">
        <v>128</v>
      </c>
      <c r="L408">
        <v>25</v>
      </c>
      <c r="M408">
        <v>25</v>
      </c>
      <c r="N408" t="s">
        <v>149</v>
      </c>
      <c r="O408" t="s">
        <v>157</v>
      </c>
      <c r="P408" t="s">
        <v>181</v>
      </c>
      <c r="Q408">
        <v>1.2E-2</v>
      </c>
      <c r="R408" s="9">
        <v>7146.1559999999999</v>
      </c>
      <c r="S408" t="str">
        <f>IF(OR(Sheet1[[#This Row],[Salary_USD]]&lt;$V$13,Sheet1[[#This Row],[Salary_USD]]&gt;$V$12),"Outlier","Normal")</f>
        <v>Normal</v>
      </c>
    </row>
    <row r="409" spans="1:19" x14ac:dyDescent="0.25">
      <c r="A409" t="s">
        <v>20</v>
      </c>
      <c r="B409" t="s">
        <v>35</v>
      </c>
      <c r="C409" t="s">
        <v>39</v>
      </c>
      <c r="D409" t="s">
        <v>62</v>
      </c>
      <c r="E409" s="2">
        <v>77726</v>
      </c>
      <c r="F409" s="2">
        <v>0</v>
      </c>
      <c r="G409" t="s">
        <v>63</v>
      </c>
      <c r="H409" t="s">
        <v>71</v>
      </c>
      <c r="I409" t="s">
        <v>73</v>
      </c>
      <c r="J409" t="s">
        <v>99</v>
      </c>
      <c r="K409" t="s">
        <v>125</v>
      </c>
      <c r="L409">
        <v>0</v>
      </c>
      <c r="M409">
        <v>0</v>
      </c>
      <c r="N409" t="s">
        <v>153</v>
      </c>
      <c r="O409" t="s">
        <v>156</v>
      </c>
      <c r="P409" t="s">
        <v>209</v>
      </c>
      <c r="Q409">
        <v>1.1000000000000001</v>
      </c>
      <c r="R409" s="9">
        <v>85498.6</v>
      </c>
      <c r="S409" t="str">
        <f>IF(OR(Sheet1[[#This Row],[Salary_USD]]&lt;$V$13,Sheet1[[#This Row],[Salary_USD]]&gt;$V$12),"Outlier","Normal")</f>
        <v>Normal</v>
      </c>
    </row>
    <row r="410" spans="1:19" x14ac:dyDescent="0.25">
      <c r="A410" t="s">
        <v>17</v>
      </c>
      <c r="B410" t="s">
        <v>22</v>
      </c>
      <c r="C410" t="s">
        <v>47</v>
      </c>
      <c r="D410" t="s">
        <v>451</v>
      </c>
      <c r="E410" s="2">
        <v>144225</v>
      </c>
      <c r="F410" s="2">
        <v>0</v>
      </c>
      <c r="G410" t="s">
        <v>67</v>
      </c>
      <c r="H410" t="s">
        <v>69</v>
      </c>
      <c r="I410" t="s">
        <v>72</v>
      </c>
      <c r="J410" t="s">
        <v>95</v>
      </c>
      <c r="K410" t="s">
        <v>120</v>
      </c>
      <c r="L410">
        <v>15</v>
      </c>
      <c r="M410">
        <v>14</v>
      </c>
      <c r="N410" t="s">
        <v>151</v>
      </c>
      <c r="O410" t="s">
        <v>157</v>
      </c>
      <c r="P410" t="s">
        <v>330</v>
      </c>
      <c r="Q410">
        <v>1</v>
      </c>
      <c r="R410" s="9">
        <v>144225</v>
      </c>
      <c r="S410" t="str">
        <f>IF(OR(Sheet1[[#This Row],[Salary_USD]]&lt;$V$13,Sheet1[[#This Row],[Salary_USD]]&gt;$V$12),"Outlier","Normal")</f>
        <v>Normal</v>
      </c>
    </row>
    <row r="411" spans="1:19" x14ac:dyDescent="0.25">
      <c r="A411" t="s">
        <v>17</v>
      </c>
      <c r="B411" t="s">
        <v>24</v>
      </c>
      <c r="C411" t="s">
        <v>46</v>
      </c>
      <c r="D411" t="s">
        <v>57</v>
      </c>
      <c r="E411" s="2">
        <v>464312</v>
      </c>
      <c r="F411" s="2">
        <v>19113</v>
      </c>
      <c r="G411" t="s">
        <v>66</v>
      </c>
      <c r="H411" t="s">
        <v>451</v>
      </c>
      <c r="I411" t="s">
        <v>72</v>
      </c>
      <c r="J411" t="s">
        <v>82</v>
      </c>
      <c r="K411" t="s">
        <v>112</v>
      </c>
      <c r="L411">
        <v>25</v>
      </c>
      <c r="M411">
        <v>25</v>
      </c>
      <c r="N411" t="s">
        <v>148</v>
      </c>
      <c r="O411" t="s">
        <v>157</v>
      </c>
      <c r="P411" t="s">
        <v>331</v>
      </c>
      <c r="Q411">
        <v>1.2E-2</v>
      </c>
      <c r="R411" s="9">
        <v>5571.7439999999997</v>
      </c>
      <c r="S411" t="str">
        <f>IF(OR(Sheet1[[#This Row],[Salary_USD]]&lt;$V$13,Sheet1[[#This Row],[Salary_USD]]&gt;$V$12),"Outlier","Normal")</f>
        <v>Normal</v>
      </c>
    </row>
    <row r="412" spans="1:19" x14ac:dyDescent="0.25">
      <c r="A412" t="s">
        <v>18</v>
      </c>
      <c r="B412" t="s">
        <v>35</v>
      </c>
      <c r="C412" t="s">
        <v>49</v>
      </c>
      <c r="D412" t="s">
        <v>451</v>
      </c>
      <c r="E412" s="2">
        <v>111752</v>
      </c>
      <c r="F412" s="2">
        <v>883</v>
      </c>
      <c r="G412" t="s">
        <v>65</v>
      </c>
      <c r="H412" t="s">
        <v>56</v>
      </c>
      <c r="I412" t="s">
        <v>73</v>
      </c>
      <c r="J412" t="s">
        <v>83</v>
      </c>
      <c r="K412" t="s">
        <v>113</v>
      </c>
      <c r="L412">
        <v>0</v>
      </c>
      <c r="M412">
        <v>0</v>
      </c>
      <c r="N412" t="s">
        <v>153</v>
      </c>
      <c r="O412" t="s">
        <v>155</v>
      </c>
      <c r="P412" t="s">
        <v>332</v>
      </c>
      <c r="Q412">
        <v>0.73</v>
      </c>
      <c r="R412" s="9">
        <v>81578.959999999992</v>
      </c>
      <c r="S412" t="str">
        <f>IF(OR(Sheet1[[#This Row],[Salary_USD]]&lt;$V$13,Sheet1[[#This Row],[Salary_USD]]&gt;$V$12),"Outlier","Normal")</f>
        <v>Normal</v>
      </c>
    </row>
    <row r="413" spans="1:19" x14ac:dyDescent="0.25">
      <c r="A413" t="s">
        <v>20</v>
      </c>
      <c r="B413" t="s">
        <v>32</v>
      </c>
      <c r="C413" t="s">
        <v>41</v>
      </c>
      <c r="D413" t="s">
        <v>57</v>
      </c>
      <c r="E413" s="2">
        <v>68779</v>
      </c>
      <c r="F413" s="2">
        <v>3365</v>
      </c>
      <c r="G413" t="s">
        <v>67</v>
      </c>
      <c r="H413" t="s">
        <v>451</v>
      </c>
      <c r="I413" t="s">
        <v>74</v>
      </c>
      <c r="J413" t="s">
        <v>84</v>
      </c>
      <c r="K413" t="s">
        <v>74</v>
      </c>
      <c r="L413">
        <v>7</v>
      </c>
      <c r="M413">
        <v>4</v>
      </c>
      <c r="N413" t="s">
        <v>153</v>
      </c>
      <c r="O413" t="s">
        <v>157</v>
      </c>
      <c r="P413" t="s">
        <v>173</v>
      </c>
      <c r="Q413">
        <v>1</v>
      </c>
      <c r="R413" s="9">
        <v>68779</v>
      </c>
      <c r="S413" t="str">
        <f>IF(OR(Sheet1[[#This Row],[Salary_USD]]&lt;$V$13,Sheet1[[#This Row],[Salary_USD]]&gt;$V$12),"Outlier","Normal")</f>
        <v>Normal</v>
      </c>
    </row>
    <row r="414" spans="1:19" x14ac:dyDescent="0.25">
      <c r="A414" t="s">
        <v>19</v>
      </c>
      <c r="B414" t="s">
        <v>28</v>
      </c>
      <c r="C414" t="s">
        <v>45</v>
      </c>
      <c r="D414" t="s">
        <v>60</v>
      </c>
      <c r="E414" s="2">
        <v>894245</v>
      </c>
      <c r="F414" s="2">
        <v>50810</v>
      </c>
      <c r="G414" t="s">
        <v>66</v>
      </c>
      <c r="H414" t="s">
        <v>70</v>
      </c>
      <c r="I414" t="s">
        <v>75</v>
      </c>
      <c r="J414" t="s">
        <v>108</v>
      </c>
      <c r="K414" t="s">
        <v>135</v>
      </c>
      <c r="L414">
        <v>15</v>
      </c>
      <c r="M414">
        <v>14</v>
      </c>
      <c r="N414" t="s">
        <v>148</v>
      </c>
      <c r="O414" t="s">
        <v>157</v>
      </c>
      <c r="P414" t="s">
        <v>333</v>
      </c>
      <c r="Q414">
        <v>1.2E-2</v>
      </c>
      <c r="R414" s="9">
        <v>10730.94</v>
      </c>
      <c r="S414" t="str">
        <f>IF(OR(Sheet1[[#This Row],[Salary_USD]]&lt;$V$13,Sheet1[[#This Row],[Salary_USD]]&gt;$V$12),"Outlier","Normal")</f>
        <v>Normal</v>
      </c>
    </row>
    <row r="415" spans="1:19" x14ac:dyDescent="0.25">
      <c r="A415" t="s">
        <v>17</v>
      </c>
      <c r="B415" t="s">
        <v>26</v>
      </c>
      <c r="C415" t="s">
        <v>42</v>
      </c>
      <c r="D415" t="s">
        <v>451</v>
      </c>
      <c r="E415" s="2">
        <v>76713</v>
      </c>
      <c r="F415" s="2">
        <v>9101</v>
      </c>
      <c r="G415" t="s">
        <v>63</v>
      </c>
      <c r="H415" t="s">
        <v>56</v>
      </c>
      <c r="I415" t="s">
        <v>76</v>
      </c>
      <c r="J415" t="s">
        <v>100</v>
      </c>
      <c r="K415" t="s">
        <v>126</v>
      </c>
      <c r="L415">
        <v>10</v>
      </c>
      <c r="M415">
        <v>8</v>
      </c>
      <c r="N415" t="s">
        <v>149</v>
      </c>
      <c r="O415" t="s">
        <v>155</v>
      </c>
      <c r="P415" t="s">
        <v>166</v>
      </c>
      <c r="Q415">
        <v>1.1000000000000001</v>
      </c>
      <c r="R415" s="9">
        <v>84384.3</v>
      </c>
      <c r="S415" t="str">
        <f>IF(OR(Sheet1[[#This Row],[Salary_USD]]&lt;$V$13,Sheet1[[#This Row],[Salary_USD]]&gt;$V$12),"Outlier","Normal")</f>
        <v>Normal</v>
      </c>
    </row>
    <row r="416" spans="1:19" x14ac:dyDescent="0.25">
      <c r="A416" t="s">
        <v>17</v>
      </c>
      <c r="B416" t="s">
        <v>33</v>
      </c>
      <c r="C416" t="s">
        <v>47</v>
      </c>
      <c r="D416" t="s">
        <v>60</v>
      </c>
      <c r="E416" s="2">
        <v>48668</v>
      </c>
      <c r="F416" s="2">
        <v>0</v>
      </c>
      <c r="G416" t="s">
        <v>68</v>
      </c>
      <c r="H416" t="s">
        <v>69</v>
      </c>
      <c r="I416" t="s">
        <v>79</v>
      </c>
      <c r="J416" t="s">
        <v>107</v>
      </c>
      <c r="K416" t="s">
        <v>134</v>
      </c>
      <c r="L416">
        <v>10</v>
      </c>
      <c r="M416">
        <v>9</v>
      </c>
      <c r="N416" t="s">
        <v>149</v>
      </c>
      <c r="O416" t="s">
        <v>155</v>
      </c>
      <c r="P416" t="s">
        <v>261</v>
      </c>
      <c r="Q416">
        <v>1.25</v>
      </c>
      <c r="R416" s="9">
        <v>60835</v>
      </c>
      <c r="S416" t="str">
        <f>IF(OR(Sheet1[[#This Row],[Salary_USD]]&lt;$V$13,Sheet1[[#This Row],[Salary_USD]]&gt;$V$12),"Outlier","Normal")</f>
        <v>Normal</v>
      </c>
    </row>
    <row r="417" spans="1:19" x14ac:dyDescent="0.25">
      <c r="A417" t="s">
        <v>20</v>
      </c>
      <c r="B417" t="s">
        <v>35</v>
      </c>
      <c r="C417" t="s">
        <v>52</v>
      </c>
      <c r="D417" t="s">
        <v>57</v>
      </c>
      <c r="E417" s="2">
        <v>105362</v>
      </c>
      <c r="F417" s="2">
        <v>1453</v>
      </c>
      <c r="G417" t="s">
        <v>67</v>
      </c>
      <c r="H417" t="s">
        <v>70</v>
      </c>
      <c r="I417" t="s">
        <v>78</v>
      </c>
      <c r="J417" t="s">
        <v>88</v>
      </c>
      <c r="K417" t="s">
        <v>117</v>
      </c>
      <c r="L417">
        <v>4</v>
      </c>
      <c r="M417">
        <v>3</v>
      </c>
      <c r="N417" t="s">
        <v>150</v>
      </c>
      <c r="O417" t="s">
        <v>157</v>
      </c>
      <c r="P417" t="s">
        <v>159</v>
      </c>
      <c r="Q417">
        <v>1</v>
      </c>
      <c r="R417" s="9">
        <v>105362</v>
      </c>
      <c r="S417" t="str">
        <f>IF(OR(Sheet1[[#This Row],[Salary_USD]]&lt;$V$13,Sheet1[[#This Row],[Salary_USD]]&gt;$V$12),"Outlier","Normal")</f>
        <v>Normal</v>
      </c>
    </row>
    <row r="418" spans="1:19" x14ac:dyDescent="0.25">
      <c r="A418" t="s">
        <v>20</v>
      </c>
      <c r="B418" t="s">
        <v>23</v>
      </c>
      <c r="C418" t="s">
        <v>44</v>
      </c>
      <c r="D418" t="s">
        <v>55</v>
      </c>
      <c r="E418" s="2">
        <v>50316</v>
      </c>
      <c r="F418" s="2">
        <v>6023</v>
      </c>
      <c r="G418" t="s">
        <v>68</v>
      </c>
      <c r="H418" t="s">
        <v>56</v>
      </c>
      <c r="I418" t="s">
        <v>77</v>
      </c>
      <c r="J418" t="s">
        <v>111</v>
      </c>
      <c r="K418" t="s">
        <v>141</v>
      </c>
      <c r="L418">
        <v>1</v>
      </c>
      <c r="M418">
        <v>0</v>
      </c>
      <c r="N418" t="s">
        <v>153</v>
      </c>
      <c r="O418" t="s">
        <v>156</v>
      </c>
      <c r="P418" t="s">
        <v>180</v>
      </c>
      <c r="Q418">
        <v>1.25</v>
      </c>
      <c r="R418" s="9">
        <v>62895</v>
      </c>
      <c r="S418" t="str">
        <f>IF(OR(Sheet1[[#This Row],[Salary_USD]]&lt;$V$13,Sheet1[[#This Row],[Salary_USD]]&gt;$V$12),"Outlier","Normal")</f>
        <v>Normal</v>
      </c>
    </row>
    <row r="419" spans="1:19" x14ac:dyDescent="0.25">
      <c r="A419" t="s">
        <v>20</v>
      </c>
      <c r="B419" t="s">
        <v>32</v>
      </c>
      <c r="C419" t="s">
        <v>53</v>
      </c>
      <c r="D419" t="s">
        <v>60</v>
      </c>
      <c r="E419" s="2">
        <v>113247</v>
      </c>
      <c r="F419" s="2">
        <v>9212</v>
      </c>
      <c r="G419" t="s">
        <v>63</v>
      </c>
      <c r="H419" t="s">
        <v>69</v>
      </c>
      <c r="I419" t="s">
        <v>74</v>
      </c>
      <c r="J419" t="s">
        <v>84</v>
      </c>
      <c r="K419" t="s">
        <v>74</v>
      </c>
      <c r="L419">
        <v>2</v>
      </c>
      <c r="M419">
        <v>0</v>
      </c>
      <c r="N419" t="s">
        <v>150</v>
      </c>
      <c r="O419" t="s">
        <v>154</v>
      </c>
      <c r="P419" t="s">
        <v>334</v>
      </c>
      <c r="Q419">
        <v>1.1000000000000001</v>
      </c>
      <c r="R419" s="9">
        <v>124571.70000000001</v>
      </c>
      <c r="S419" t="str">
        <f>IF(OR(Sheet1[[#This Row],[Salary_USD]]&lt;$V$13,Sheet1[[#This Row],[Salary_USD]]&gt;$V$12),"Outlier","Normal")</f>
        <v>Normal</v>
      </c>
    </row>
    <row r="420" spans="1:19" x14ac:dyDescent="0.25">
      <c r="A420" t="s">
        <v>21</v>
      </c>
      <c r="B420" t="s">
        <v>23</v>
      </c>
      <c r="C420" t="s">
        <v>53</v>
      </c>
      <c r="D420" t="s">
        <v>55</v>
      </c>
      <c r="E420" s="2">
        <v>72924</v>
      </c>
      <c r="F420" s="2">
        <v>4668</v>
      </c>
      <c r="G420" t="s">
        <v>67</v>
      </c>
      <c r="H420" t="s">
        <v>451</v>
      </c>
      <c r="I420" t="s">
        <v>78</v>
      </c>
      <c r="J420" t="s">
        <v>104</v>
      </c>
      <c r="K420" t="s">
        <v>131</v>
      </c>
      <c r="L420">
        <v>12</v>
      </c>
      <c r="M420">
        <v>12</v>
      </c>
      <c r="N420" t="s">
        <v>150</v>
      </c>
      <c r="O420" t="s">
        <v>155</v>
      </c>
      <c r="P420" t="s">
        <v>284</v>
      </c>
      <c r="Q420">
        <v>1</v>
      </c>
      <c r="R420" s="9">
        <v>72924</v>
      </c>
      <c r="S420" t="str">
        <f>IF(OR(Sheet1[[#This Row],[Salary_USD]]&lt;$V$13,Sheet1[[#This Row],[Salary_USD]]&gt;$V$12),"Outlier","Normal")</f>
        <v>Normal</v>
      </c>
    </row>
    <row r="421" spans="1:19" x14ac:dyDescent="0.25">
      <c r="A421" t="s">
        <v>21</v>
      </c>
      <c r="B421" t="s">
        <v>32</v>
      </c>
      <c r="C421" t="s">
        <v>38</v>
      </c>
      <c r="D421" t="s">
        <v>58</v>
      </c>
      <c r="E421" s="2">
        <v>39666</v>
      </c>
      <c r="F421" s="2">
        <v>3531</v>
      </c>
      <c r="G421" t="s">
        <v>65</v>
      </c>
      <c r="H421" t="s">
        <v>71</v>
      </c>
      <c r="I421" t="s">
        <v>81</v>
      </c>
      <c r="J421" t="s">
        <v>98</v>
      </c>
      <c r="K421" t="s">
        <v>123</v>
      </c>
      <c r="L421">
        <v>18</v>
      </c>
      <c r="M421">
        <v>15</v>
      </c>
      <c r="N421" t="s">
        <v>148</v>
      </c>
      <c r="O421" t="s">
        <v>155</v>
      </c>
      <c r="P421" t="s">
        <v>234</v>
      </c>
      <c r="Q421">
        <v>0.73</v>
      </c>
      <c r="R421" s="9">
        <v>28956.18</v>
      </c>
      <c r="S421" t="str">
        <f>IF(OR(Sheet1[[#This Row],[Salary_USD]]&lt;$V$13,Sheet1[[#This Row],[Salary_USD]]&gt;$V$12),"Outlier","Normal")</f>
        <v>Normal</v>
      </c>
    </row>
    <row r="422" spans="1:19" x14ac:dyDescent="0.25">
      <c r="A422" t="s">
        <v>19</v>
      </c>
      <c r="B422" t="s">
        <v>32</v>
      </c>
      <c r="C422" t="s">
        <v>43</v>
      </c>
      <c r="D422" t="s">
        <v>54</v>
      </c>
      <c r="E422" s="2">
        <v>163865</v>
      </c>
      <c r="F422" s="2">
        <v>465</v>
      </c>
      <c r="G422" t="s">
        <v>67</v>
      </c>
      <c r="H422" t="s">
        <v>69</v>
      </c>
      <c r="I422" t="s">
        <v>77</v>
      </c>
      <c r="J422" t="s">
        <v>97</v>
      </c>
      <c r="K422" t="s">
        <v>122</v>
      </c>
      <c r="L422">
        <v>4</v>
      </c>
      <c r="M422">
        <v>4</v>
      </c>
      <c r="N422" t="s">
        <v>150</v>
      </c>
      <c r="O422" t="s">
        <v>154</v>
      </c>
      <c r="P422" t="s">
        <v>335</v>
      </c>
      <c r="Q422">
        <v>1</v>
      </c>
      <c r="R422" s="9">
        <v>163865</v>
      </c>
      <c r="S422" t="str">
        <f>IF(OR(Sheet1[[#This Row],[Salary_USD]]&lt;$V$13,Sheet1[[#This Row],[Salary_USD]]&gt;$V$12),"Outlier","Normal")</f>
        <v>Normal</v>
      </c>
    </row>
    <row r="423" spans="1:19" x14ac:dyDescent="0.25">
      <c r="A423" t="s">
        <v>20</v>
      </c>
      <c r="B423" t="s">
        <v>22</v>
      </c>
      <c r="C423" t="s">
        <v>44</v>
      </c>
      <c r="D423" t="s">
        <v>54</v>
      </c>
      <c r="E423" s="2">
        <v>106517</v>
      </c>
      <c r="F423" s="2">
        <v>4230</v>
      </c>
      <c r="G423" t="s">
        <v>67</v>
      </c>
      <c r="H423" t="s">
        <v>56</v>
      </c>
      <c r="I423" t="s">
        <v>77</v>
      </c>
      <c r="J423" t="s">
        <v>111</v>
      </c>
      <c r="K423" t="s">
        <v>141</v>
      </c>
      <c r="L423">
        <v>3</v>
      </c>
      <c r="M423">
        <v>2</v>
      </c>
      <c r="N423" t="s">
        <v>153</v>
      </c>
      <c r="O423" t="s">
        <v>157</v>
      </c>
      <c r="P423" t="s">
        <v>296</v>
      </c>
      <c r="Q423">
        <v>1</v>
      </c>
      <c r="R423" s="9">
        <v>106517</v>
      </c>
      <c r="S423" t="str">
        <f>IF(OR(Sheet1[[#This Row],[Salary_USD]]&lt;$V$13,Sheet1[[#This Row],[Salary_USD]]&gt;$V$12),"Outlier","Normal")</f>
        <v>Normal</v>
      </c>
    </row>
    <row r="424" spans="1:19" x14ac:dyDescent="0.25">
      <c r="A424" t="s">
        <v>20</v>
      </c>
      <c r="B424" t="s">
        <v>28</v>
      </c>
      <c r="C424" t="s">
        <v>49</v>
      </c>
      <c r="D424" t="s">
        <v>61</v>
      </c>
      <c r="E424" s="2">
        <v>73447</v>
      </c>
      <c r="F424" s="2">
        <v>971</v>
      </c>
      <c r="G424" t="s">
        <v>64</v>
      </c>
      <c r="H424" t="s">
        <v>451</v>
      </c>
      <c r="I424" t="s">
        <v>79</v>
      </c>
      <c r="J424" t="s">
        <v>91</v>
      </c>
      <c r="K424" t="s">
        <v>118</v>
      </c>
      <c r="L424">
        <v>2</v>
      </c>
      <c r="M424">
        <v>2</v>
      </c>
      <c r="N424" t="s">
        <v>150</v>
      </c>
      <c r="O424" t="s">
        <v>157</v>
      </c>
      <c r="P424" t="s">
        <v>188</v>
      </c>
      <c r="Q424">
        <v>0.65</v>
      </c>
      <c r="R424" s="9">
        <v>47740.55</v>
      </c>
      <c r="S424" t="str">
        <f>IF(OR(Sheet1[[#This Row],[Salary_USD]]&lt;$V$13,Sheet1[[#This Row],[Salary_USD]]&gt;$V$12),"Outlier","Normal")</f>
        <v>Normal</v>
      </c>
    </row>
    <row r="425" spans="1:19" x14ac:dyDescent="0.25">
      <c r="A425" t="s">
        <v>19</v>
      </c>
      <c r="B425" t="s">
        <v>23</v>
      </c>
      <c r="C425" t="s">
        <v>36</v>
      </c>
      <c r="D425" t="s">
        <v>58</v>
      </c>
      <c r="E425" s="2">
        <v>68969</v>
      </c>
      <c r="F425" s="2">
        <v>2808</v>
      </c>
      <c r="G425" t="s">
        <v>67</v>
      </c>
      <c r="H425" t="s">
        <v>70</v>
      </c>
      <c r="I425" t="s">
        <v>76</v>
      </c>
      <c r="J425" t="s">
        <v>86</v>
      </c>
      <c r="K425" t="s">
        <v>115</v>
      </c>
      <c r="L425">
        <v>4</v>
      </c>
      <c r="M425">
        <v>1</v>
      </c>
      <c r="N425" t="s">
        <v>151</v>
      </c>
      <c r="O425" t="s">
        <v>154</v>
      </c>
      <c r="P425" t="s">
        <v>216</v>
      </c>
      <c r="Q425">
        <v>1</v>
      </c>
      <c r="R425" s="9">
        <v>68969</v>
      </c>
      <c r="S425" t="str">
        <f>IF(OR(Sheet1[[#This Row],[Salary_USD]]&lt;$V$13,Sheet1[[#This Row],[Salary_USD]]&gt;$V$12),"Outlier","Normal")</f>
        <v>Normal</v>
      </c>
    </row>
    <row r="426" spans="1:19" x14ac:dyDescent="0.25">
      <c r="A426" t="s">
        <v>19</v>
      </c>
      <c r="B426" t="s">
        <v>451</v>
      </c>
      <c r="C426" t="s">
        <v>451</v>
      </c>
      <c r="D426" t="s">
        <v>54</v>
      </c>
      <c r="E426" s="2">
        <v>0</v>
      </c>
      <c r="F426" s="2">
        <v>14329</v>
      </c>
      <c r="G426" t="s">
        <v>68</v>
      </c>
      <c r="H426" t="s">
        <v>56</v>
      </c>
      <c r="I426" t="s">
        <v>76</v>
      </c>
      <c r="J426" t="s">
        <v>86</v>
      </c>
      <c r="K426" t="s">
        <v>451</v>
      </c>
      <c r="L426">
        <v>0</v>
      </c>
      <c r="M426">
        <v>2</v>
      </c>
      <c r="N426" t="s">
        <v>150</v>
      </c>
      <c r="O426" t="s">
        <v>452</v>
      </c>
      <c r="P426" t="s">
        <v>336</v>
      </c>
      <c r="Q426">
        <v>1.25</v>
      </c>
      <c r="R426" s="9">
        <v>0</v>
      </c>
      <c r="S426" t="str">
        <f>IF(OR(Sheet1[[#This Row],[Salary_USD]]&lt;$V$13,Sheet1[[#This Row],[Salary_USD]]&gt;$V$12),"Outlier","Normal")</f>
        <v>Normal</v>
      </c>
    </row>
    <row r="427" spans="1:19" x14ac:dyDescent="0.25">
      <c r="A427" t="s">
        <v>20</v>
      </c>
      <c r="B427" t="s">
        <v>451</v>
      </c>
      <c r="C427" t="s">
        <v>451</v>
      </c>
      <c r="D427" t="s">
        <v>57</v>
      </c>
      <c r="E427" s="2">
        <v>0</v>
      </c>
      <c r="F427" s="2">
        <v>2286</v>
      </c>
      <c r="G427" t="s">
        <v>64</v>
      </c>
      <c r="H427" t="s">
        <v>451</v>
      </c>
      <c r="I427" t="s">
        <v>72</v>
      </c>
      <c r="J427" t="s">
        <v>95</v>
      </c>
      <c r="K427" t="s">
        <v>451</v>
      </c>
      <c r="L427">
        <v>0</v>
      </c>
      <c r="M427">
        <v>0</v>
      </c>
      <c r="N427" t="s">
        <v>150</v>
      </c>
      <c r="O427" t="s">
        <v>452</v>
      </c>
      <c r="P427" t="s">
        <v>243</v>
      </c>
      <c r="Q427">
        <v>0.65</v>
      </c>
      <c r="R427" s="9">
        <v>0</v>
      </c>
      <c r="S427" t="str">
        <f>IF(OR(Sheet1[[#This Row],[Salary_USD]]&lt;$V$13,Sheet1[[#This Row],[Salary_USD]]&gt;$V$12),"Outlier","Normal")</f>
        <v>Normal</v>
      </c>
    </row>
    <row r="428" spans="1:19" x14ac:dyDescent="0.25">
      <c r="A428" t="s">
        <v>17</v>
      </c>
      <c r="B428" t="s">
        <v>32</v>
      </c>
      <c r="C428" t="s">
        <v>40</v>
      </c>
      <c r="D428" t="s">
        <v>62</v>
      </c>
      <c r="E428" s="2">
        <v>59221</v>
      </c>
      <c r="F428" s="2">
        <v>0</v>
      </c>
      <c r="G428" t="s">
        <v>63</v>
      </c>
      <c r="H428" t="s">
        <v>69</v>
      </c>
      <c r="I428" t="s">
        <v>77</v>
      </c>
      <c r="J428" t="s">
        <v>97</v>
      </c>
      <c r="K428" t="s">
        <v>122</v>
      </c>
      <c r="L428">
        <v>10</v>
      </c>
      <c r="M428">
        <v>10</v>
      </c>
      <c r="N428" t="s">
        <v>150</v>
      </c>
      <c r="O428" t="s">
        <v>155</v>
      </c>
      <c r="P428" t="s">
        <v>216</v>
      </c>
      <c r="Q428">
        <v>1.1000000000000001</v>
      </c>
      <c r="R428" s="9">
        <v>65143.100000000006</v>
      </c>
      <c r="S428" t="str">
        <f>IF(OR(Sheet1[[#This Row],[Salary_USD]]&lt;$V$13,Sheet1[[#This Row],[Salary_USD]]&gt;$V$12),"Outlier","Normal")</f>
        <v>Normal</v>
      </c>
    </row>
    <row r="429" spans="1:19" x14ac:dyDescent="0.25">
      <c r="A429" t="s">
        <v>19</v>
      </c>
      <c r="B429" t="s">
        <v>29</v>
      </c>
      <c r="C429" t="s">
        <v>50</v>
      </c>
      <c r="D429" t="s">
        <v>59</v>
      </c>
      <c r="E429" s="2">
        <v>79897</v>
      </c>
      <c r="F429" s="2">
        <v>7930</v>
      </c>
      <c r="G429" t="s">
        <v>67</v>
      </c>
      <c r="H429" t="s">
        <v>56</v>
      </c>
      <c r="I429" t="s">
        <v>74</v>
      </c>
      <c r="J429" t="s">
        <v>84</v>
      </c>
      <c r="K429" t="s">
        <v>74</v>
      </c>
      <c r="L429">
        <v>7</v>
      </c>
      <c r="M429">
        <v>6</v>
      </c>
      <c r="N429" t="s">
        <v>149</v>
      </c>
      <c r="O429" t="s">
        <v>156</v>
      </c>
      <c r="P429" t="s">
        <v>165</v>
      </c>
      <c r="Q429">
        <v>1</v>
      </c>
      <c r="R429" s="9">
        <v>79897</v>
      </c>
      <c r="S429" t="str">
        <f>IF(OR(Sheet1[[#This Row],[Salary_USD]]&lt;$V$13,Sheet1[[#This Row],[Salary_USD]]&gt;$V$12),"Outlier","Normal")</f>
        <v>Normal</v>
      </c>
    </row>
    <row r="430" spans="1:19" x14ac:dyDescent="0.25">
      <c r="A430" t="s">
        <v>19</v>
      </c>
      <c r="B430" t="s">
        <v>451</v>
      </c>
      <c r="C430" t="s">
        <v>451</v>
      </c>
      <c r="D430" t="s">
        <v>451</v>
      </c>
      <c r="E430" s="2">
        <v>0</v>
      </c>
      <c r="F430" s="2">
        <v>14340</v>
      </c>
      <c r="G430" t="s">
        <v>63</v>
      </c>
      <c r="H430" t="s">
        <v>69</v>
      </c>
      <c r="I430" t="s">
        <v>73</v>
      </c>
      <c r="J430" t="s">
        <v>99</v>
      </c>
      <c r="K430" t="s">
        <v>451</v>
      </c>
      <c r="L430">
        <v>0</v>
      </c>
      <c r="M430">
        <v>12</v>
      </c>
      <c r="N430" t="s">
        <v>151</v>
      </c>
      <c r="O430" t="s">
        <v>452</v>
      </c>
      <c r="P430" t="s">
        <v>171</v>
      </c>
      <c r="Q430">
        <v>1.1000000000000001</v>
      </c>
      <c r="R430" s="9">
        <v>0</v>
      </c>
      <c r="S430" t="str">
        <f>IF(OR(Sheet1[[#This Row],[Salary_USD]]&lt;$V$13,Sheet1[[#This Row],[Salary_USD]]&gt;$V$12),"Outlier","Normal")</f>
        <v>Normal</v>
      </c>
    </row>
    <row r="431" spans="1:19" x14ac:dyDescent="0.25">
      <c r="A431" t="s">
        <v>19</v>
      </c>
      <c r="B431" t="s">
        <v>33</v>
      </c>
      <c r="C431" t="s">
        <v>41</v>
      </c>
      <c r="D431" t="s">
        <v>59</v>
      </c>
      <c r="E431" s="2">
        <v>127323</v>
      </c>
      <c r="F431" s="2">
        <v>0</v>
      </c>
      <c r="G431" t="s">
        <v>65</v>
      </c>
      <c r="H431" t="s">
        <v>71</v>
      </c>
      <c r="I431" t="s">
        <v>73</v>
      </c>
      <c r="J431" t="s">
        <v>83</v>
      </c>
      <c r="K431" t="s">
        <v>113</v>
      </c>
      <c r="L431">
        <v>18</v>
      </c>
      <c r="M431">
        <v>15</v>
      </c>
      <c r="N431" t="s">
        <v>150</v>
      </c>
      <c r="O431" t="s">
        <v>155</v>
      </c>
      <c r="P431" t="s">
        <v>174</v>
      </c>
      <c r="Q431">
        <v>0.73</v>
      </c>
      <c r="R431" s="9">
        <v>92945.79</v>
      </c>
      <c r="S431" t="str">
        <f>IF(OR(Sheet1[[#This Row],[Salary_USD]]&lt;$V$13,Sheet1[[#This Row],[Salary_USD]]&gt;$V$12),"Outlier","Normal")</f>
        <v>Normal</v>
      </c>
    </row>
    <row r="432" spans="1:19" x14ac:dyDescent="0.25">
      <c r="A432" t="s">
        <v>20</v>
      </c>
      <c r="B432" t="s">
        <v>31</v>
      </c>
      <c r="C432" t="s">
        <v>52</v>
      </c>
      <c r="D432" t="s">
        <v>55</v>
      </c>
      <c r="E432" s="2">
        <v>47466</v>
      </c>
      <c r="F432" s="2">
        <v>3332</v>
      </c>
      <c r="G432" t="s">
        <v>64</v>
      </c>
      <c r="H432" t="s">
        <v>451</v>
      </c>
      <c r="I432" t="s">
        <v>74</v>
      </c>
      <c r="J432" t="s">
        <v>84</v>
      </c>
      <c r="K432" t="s">
        <v>74</v>
      </c>
      <c r="L432">
        <v>3</v>
      </c>
      <c r="M432">
        <v>3</v>
      </c>
      <c r="N432" t="s">
        <v>153</v>
      </c>
      <c r="O432" t="s">
        <v>157</v>
      </c>
      <c r="P432" t="s">
        <v>210</v>
      </c>
      <c r="Q432">
        <v>0.65</v>
      </c>
      <c r="R432" s="9">
        <v>30852.9</v>
      </c>
      <c r="S432" t="str">
        <f>IF(OR(Sheet1[[#This Row],[Salary_USD]]&lt;$V$13,Sheet1[[#This Row],[Salary_USD]]&gt;$V$12),"Outlier","Normal")</f>
        <v>Normal</v>
      </c>
    </row>
    <row r="433" spans="1:19" x14ac:dyDescent="0.25">
      <c r="A433" t="s">
        <v>17</v>
      </c>
      <c r="B433" t="s">
        <v>29</v>
      </c>
      <c r="C433" t="s">
        <v>37</v>
      </c>
      <c r="D433" t="s">
        <v>57</v>
      </c>
      <c r="E433" s="2">
        <v>55924</v>
      </c>
      <c r="F433" s="2">
        <v>2275</v>
      </c>
      <c r="G433" t="s">
        <v>63</v>
      </c>
      <c r="H433" t="s">
        <v>451</v>
      </c>
      <c r="I433" t="s">
        <v>76</v>
      </c>
      <c r="J433" t="s">
        <v>92</v>
      </c>
      <c r="K433" t="s">
        <v>119</v>
      </c>
      <c r="L433">
        <v>18</v>
      </c>
      <c r="M433">
        <v>17</v>
      </c>
      <c r="N433" t="s">
        <v>152</v>
      </c>
      <c r="O433" t="s">
        <v>155</v>
      </c>
      <c r="P433" t="s">
        <v>181</v>
      </c>
      <c r="Q433">
        <v>1.1000000000000001</v>
      </c>
      <c r="R433" s="9">
        <v>61516.4</v>
      </c>
      <c r="S433" t="str">
        <f>IF(OR(Sheet1[[#This Row],[Salary_USD]]&lt;$V$13,Sheet1[[#This Row],[Salary_USD]]&gt;$V$12),"Outlier","Normal")</f>
        <v>Normal</v>
      </c>
    </row>
    <row r="434" spans="1:19" x14ac:dyDescent="0.25">
      <c r="A434" t="s">
        <v>20</v>
      </c>
      <c r="B434" t="s">
        <v>35</v>
      </c>
      <c r="C434" t="s">
        <v>45</v>
      </c>
      <c r="D434" t="s">
        <v>57</v>
      </c>
      <c r="E434" s="2">
        <v>37870</v>
      </c>
      <c r="F434" s="2">
        <v>2167</v>
      </c>
      <c r="G434" t="s">
        <v>68</v>
      </c>
      <c r="H434" t="s">
        <v>71</v>
      </c>
      <c r="I434" t="s">
        <v>75</v>
      </c>
      <c r="J434" t="s">
        <v>96</v>
      </c>
      <c r="K434" t="s">
        <v>121</v>
      </c>
      <c r="L434">
        <v>0</v>
      </c>
      <c r="M434">
        <v>0</v>
      </c>
      <c r="N434" t="s">
        <v>150</v>
      </c>
      <c r="O434" t="s">
        <v>155</v>
      </c>
      <c r="P434" t="s">
        <v>303</v>
      </c>
      <c r="Q434">
        <v>1.25</v>
      </c>
      <c r="R434" s="9">
        <v>47337.5</v>
      </c>
      <c r="S434" t="str">
        <f>IF(OR(Sheet1[[#This Row],[Salary_USD]]&lt;$V$13,Sheet1[[#This Row],[Salary_USD]]&gt;$V$12),"Outlier","Normal")</f>
        <v>Normal</v>
      </c>
    </row>
    <row r="435" spans="1:19" x14ac:dyDescent="0.25">
      <c r="A435" t="s">
        <v>19</v>
      </c>
      <c r="B435" t="s">
        <v>26</v>
      </c>
      <c r="C435" t="s">
        <v>47</v>
      </c>
      <c r="D435" t="s">
        <v>61</v>
      </c>
      <c r="E435" s="2">
        <v>1063417</v>
      </c>
      <c r="F435" s="2">
        <v>228862</v>
      </c>
      <c r="G435" t="s">
        <v>66</v>
      </c>
      <c r="H435" t="s">
        <v>69</v>
      </c>
      <c r="I435" t="s">
        <v>80</v>
      </c>
      <c r="J435" t="s">
        <v>93</v>
      </c>
      <c r="K435" t="s">
        <v>93</v>
      </c>
      <c r="L435">
        <v>5</v>
      </c>
      <c r="M435">
        <v>5</v>
      </c>
      <c r="N435" t="s">
        <v>151</v>
      </c>
      <c r="O435" t="s">
        <v>154</v>
      </c>
      <c r="P435" t="s">
        <v>169</v>
      </c>
      <c r="Q435">
        <v>1.2E-2</v>
      </c>
      <c r="R435" s="9">
        <v>12761.004000000001</v>
      </c>
      <c r="S435" t="str">
        <f>IF(OR(Sheet1[[#This Row],[Salary_USD]]&lt;$V$13,Sheet1[[#This Row],[Salary_USD]]&gt;$V$12),"Outlier","Normal")</f>
        <v>Normal</v>
      </c>
    </row>
    <row r="436" spans="1:19" x14ac:dyDescent="0.25">
      <c r="A436" t="s">
        <v>21</v>
      </c>
      <c r="B436" t="s">
        <v>26</v>
      </c>
      <c r="C436" t="s">
        <v>43</v>
      </c>
      <c r="D436" t="s">
        <v>54</v>
      </c>
      <c r="E436" s="2">
        <v>436790</v>
      </c>
      <c r="F436" s="2">
        <v>17287</v>
      </c>
      <c r="G436" t="s">
        <v>66</v>
      </c>
      <c r="H436" t="s">
        <v>56</v>
      </c>
      <c r="I436" t="s">
        <v>78</v>
      </c>
      <c r="J436" t="s">
        <v>109</v>
      </c>
      <c r="K436" t="s">
        <v>137</v>
      </c>
      <c r="L436">
        <v>9</v>
      </c>
      <c r="M436">
        <v>8</v>
      </c>
      <c r="N436" t="s">
        <v>153</v>
      </c>
      <c r="O436" t="s">
        <v>157</v>
      </c>
      <c r="P436" t="s">
        <v>238</v>
      </c>
      <c r="Q436">
        <v>1.2E-2</v>
      </c>
      <c r="R436" s="9">
        <v>5241.4800000000005</v>
      </c>
      <c r="S436" t="str">
        <f>IF(OR(Sheet1[[#This Row],[Salary_USD]]&lt;$V$13,Sheet1[[#This Row],[Salary_USD]]&gt;$V$12),"Outlier","Normal")</f>
        <v>Normal</v>
      </c>
    </row>
    <row r="437" spans="1:19" x14ac:dyDescent="0.25">
      <c r="A437" t="s">
        <v>21</v>
      </c>
      <c r="B437" t="s">
        <v>29</v>
      </c>
      <c r="C437" t="s">
        <v>50</v>
      </c>
      <c r="D437" t="s">
        <v>60</v>
      </c>
      <c r="E437" s="2">
        <v>408650</v>
      </c>
      <c r="F437" s="2">
        <v>0</v>
      </c>
      <c r="G437" t="s">
        <v>66</v>
      </c>
      <c r="H437" t="s">
        <v>71</v>
      </c>
      <c r="I437" t="s">
        <v>80</v>
      </c>
      <c r="J437" t="s">
        <v>106</v>
      </c>
      <c r="K437" t="s">
        <v>106</v>
      </c>
      <c r="L437">
        <v>10</v>
      </c>
      <c r="M437">
        <v>9</v>
      </c>
      <c r="N437" t="s">
        <v>149</v>
      </c>
      <c r="O437" t="s">
        <v>154</v>
      </c>
      <c r="P437" t="s">
        <v>202</v>
      </c>
      <c r="Q437">
        <v>1.2E-2</v>
      </c>
      <c r="R437" s="9">
        <v>4903.8</v>
      </c>
      <c r="S437" t="str">
        <f>IF(OR(Sheet1[[#This Row],[Salary_USD]]&lt;$V$13,Sheet1[[#This Row],[Salary_USD]]&gt;$V$12),"Outlier","Normal")</f>
        <v>Normal</v>
      </c>
    </row>
    <row r="438" spans="1:19" x14ac:dyDescent="0.25">
      <c r="A438" t="s">
        <v>21</v>
      </c>
      <c r="B438" t="s">
        <v>451</v>
      </c>
      <c r="C438" t="s">
        <v>451</v>
      </c>
      <c r="D438" t="s">
        <v>62</v>
      </c>
      <c r="E438" s="2">
        <v>0</v>
      </c>
      <c r="F438" s="2">
        <v>0</v>
      </c>
      <c r="G438" t="s">
        <v>65</v>
      </c>
      <c r="H438" t="s">
        <v>69</v>
      </c>
      <c r="I438" t="s">
        <v>79</v>
      </c>
      <c r="J438" t="s">
        <v>107</v>
      </c>
      <c r="K438" t="s">
        <v>451</v>
      </c>
      <c r="L438">
        <v>0</v>
      </c>
      <c r="M438">
        <v>19</v>
      </c>
      <c r="N438" t="s">
        <v>149</v>
      </c>
      <c r="O438" t="s">
        <v>452</v>
      </c>
      <c r="P438" t="s">
        <v>209</v>
      </c>
      <c r="Q438">
        <v>0.73</v>
      </c>
      <c r="R438" s="9">
        <v>0</v>
      </c>
      <c r="S438" t="str">
        <f>IF(OR(Sheet1[[#This Row],[Salary_USD]]&lt;$V$13,Sheet1[[#This Row],[Salary_USD]]&gt;$V$12),"Outlier","Normal")</f>
        <v>Normal</v>
      </c>
    </row>
    <row r="439" spans="1:19" x14ac:dyDescent="0.25">
      <c r="A439" t="s">
        <v>17</v>
      </c>
      <c r="B439" t="s">
        <v>29</v>
      </c>
      <c r="C439" t="s">
        <v>45</v>
      </c>
      <c r="D439" t="s">
        <v>57</v>
      </c>
      <c r="E439" s="2">
        <v>57541</v>
      </c>
      <c r="F439" s="2">
        <v>15207</v>
      </c>
      <c r="G439" t="s">
        <v>63</v>
      </c>
      <c r="H439" t="s">
        <v>56</v>
      </c>
      <c r="I439" t="s">
        <v>80</v>
      </c>
      <c r="J439" t="s">
        <v>106</v>
      </c>
      <c r="K439" t="s">
        <v>106</v>
      </c>
      <c r="L439">
        <v>20</v>
      </c>
      <c r="M439">
        <v>20</v>
      </c>
      <c r="N439" t="s">
        <v>149</v>
      </c>
      <c r="O439" t="s">
        <v>154</v>
      </c>
      <c r="P439" t="s">
        <v>337</v>
      </c>
      <c r="Q439">
        <v>1.1000000000000001</v>
      </c>
      <c r="R439" s="9">
        <v>63295.100000000006</v>
      </c>
      <c r="S439" t="str">
        <f>IF(OR(Sheet1[[#This Row],[Salary_USD]]&lt;$V$13,Sheet1[[#This Row],[Salary_USD]]&gt;$V$12),"Outlier","Normal")</f>
        <v>Normal</v>
      </c>
    </row>
    <row r="440" spans="1:19" x14ac:dyDescent="0.25">
      <c r="A440" t="s">
        <v>19</v>
      </c>
      <c r="B440" t="s">
        <v>29</v>
      </c>
      <c r="C440" t="s">
        <v>52</v>
      </c>
      <c r="D440" t="s">
        <v>54</v>
      </c>
      <c r="E440" s="2">
        <v>71430</v>
      </c>
      <c r="F440" s="2">
        <v>5765</v>
      </c>
      <c r="G440" t="s">
        <v>64</v>
      </c>
      <c r="H440" t="s">
        <v>71</v>
      </c>
      <c r="I440" t="s">
        <v>78</v>
      </c>
      <c r="J440" t="s">
        <v>104</v>
      </c>
      <c r="K440" t="s">
        <v>131</v>
      </c>
      <c r="L440">
        <v>4</v>
      </c>
      <c r="M440">
        <v>4</v>
      </c>
      <c r="N440" t="s">
        <v>153</v>
      </c>
      <c r="O440" t="s">
        <v>157</v>
      </c>
      <c r="P440" t="s">
        <v>338</v>
      </c>
      <c r="Q440">
        <v>0.65</v>
      </c>
      <c r="R440" s="9">
        <v>46429.5</v>
      </c>
      <c r="S440" t="str">
        <f>IF(OR(Sheet1[[#This Row],[Salary_USD]]&lt;$V$13,Sheet1[[#This Row],[Salary_USD]]&gt;$V$12),"Outlier","Normal")</f>
        <v>Normal</v>
      </c>
    </row>
    <row r="441" spans="1:19" x14ac:dyDescent="0.25">
      <c r="A441" t="s">
        <v>21</v>
      </c>
      <c r="B441" t="s">
        <v>34</v>
      </c>
      <c r="C441" t="s">
        <v>36</v>
      </c>
      <c r="D441" t="s">
        <v>60</v>
      </c>
      <c r="E441" s="2">
        <v>80377</v>
      </c>
      <c r="F441" s="2">
        <v>7535</v>
      </c>
      <c r="G441" t="s">
        <v>65</v>
      </c>
      <c r="H441" t="s">
        <v>69</v>
      </c>
      <c r="I441" t="s">
        <v>77</v>
      </c>
      <c r="J441" t="s">
        <v>110</v>
      </c>
      <c r="K441" t="s">
        <v>139</v>
      </c>
      <c r="L441">
        <v>12</v>
      </c>
      <c r="M441">
        <v>12</v>
      </c>
      <c r="N441" t="s">
        <v>148</v>
      </c>
      <c r="O441" t="s">
        <v>156</v>
      </c>
      <c r="P441" t="s">
        <v>162</v>
      </c>
      <c r="Q441">
        <v>0.73</v>
      </c>
      <c r="R441" s="9">
        <v>58675.21</v>
      </c>
      <c r="S441" t="str">
        <f>IF(OR(Sheet1[[#This Row],[Salary_USD]]&lt;$V$13,Sheet1[[#This Row],[Salary_USD]]&gt;$V$12),"Outlier","Normal")</f>
        <v>Normal</v>
      </c>
    </row>
    <row r="442" spans="1:19" x14ac:dyDescent="0.25">
      <c r="A442" t="s">
        <v>19</v>
      </c>
      <c r="B442" t="s">
        <v>32</v>
      </c>
      <c r="C442" t="s">
        <v>40</v>
      </c>
      <c r="D442" t="s">
        <v>62</v>
      </c>
      <c r="E442" s="2">
        <v>69269</v>
      </c>
      <c r="F442" s="2">
        <v>13252</v>
      </c>
      <c r="G442" t="s">
        <v>67</v>
      </c>
      <c r="H442" t="s">
        <v>451</v>
      </c>
      <c r="I442" t="s">
        <v>79</v>
      </c>
      <c r="J442" t="s">
        <v>107</v>
      </c>
      <c r="K442" t="s">
        <v>134</v>
      </c>
      <c r="L442">
        <v>10</v>
      </c>
      <c r="M442">
        <v>7</v>
      </c>
      <c r="N442" t="s">
        <v>148</v>
      </c>
      <c r="O442" t="s">
        <v>154</v>
      </c>
      <c r="P442" t="s">
        <v>256</v>
      </c>
      <c r="Q442">
        <v>1</v>
      </c>
      <c r="R442" s="9">
        <v>69269</v>
      </c>
      <c r="S442" t="str">
        <f>IF(OR(Sheet1[[#This Row],[Salary_USD]]&lt;$V$13,Sheet1[[#This Row],[Salary_USD]]&gt;$V$12),"Outlier","Normal")</f>
        <v>Normal</v>
      </c>
    </row>
    <row r="443" spans="1:19" x14ac:dyDescent="0.25">
      <c r="A443" t="s">
        <v>17</v>
      </c>
      <c r="B443" t="s">
        <v>33</v>
      </c>
      <c r="C443" t="s">
        <v>36</v>
      </c>
      <c r="D443" t="s">
        <v>60</v>
      </c>
      <c r="E443" s="2">
        <v>59430</v>
      </c>
      <c r="F443" s="2">
        <v>5756</v>
      </c>
      <c r="G443" t="s">
        <v>68</v>
      </c>
      <c r="H443" t="s">
        <v>69</v>
      </c>
      <c r="I443" t="s">
        <v>77</v>
      </c>
      <c r="J443" t="s">
        <v>110</v>
      </c>
      <c r="K443" t="s">
        <v>145</v>
      </c>
      <c r="L443">
        <v>10</v>
      </c>
      <c r="M443">
        <v>8</v>
      </c>
      <c r="N443" t="s">
        <v>148</v>
      </c>
      <c r="O443" t="s">
        <v>156</v>
      </c>
      <c r="P443" t="s">
        <v>339</v>
      </c>
      <c r="Q443">
        <v>1.25</v>
      </c>
      <c r="R443" s="9">
        <v>74287.5</v>
      </c>
      <c r="S443" t="str">
        <f>IF(OR(Sheet1[[#This Row],[Salary_USD]]&lt;$V$13,Sheet1[[#This Row],[Salary_USD]]&gt;$V$12),"Outlier","Normal")</f>
        <v>Normal</v>
      </c>
    </row>
    <row r="444" spans="1:19" x14ac:dyDescent="0.25">
      <c r="A444" t="s">
        <v>19</v>
      </c>
      <c r="B444" t="s">
        <v>22</v>
      </c>
      <c r="C444" t="s">
        <v>50</v>
      </c>
      <c r="D444" t="s">
        <v>59</v>
      </c>
      <c r="E444" s="2">
        <v>105244</v>
      </c>
      <c r="F444" s="2">
        <v>6865</v>
      </c>
      <c r="G444" t="s">
        <v>64</v>
      </c>
      <c r="H444" t="s">
        <v>71</v>
      </c>
      <c r="I444" t="s">
        <v>73</v>
      </c>
      <c r="J444" t="s">
        <v>83</v>
      </c>
      <c r="K444" t="s">
        <v>113</v>
      </c>
      <c r="L444">
        <v>20</v>
      </c>
      <c r="M444">
        <v>20</v>
      </c>
      <c r="N444" t="s">
        <v>153</v>
      </c>
      <c r="O444" t="s">
        <v>156</v>
      </c>
      <c r="P444" t="s">
        <v>207</v>
      </c>
      <c r="Q444">
        <v>0.65</v>
      </c>
      <c r="R444" s="9">
        <v>68408.600000000006</v>
      </c>
      <c r="S444" t="str">
        <f>IF(OR(Sheet1[[#This Row],[Salary_USD]]&lt;$V$13,Sheet1[[#This Row],[Salary_USD]]&gt;$V$12),"Outlier","Normal")</f>
        <v>Normal</v>
      </c>
    </row>
    <row r="445" spans="1:19" x14ac:dyDescent="0.25">
      <c r="A445" t="s">
        <v>19</v>
      </c>
      <c r="B445" t="s">
        <v>31</v>
      </c>
      <c r="C445" t="s">
        <v>51</v>
      </c>
      <c r="D445" t="s">
        <v>56</v>
      </c>
      <c r="E445" s="2">
        <v>99894</v>
      </c>
      <c r="F445" s="2">
        <v>9694</v>
      </c>
      <c r="G445" t="s">
        <v>68</v>
      </c>
      <c r="H445" t="s">
        <v>56</v>
      </c>
      <c r="I445" t="s">
        <v>79</v>
      </c>
      <c r="J445" t="s">
        <v>91</v>
      </c>
      <c r="K445" t="s">
        <v>118</v>
      </c>
      <c r="L445">
        <v>20</v>
      </c>
      <c r="M445">
        <v>20</v>
      </c>
      <c r="N445" t="s">
        <v>148</v>
      </c>
      <c r="O445" t="s">
        <v>154</v>
      </c>
      <c r="P445" t="s">
        <v>340</v>
      </c>
      <c r="Q445">
        <v>1.25</v>
      </c>
      <c r="R445" s="9">
        <v>124867.5</v>
      </c>
      <c r="S445" t="str">
        <f>IF(OR(Sheet1[[#This Row],[Salary_USD]]&lt;$V$13,Sheet1[[#This Row],[Salary_USD]]&gt;$V$12),"Outlier","Normal")</f>
        <v>Normal</v>
      </c>
    </row>
    <row r="446" spans="1:19" x14ac:dyDescent="0.25">
      <c r="A446" t="s">
        <v>21</v>
      </c>
      <c r="B446" t="s">
        <v>26</v>
      </c>
      <c r="C446" t="s">
        <v>52</v>
      </c>
      <c r="D446" t="s">
        <v>59</v>
      </c>
      <c r="E446" s="2">
        <v>11916</v>
      </c>
      <c r="F446" s="2">
        <v>911</v>
      </c>
      <c r="G446" t="s">
        <v>67</v>
      </c>
      <c r="H446" t="s">
        <v>69</v>
      </c>
      <c r="I446" t="s">
        <v>73</v>
      </c>
      <c r="J446" t="s">
        <v>83</v>
      </c>
      <c r="K446" t="s">
        <v>113</v>
      </c>
      <c r="L446">
        <v>20</v>
      </c>
      <c r="M446">
        <v>19</v>
      </c>
      <c r="N446" t="s">
        <v>149</v>
      </c>
      <c r="O446" t="s">
        <v>157</v>
      </c>
      <c r="P446" t="s">
        <v>221</v>
      </c>
      <c r="Q446">
        <v>1</v>
      </c>
      <c r="R446" s="9">
        <v>11916</v>
      </c>
      <c r="S446" t="str">
        <f>IF(OR(Sheet1[[#This Row],[Salary_USD]]&lt;$V$13,Sheet1[[#This Row],[Salary_USD]]&gt;$V$12),"Outlier","Normal")</f>
        <v>Normal</v>
      </c>
    </row>
    <row r="447" spans="1:19" x14ac:dyDescent="0.25">
      <c r="A447" t="s">
        <v>18</v>
      </c>
      <c r="B447" t="s">
        <v>35</v>
      </c>
      <c r="C447" t="s">
        <v>45</v>
      </c>
      <c r="D447" t="s">
        <v>56</v>
      </c>
      <c r="E447" s="2">
        <v>1007738</v>
      </c>
      <c r="F447" s="2">
        <v>186823</v>
      </c>
      <c r="G447" t="s">
        <v>66</v>
      </c>
      <c r="H447" t="s">
        <v>71</v>
      </c>
      <c r="I447" t="s">
        <v>80</v>
      </c>
      <c r="J447" t="s">
        <v>93</v>
      </c>
      <c r="K447" t="s">
        <v>93</v>
      </c>
      <c r="L447">
        <v>1</v>
      </c>
      <c r="M447">
        <v>0</v>
      </c>
      <c r="N447" t="s">
        <v>153</v>
      </c>
      <c r="O447" t="s">
        <v>156</v>
      </c>
      <c r="P447" t="s">
        <v>190</v>
      </c>
      <c r="Q447">
        <v>1.2E-2</v>
      </c>
      <c r="R447" s="9">
        <v>12092.856</v>
      </c>
      <c r="S447" t="str">
        <f>IF(OR(Sheet1[[#This Row],[Salary_USD]]&lt;$V$13,Sheet1[[#This Row],[Salary_USD]]&gt;$V$12),"Outlier","Normal")</f>
        <v>Normal</v>
      </c>
    </row>
    <row r="448" spans="1:19" x14ac:dyDescent="0.25">
      <c r="A448" t="s">
        <v>17</v>
      </c>
      <c r="B448" t="s">
        <v>24</v>
      </c>
      <c r="C448" t="s">
        <v>50</v>
      </c>
      <c r="D448" t="s">
        <v>61</v>
      </c>
      <c r="E448" s="2">
        <v>792393</v>
      </c>
      <c r="F448" s="2">
        <v>0</v>
      </c>
      <c r="G448" t="s">
        <v>66</v>
      </c>
      <c r="H448" t="s">
        <v>70</v>
      </c>
      <c r="I448" t="s">
        <v>73</v>
      </c>
      <c r="J448" t="s">
        <v>83</v>
      </c>
      <c r="K448" t="s">
        <v>113</v>
      </c>
      <c r="L448">
        <v>15</v>
      </c>
      <c r="M448">
        <v>14</v>
      </c>
      <c r="N448" t="s">
        <v>151</v>
      </c>
      <c r="O448" t="s">
        <v>157</v>
      </c>
      <c r="P448" t="s">
        <v>171</v>
      </c>
      <c r="Q448">
        <v>1.2E-2</v>
      </c>
      <c r="R448" s="9">
        <v>9508.7160000000003</v>
      </c>
      <c r="S448" t="str">
        <f>IF(OR(Sheet1[[#This Row],[Salary_USD]]&lt;$V$13,Sheet1[[#This Row],[Salary_USD]]&gt;$V$12),"Outlier","Normal")</f>
        <v>Normal</v>
      </c>
    </row>
    <row r="449" spans="1:19" x14ac:dyDescent="0.25">
      <c r="A449" t="s">
        <v>20</v>
      </c>
      <c r="B449" t="s">
        <v>26</v>
      </c>
      <c r="C449" t="s">
        <v>51</v>
      </c>
      <c r="D449" t="s">
        <v>55</v>
      </c>
      <c r="E449" s="2">
        <v>417783</v>
      </c>
      <c r="F449" s="2">
        <v>0</v>
      </c>
      <c r="G449" t="s">
        <v>66</v>
      </c>
      <c r="H449" t="s">
        <v>70</v>
      </c>
      <c r="I449" t="s">
        <v>75</v>
      </c>
      <c r="J449" t="s">
        <v>108</v>
      </c>
      <c r="K449" t="s">
        <v>135</v>
      </c>
      <c r="L449">
        <v>0</v>
      </c>
      <c r="M449">
        <v>0</v>
      </c>
      <c r="N449" t="s">
        <v>148</v>
      </c>
      <c r="O449" t="s">
        <v>156</v>
      </c>
      <c r="P449" t="s">
        <v>341</v>
      </c>
      <c r="Q449">
        <v>1.2E-2</v>
      </c>
      <c r="R449" s="9">
        <v>5013.3959999999997</v>
      </c>
      <c r="S449" t="str">
        <f>IF(OR(Sheet1[[#This Row],[Salary_USD]]&lt;$V$13,Sheet1[[#This Row],[Salary_USD]]&gt;$V$12),"Outlier","Normal")</f>
        <v>Normal</v>
      </c>
    </row>
    <row r="450" spans="1:19" x14ac:dyDescent="0.25">
      <c r="A450" t="s">
        <v>20</v>
      </c>
      <c r="B450" t="s">
        <v>35</v>
      </c>
      <c r="C450" t="s">
        <v>48</v>
      </c>
      <c r="D450" t="s">
        <v>451</v>
      </c>
      <c r="E450" s="2">
        <v>72094</v>
      </c>
      <c r="F450" s="2">
        <v>7674</v>
      </c>
      <c r="G450" t="s">
        <v>63</v>
      </c>
      <c r="H450" t="s">
        <v>70</v>
      </c>
      <c r="I450" t="s">
        <v>74</v>
      </c>
      <c r="J450" t="s">
        <v>84</v>
      </c>
      <c r="K450" t="s">
        <v>74</v>
      </c>
      <c r="L450">
        <v>4</v>
      </c>
      <c r="M450">
        <v>4</v>
      </c>
      <c r="N450" t="s">
        <v>152</v>
      </c>
      <c r="O450" t="s">
        <v>157</v>
      </c>
      <c r="P450" t="s">
        <v>271</v>
      </c>
      <c r="Q450">
        <v>1.1000000000000001</v>
      </c>
      <c r="R450" s="9">
        <v>79303.400000000009</v>
      </c>
      <c r="S450" t="str">
        <f>IF(OR(Sheet1[[#This Row],[Salary_USD]]&lt;$V$13,Sheet1[[#This Row],[Salary_USD]]&gt;$V$12),"Outlier","Normal")</f>
        <v>Normal</v>
      </c>
    </row>
    <row r="451" spans="1:19" x14ac:dyDescent="0.25">
      <c r="A451" t="s">
        <v>17</v>
      </c>
      <c r="B451" t="s">
        <v>35</v>
      </c>
      <c r="C451" t="s">
        <v>45</v>
      </c>
      <c r="D451" t="s">
        <v>54</v>
      </c>
      <c r="E451" s="2">
        <v>99678</v>
      </c>
      <c r="F451" s="2">
        <v>4744</v>
      </c>
      <c r="G451" t="s">
        <v>67</v>
      </c>
      <c r="H451" t="s">
        <v>70</v>
      </c>
      <c r="I451" t="s">
        <v>78</v>
      </c>
      <c r="J451" t="s">
        <v>88</v>
      </c>
      <c r="K451" t="s">
        <v>128</v>
      </c>
      <c r="L451">
        <v>25</v>
      </c>
      <c r="M451">
        <v>25</v>
      </c>
      <c r="N451" t="s">
        <v>150</v>
      </c>
      <c r="O451" t="s">
        <v>156</v>
      </c>
      <c r="P451" t="s">
        <v>224</v>
      </c>
      <c r="Q451">
        <v>1</v>
      </c>
      <c r="R451" s="9">
        <v>99678</v>
      </c>
      <c r="S451" t="str">
        <f>IF(OR(Sheet1[[#This Row],[Salary_USD]]&lt;$V$13,Sheet1[[#This Row],[Salary_USD]]&gt;$V$12),"Outlier","Normal")</f>
        <v>Normal</v>
      </c>
    </row>
    <row r="452" spans="1:19" x14ac:dyDescent="0.25">
      <c r="A452" t="s">
        <v>20</v>
      </c>
      <c r="B452" t="s">
        <v>35</v>
      </c>
      <c r="C452" t="s">
        <v>43</v>
      </c>
      <c r="D452" t="s">
        <v>61</v>
      </c>
      <c r="E452" s="2">
        <v>37873</v>
      </c>
      <c r="F452" s="2">
        <v>9188</v>
      </c>
      <c r="G452" t="s">
        <v>63</v>
      </c>
      <c r="H452" t="s">
        <v>71</v>
      </c>
      <c r="I452" t="s">
        <v>80</v>
      </c>
      <c r="J452" t="s">
        <v>106</v>
      </c>
      <c r="K452" t="s">
        <v>106</v>
      </c>
      <c r="L452">
        <v>2</v>
      </c>
      <c r="M452">
        <v>0</v>
      </c>
      <c r="N452" t="s">
        <v>151</v>
      </c>
      <c r="O452" t="s">
        <v>155</v>
      </c>
      <c r="P452" t="s">
        <v>342</v>
      </c>
      <c r="Q452">
        <v>1.1000000000000001</v>
      </c>
      <c r="R452" s="9">
        <v>41660.300000000003</v>
      </c>
      <c r="S452" t="str">
        <f>IF(OR(Sheet1[[#This Row],[Salary_USD]]&lt;$V$13,Sheet1[[#This Row],[Salary_USD]]&gt;$V$12),"Outlier","Normal")</f>
        <v>Normal</v>
      </c>
    </row>
    <row r="453" spans="1:19" x14ac:dyDescent="0.25">
      <c r="A453" t="s">
        <v>20</v>
      </c>
      <c r="B453" t="s">
        <v>31</v>
      </c>
      <c r="C453" t="s">
        <v>38</v>
      </c>
      <c r="D453" t="s">
        <v>56</v>
      </c>
      <c r="E453" s="2">
        <v>67930</v>
      </c>
      <c r="F453" s="2">
        <v>2521</v>
      </c>
      <c r="G453" t="s">
        <v>68</v>
      </c>
      <c r="H453" t="s">
        <v>71</v>
      </c>
      <c r="I453" t="s">
        <v>76</v>
      </c>
      <c r="J453" t="s">
        <v>100</v>
      </c>
      <c r="K453" t="s">
        <v>132</v>
      </c>
      <c r="L453">
        <v>6</v>
      </c>
      <c r="M453">
        <v>6</v>
      </c>
      <c r="N453" t="s">
        <v>150</v>
      </c>
      <c r="O453" t="s">
        <v>156</v>
      </c>
      <c r="P453" t="s">
        <v>318</v>
      </c>
      <c r="Q453">
        <v>1.25</v>
      </c>
      <c r="R453" s="9">
        <v>84912.5</v>
      </c>
      <c r="S453" t="str">
        <f>IF(OR(Sheet1[[#This Row],[Salary_USD]]&lt;$V$13,Sheet1[[#This Row],[Salary_USD]]&gt;$V$12),"Outlier","Normal")</f>
        <v>Normal</v>
      </c>
    </row>
    <row r="454" spans="1:19" x14ac:dyDescent="0.25">
      <c r="A454" t="s">
        <v>19</v>
      </c>
      <c r="B454" t="s">
        <v>33</v>
      </c>
      <c r="C454" t="s">
        <v>39</v>
      </c>
      <c r="D454" t="s">
        <v>56</v>
      </c>
      <c r="E454" s="2">
        <v>91319</v>
      </c>
      <c r="F454" s="2">
        <v>2790</v>
      </c>
      <c r="G454" t="s">
        <v>65</v>
      </c>
      <c r="H454" t="s">
        <v>71</v>
      </c>
      <c r="I454" t="s">
        <v>77</v>
      </c>
      <c r="J454" t="s">
        <v>89</v>
      </c>
      <c r="K454" t="s">
        <v>124</v>
      </c>
      <c r="L454">
        <v>5</v>
      </c>
      <c r="M454">
        <v>5</v>
      </c>
      <c r="N454" t="s">
        <v>148</v>
      </c>
      <c r="O454" t="s">
        <v>154</v>
      </c>
      <c r="P454" t="s">
        <v>343</v>
      </c>
      <c r="Q454">
        <v>0.73</v>
      </c>
      <c r="R454" s="9">
        <v>66662.87</v>
      </c>
      <c r="S454" t="str">
        <f>IF(OR(Sheet1[[#This Row],[Salary_USD]]&lt;$V$13,Sheet1[[#This Row],[Salary_USD]]&gt;$V$12),"Outlier","Normal")</f>
        <v>Normal</v>
      </c>
    </row>
    <row r="455" spans="1:19" x14ac:dyDescent="0.25">
      <c r="A455" t="s">
        <v>19</v>
      </c>
      <c r="B455" t="s">
        <v>33</v>
      </c>
      <c r="C455" t="s">
        <v>43</v>
      </c>
      <c r="D455" t="s">
        <v>60</v>
      </c>
      <c r="E455" s="2">
        <v>29226</v>
      </c>
      <c r="F455" s="2">
        <v>1262</v>
      </c>
      <c r="G455" t="s">
        <v>65</v>
      </c>
      <c r="H455" t="s">
        <v>56</v>
      </c>
      <c r="I455" t="s">
        <v>76</v>
      </c>
      <c r="J455" t="s">
        <v>100</v>
      </c>
      <c r="K455" t="s">
        <v>126</v>
      </c>
      <c r="L455">
        <v>12</v>
      </c>
      <c r="M455">
        <v>12</v>
      </c>
      <c r="N455" t="s">
        <v>149</v>
      </c>
      <c r="O455" t="s">
        <v>156</v>
      </c>
      <c r="P455" t="s">
        <v>167</v>
      </c>
      <c r="Q455">
        <v>0.73</v>
      </c>
      <c r="R455" s="9">
        <v>21334.98</v>
      </c>
      <c r="S455" t="str">
        <f>IF(OR(Sheet1[[#This Row],[Salary_USD]]&lt;$V$13,Sheet1[[#This Row],[Salary_USD]]&gt;$V$12),"Outlier","Normal")</f>
        <v>Normal</v>
      </c>
    </row>
    <row r="456" spans="1:19" x14ac:dyDescent="0.25">
      <c r="A456" t="s">
        <v>20</v>
      </c>
      <c r="B456" t="s">
        <v>35</v>
      </c>
      <c r="C456" t="s">
        <v>46</v>
      </c>
      <c r="D456" t="s">
        <v>59</v>
      </c>
      <c r="E456" s="2">
        <v>154913</v>
      </c>
      <c r="F456" s="2">
        <v>2639</v>
      </c>
      <c r="G456" t="s">
        <v>66</v>
      </c>
      <c r="H456" t="s">
        <v>451</v>
      </c>
      <c r="I456" t="s">
        <v>76</v>
      </c>
      <c r="J456" t="s">
        <v>100</v>
      </c>
      <c r="K456" t="s">
        <v>126</v>
      </c>
      <c r="L456">
        <v>5</v>
      </c>
      <c r="M456">
        <v>5</v>
      </c>
      <c r="N456" t="s">
        <v>153</v>
      </c>
      <c r="O456" t="s">
        <v>155</v>
      </c>
      <c r="P456" t="s">
        <v>165</v>
      </c>
      <c r="Q456">
        <v>1.2E-2</v>
      </c>
      <c r="R456" s="9">
        <v>1858.9560000000001</v>
      </c>
      <c r="S456" t="str">
        <f>IF(OR(Sheet1[[#This Row],[Salary_USD]]&lt;$V$13,Sheet1[[#This Row],[Salary_USD]]&gt;$V$12),"Outlier","Normal")</f>
        <v>Normal</v>
      </c>
    </row>
    <row r="457" spans="1:19" x14ac:dyDescent="0.25">
      <c r="A457" t="s">
        <v>21</v>
      </c>
      <c r="B457" t="s">
        <v>29</v>
      </c>
      <c r="C457" t="s">
        <v>43</v>
      </c>
      <c r="D457" t="s">
        <v>61</v>
      </c>
      <c r="E457" s="2">
        <v>59568</v>
      </c>
      <c r="F457" s="2">
        <v>127</v>
      </c>
      <c r="G457" t="s">
        <v>65</v>
      </c>
      <c r="H457" t="s">
        <v>70</v>
      </c>
      <c r="I457" t="s">
        <v>75</v>
      </c>
      <c r="J457" t="s">
        <v>108</v>
      </c>
      <c r="K457" t="s">
        <v>135</v>
      </c>
      <c r="L457">
        <v>12</v>
      </c>
      <c r="M457">
        <v>11</v>
      </c>
      <c r="N457" t="s">
        <v>148</v>
      </c>
      <c r="O457" t="s">
        <v>154</v>
      </c>
      <c r="P457" t="s">
        <v>190</v>
      </c>
      <c r="Q457">
        <v>0.73</v>
      </c>
      <c r="R457" s="9">
        <v>43484.639999999999</v>
      </c>
      <c r="S457" t="str">
        <f>IF(OR(Sheet1[[#This Row],[Salary_USD]]&lt;$V$13,Sheet1[[#This Row],[Salary_USD]]&gt;$V$12),"Outlier","Normal")</f>
        <v>Normal</v>
      </c>
    </row>
    <row r="458" spans="1:19" x14ac:dyDescent="0.25">
      <c r="A458" t="s">
        <v>21</v>
      </c>
      <c r="B458" t="s">
        <v>33</v>
      </c>
      <c r="C458" t="s">
        <v>46</v>
      </c>
      <c r="D458" t="s">
        <v>61</v>
      </c>
      <c r="E458" s="2">
        <v>784946</v>
      </c>
      <c r="F458" s="2">
        <v>0</v>
      </c>
      <c r="G458" t="s">
        <v>66</v>
      </c>
      <c r="H458" t="s">
        <v>70</v>
      </c>
      <c r="I458" t="s">
        <v>79</v>
      </c>
      <c r="J458" t="s">
        <v>91</v>
      </c>
      <c r="K458" t="s">
        <v>118</v>
      </c>
      <c r="L458">
        <v>25</v>
      </c>
      <c r="M458">
        <v>25</v>
      </c>
      <c r="N458" t="s">
        <v>148</v>
      </c>
      <c r="O458" t="s">
        <v>157</v>
      </c>
      <c r="P458" t="s">
        <v>189</v>
      </c>
      <c r="Q458">
        <v>1.2E-2</v>
      </c>
      <c r="R458" s="9">
        <v>9419.3520000000008</v>
      </c>
      <c r="S458" t="str">
        <f>IF(OR(Sheet1[[#This Row],[Salary_USD]]&lt;$V$13,Sheet1[[#This Row],[Salary_USD]]&gt;$V$12),"Outlier","Normal")</f>
        <v>Normal</v>
      </c>
    </row>
    <row r="459" spans="1:19" x14ac:dyDescent="0.25">
      <c r="A459" t="s">
        <v>19</v>
      </c>
      <c r="B459" t="s">
        <v>29</v>
      </c>
      <c r="C459" t="s">
        <v>50</v>
      </c>
      <c r="D459" t="s">
        <v>59</v>
      </c>
      <c r="E459" s="2">
        <v>77574</v>
      </c>
      <c r="F459" s="2">
        <v>7291</v>
      </c>
      <c r="G459" t="s">
        <v>64</v>
      </c>
      <c r="H459" t="s">
        <v>451</v>
      </c>
      <c r="I459" t="s">
        <v>80</v>
      </c>
      <c r="J459" t="s">
        <v>93</v>
      </c>
      <c r="K459" t="s">
        <v>93</v>
      </c>
      <c r="L459">
        <v>15</v>
      </c>
      <c r="M459">
        <v>13</v>
      </c>
      <c r="N459" t="s">
        <v>149</v>
      </c>
      <c r="O459" t="s">
        <v>155</v>
      </c>
      <c r="P459" t="s">
        <v>245</v>
      </c>
      <c r="Q459">
        <v>0.65</v>
      </c>
      <c r="R459" s="9">
        <v>50423.1</v>
      </c>
      <c r="S459" t="str">
        <f>IF(OR(Sheet1[[#This Row],[Salary_USD]]&lt;$V$13,Sheet1[[#This Row],[Salary_USD]]&gt;$V$12),"Outlier","Normal")</f>
        <v>Normal</v>
      </c>
    </row>
    <row r="460" spans="1:19" x14ac:dyDescent="0.25">
      <c r="A460" t="s">
        <v>21</v>
      </c>
      <c r="B460" t="s">
        <v>28</v>
      </c>
      <c r="C460" t="s">
        <v>44</v>
      </c>
      <c r="D460" t="s">
        <v>61</v>
      </c>
      <c r="E460" s="2">
        <v>117023</v>
      </c>
      <c r="F460" s="2">
        <v>12546</v>
      </c>
      <c r="G460" t="s">
        <v>65</v>
      </c>
      <c r="H460" t="s">
        <v>451</v>
      </c>
      <c r="I460" t="s">
        <v>79</v>
      </c>
      <c r="J460" t="s">
        <v>91</v>
      </c>
      <c r="K460" t="s">
        <v>118</v>
      </c>
      <c r="L460">
        <v>20</v>
      </c>
      <c r="M460">
        <v>19</v>
      </c>
      <c r="N460" t="s">
        <v>148</v>
      </c>
      <c r="O460" t="s">
        <v>157</v>
      </c>
      <c r="P460" t="s">
        <v>165</v>
      </c>
      <c r="Q460">
        <v>0.73</v>
      </c>
      <c r="R460" s="9">
        <v>85426.79</v>
      </c>
      <c r="S460" t="str">
        <f>IF(OR(Sheet1[[#This Row],[Salary_USD]]&lt;$V$13,Sheet1[[#This Row],[Salary_USD]]&gt;$V$12),"Outlier","Normal")</f>
        <v>Normal</v>
      </c>
    </row>
    <row r="461" spans="1:19" x14ac:dyDescent="0.25">
      <c r="A461" t="s">
        <v>19</v>
      </c>
      <c r="B461" t="s">
        <v>22</v>
      </c>
      <c r="C461" t="s">
        <v>53</v>
      </c>
      <c r="D461" t="s">
        <v>55</v>
      </c>
      <c r="E461" s="2">
        <v>63370</v>
      </c>
      <c r="F461" s="2">
        <v>1794</v>
      </c>
      <c r="G461" t="s">
        <v>63</v>
      </c>
      <c r="H461" t="s">
        <v>451</v>
      </c>
      <c r="I461" t="s">
        <v>75</v>
      </c>
      <c r="J461" t="s">
        <v>96</v>
      </c>
      <c r="K461" t="s">
        <v>121</v>
      </c>
      <c r="L461">
        <v>2</v>
      </c>
      <c r="M461">
        <v>1</v>
      </c>
      <c r="N461" t="s">
        <v>150</v>
      </c>
      <c r="O461" t="s">
        <v>157</v>
      </c>
      <c r="P461" t="s">
        <v>344</v>
      </c>
      <c r="Q461">
        <v>1.1000000000000001</v>
      </c>
      <c r="R461" s="9">
        <v>69707</v>
      </c>
      <c r="S461" t="str">
        <f>IF(OR(Sheet1[[#This Row],[Salary_USD]]&lt;$V$13,Sheet1[[#This Row],[Salary_USD]]&gt;$V$12),"Outlier","Normal")</f>
        <v>Normal</v>
      </c>
    </row>
    <row r="462" spans="1:19" x14ac:dyDescent="0.25">
      <c r="A462" t="s">
        <v>19</v>
      </c>
      <c r="B462" t="s">
        <v>29</v>
      </c>
      <c r="C462" t="s">
        <v>39</v>
      </c>
      <c r="D462" t="s">
        <v>55</v>
      </c>
      <c r="E462" s="2">
        <v>55637</v>
      </c>
      <c r="F462" s="2">
        <v>2599</v>
      </c>
      <c r="G462" t="s">
        <v>64</v>
      </c>
      <c r="H462" t="s">
        <v>71</v>
      </c>
      <c r="I462" t="s">
        <v>80</v>
      </c>
      <c r="J462" t="s">
        <v>93</v>
      </c>
      <c r="K462" t="s">
        <v>93</v>
      </c>
      <c r="L462">
        <v>6</v>
      </c>
      <c r="M462">
        <v>6</v>
      </c>
      <c r="N462" t="s">
        <v>150</v>
      </c>
      <c r="O462" t="s">
        <v>155</v>
      </c>
      <c r="P462" t="s">
        <v>345</v>
      </c>
      <c r="Q462">
        <v>0.65</v>
      </c>
      <c r="R462" s="9">
        <v>36164.050000000003</v>
      </c>
      <c r="S462" t="str">
        <f>IF(OR(Sheet1[[#This Row],[Salary_USD]]&lt;$V$13,Sheet1[[#This Row],[Salary_USD]]&gt;$V$12),"Outlier","Normal")</f>
        <v>Normal</v>
      </c>
    </row>
    <row r="463" spans="1:19" x14ac:dyDescent="0.25">
      <c r="A463" t="s">
        <v>20</v>
      </c>
      <c r="B463" t="s">
        <v>28</v>
      </c>
      <c r="C463" t="s">
        <v>53</v>
      </c>
      <c r="D463" t="s">
        <v>451</v>
      </c>
      <c r="E463" s="2">
        <v>1501917</v>
      </c>
      <c r="F463" s="2">
        <v>222793</v>
      </c>
      <c r="G463" t="s">
        <v>66</v>
      </c>
      <c r="H463" t="s">
        <v>56</v>
      </c>
      <c r="I463" t="s">
        <v>73</v>
      </c>
      <c r="J463" t="s">
        <v>102</v>
      </c>
      <c r="K463" t="s">
        <v>102</v>
      </c>
      <c r="L463">
        <v>3</v>
      </c>
      <c r="M463">
        <v>3</v>
      </c>
      <c r="N463" t="s">
        <v>151</v>
      </c>
      <c r="O463" t="s">
        <v>157</v>
      </c>
      <c r="P463" t="s">
        <v>346</v>
      </c>
      <c r="Q463">
        <v>1.2E-2</v>
      </c>
      <c r="R463" s="9">
        <v>18023.004000000001</v>
      </c>
      <c r="S463" t="str">
        <f>IF(OR(Sheet1[[#This Row],[Salary_USD]]&lt;$V$13,Sheet1[[#This Row],[Salary_USD]]&gt;$V$12),"Outlier","Normal")</f>
        <v>Normal</v>
      </c>
    </row>
    <row r="464" spans="1:19" x14ac:dyDescent="0.25">
      <c r="A464" t="s">
        <v>19</v>
      </c>
      <c r="B464" t="s">
        <v>22</v>
      </c>
      <c r="C464" t="s">
        <v>48</v>
      </c>
      <c r="D464" t="s">
        <v>60</v>
      </c>
      <c r="E464" s="2">
        <v>85390</v>
      </c>
      <c r="F464" s="2">
        <v>10106</v>
      </c>
      <c r="G464" t="s">
        <v>64</v>
      </c>
      <c r="H464" t="s">
        <v>56</v>
      </c>
      <c r="I464" t="s">
        <v>72</v>
      </c>
      <c r="J464" t="s">
        <v>95</v>
      </c>
      <c r="K464" t="s">
        <v>120</v>
      </c>
      <c r="L464">
        <v>2</v>
      </c>
      <c r="M464">
        <v>1</v>
      </c>
      <c r="N464" t="s">
        <v>151</v>
      </c>
      <c r="O464" t="s">
        <v>156</v>
      </c>
      <c r="P464" t="s">
        <v>305</v>
      </c>
      <c r="Q464">
        <v>0.65</v>
      </c>
      <c r="R464" s="9">
        <v>55503.5</v>
      </c>
      <c r="S464" t="str">
        <f>IF(OR(Sheet1[[#This Row],[Salary_USD]]&lt;$V$13,Sheet1[[#This Row],[Salary_USD]]&gt;$V$12),"Outlier","Normal")</f>
        <v>Normal</v>
      </c>
    </row>
    <row r="465" spans="1:19" x14ac:dyDescent="0.25">
      <c r="A465" t="s">
        <v>20</v>
      </c>
      <c r="B465" t="s">
        <v>32</v>
      </c>
      <c r="C465" t="s">
        <v>52</v>
      </c>
      <c r="D465" t="s">
        <v>61</v>
      </c>
      <c r="E465" s="2">
        <v>101650</v>
      </c>
      <c r="F465" s="2">
        <v>3244</v>
      </c>
      <c r="G465" t="s">
        <v>65</v>
      </c>
      <c r="H465" t="s">
        <v>451</v>
      </c>
      <c r="I465" t="s">
        <v>78</v>
      </c>
      <c r="J465" t="s">
        <v>105</v>
      </c>
      <c r="K465" t="s">
        <v>142</v>
      </c>
      <c r="L465">
        <v>1</v>
      </c>
      <c r="M465">
        <v>1</v>
      </c>
      <c r="N465" t="s">
        <v>153</v>
      </c>
      <c r="O465" t="s">
        <v>157</v>
      </c>
      <c r="P465" t="s">
        <v>213</v>
      </c>
      <c r="Q465">
        <v>0.73</v>
      </c>
      <c r="R465" s="9">
        <v>74204.5</v>
      </c>
      <c r="S465" t="str">
        <f>IF(OR(Sheet1[[#This Row],[Salary_USD]]&lt;$V$13,Sheet1[[#This Row],[Salary_USD]]&gt;$V$12),"Outlier","Normal")</f>
        <v>Normal</v>
      </c>
    </row>
    <row r="466" spans="1:19" x14ac:dyDescent="0.25">
      <c r="A466" t="s">
        <v>17</v>
      </c>
      <c r="B466" t="s">
        <v>31</v>
      </c>
      <c r="C466" t="s">
        <v>48</v>
      </c>
      <c r="D466" t="s">
        <v>54</v>
      </c>
      <c r="E466" s="2">
        <v>105670</v>
      </c>
      <c r="F466" s="2">
        <v>3348</v>
      </c>
      <c r="G466" t="s">
        <v>63</v>
      </c>
      <c r="H466" t="s">
        <v>70</v>
      </c>
      <c r="I466" t="s">
        <v>79</v>
      </c>
      <c r="J466" t="s">
        <v>91</v>
      </c>
      <c r="K466" t="s">
        <v>118</v>
      </c>
      <c r="L466">
        <v>10</v>
      </c>
      <c r="M466">
        <v>8</v>
      </c>
      <c r="N466" t="s">
        <v>151</v>
      </c>
      <c r="O466" t="s">
        <v>156</v>
      </c>
      <c r="P466" t="s">
        <v>171</v>
      </c>
      <c r="Q466">
        <v>1.1000000000000001</v>
      </c>
      <c r="R466" s="9">
        <v>116237.00000000001</v>
      </c>
      <c r="S466" t="str">
        <f>IF(OR(Sheet1[[#This Row],[Salary_USD]]&lt;$V$13,Sheet1[[#This Row],[Salary_USD]]&gt;$V$12),"Outlier","Normal")</f>
        <v>Normal</v>
      </c>
    </row>
    <row r="467" spans="1:19" x14ac:dyDescent="0.25">
      <c r="A467" t="s">
        <v>19</v>
      </c>
      <c r="B467" t="s">
        <v>35</v>
      </c>
      <c r="C467" t="s">
        <v>44</v>
      </c>
      <c r="D467" t="s">
        <v>54</v>
      </c>
      <c r="E467" s="2">
        <v>62535</v>
      </c>
      <c r="F467" s="2">
        <v>2714</v>
      </c>
      <c r="G467" t="s">
        <v>68</v>
      </c>
      <c r="H467" t="s">
        <v>451</v>
      </c>
      <c r="I467" t="s">
        <v>81</v>
      </c>
      <c r="J467" t="s">
        <v>98</v>
      </c>
      <c r="K467" t="s">
        <v>123</v>
      </c>
      <c r="L467">
        <v>4</v>
      </c>
      <c r="M467">
        <v>3</v>
      </c>
      <c r="N467" t="s">
        <v>151</v>
      </c>
      <c r="O467" t="s">
        <v>157</v>
      </c>
      <c r="P467" t="s">
        <v>178</v>
      </c>
      <c r="Q467">
        <v>1.25</v>
      </c>
      <c r="R467" s="9">
        <v>78168.75</v>
      </c>
      <c r="S467" t="str">
        <f>IF(OR(Sheet1[[#This Row],[Salary_USD]]&lt;$V$13,Sheet1[[#This Row],[Salary_USD]]&gt;$V$12),"Outlier","Normal")</f>
        <v>Normal</v>
      </c>
    </row>
    <row r="468" spans="1:19" x14ac:dyDescent="0.25">
      <c r="A468" t="s">
        <v>21</v>
      </c>
      <c r="B468" t="s">
        <v>35</v>
      </c>
      <c r="C468" t="s">
        <v>53</v>
      </c>
      <c r="D468" t="s">
        <v>59</v>
      </c>
      <c r="E468" s="2">
        <v>66789</v>
      </c>
      <c r="F468" s="2">
        <v>43</v>
      </c>
      <c r="G468" t="s">
        <v>63</v>
      </c>
      <c r="H468" t="s">
        <v>451</v>
      </c>
      <c r="I468" t="s">
        <v>75</v>
      </c>
      <c r="J468" t="s">
        <v>96</v>
      </c>
      <c r="K468" t="s">
        <v>121</v>
      </c>
      <c r="L468">
        <v>9</v>
      </c>
      <c r="M468">
        <v>9</v>
      </c>
      <c r="N468" t="s">
        <v>148</v>
      </c>
      <c r="O468" t="s">
        <v>154</v>
      </c>
      <c r="P468" t="s">
        <v>188</v>
      </c>
      <c r="Q468">
        <v>1.1000000000000001</v>
      </c>
      <c r="R468" s="9">
        <v>73467.900000000009</v>
      </c>
      <c r="S468" t="str">
        <f>IF(OR(Sheet1[[#This Row],[Salary_USD]]&lt;$V$13,Sheet1[[#This Row],[Salary_USD]]&gt;$V$12),"Outlier","Normal")</f>
        <v>Normal</v>
      </c>
    </row>
    <row r="469" spans="1:19" x14ac:dyDescent="0.25">
      <c r="A469" t="s">
        <v>21</v>
      </c>
      <c r="B469" t="s">
        <v>34</v>
      </c>
      <c r="C469" t="s">
        <v>36</v>
      </c>
      <c r="D469" t="s">
        <v>55</v>
      </c>
      <c r="E469" s="2">
        <v>773568</v>
      </c>
      <c r="F469" s="2">
        <v>19562</v>
      </c>
      <c r="G469" t="s">
        <v>66</v>
      </c>
      <c r="H469" t="s">
        <v>70</v>
      </c>
      <c r="I469" t="s">
        <v>72</v>
      </c>
      <c r="J469" t="s">
        <v>82</v>
      </c>
      <c r="K469" t="s">
        <v>112</v>
      </c>
      <c r="L469">
        <v>25</v>
      </c>
      <c r="M469">
        <v>22</v>
      </c>
      <c r="N469" t="s">
        <v>150</v>
      </c>
      <c r="O469" t="s">
        <v>157</v>
      </c>
      <c r="P469" t="s">
        <v>166</v>
      </c>
      <c r="Q469">
        <v>1.2E-2</v>
      </c>
      <c r="R469" s="9">
        <v>9282.8160000000007</v>
      </c>
      <c r="S469" t="str">
        <f>IF(OR(Sheet1[[#This Row],[Salary_USD]]&lt;$V$13,Sheet1[[#This Row],[Salary_USD]]&gt;$V$12),"Outlier","Normal")</f>
        <v>Normal</v>
      </c>
    </row>
    <row r="470" spans="1:19" x14ac:dyDescent="0.25">
      <c r="A470" t="s">
        <v>19</v>
      </c>
      <c r="B470" t="s">
        <v>32</v>
      </c>
      <c r="C470" t="s">
        <v>46</v>
      </c>
      <c r="D470" t="s">
        <v>58</v>
      </c>
      <c r="E470" s="2">
        <v>119943</v>
      </c>
      <c r="F470" s="2">
        <v>0</v>
      </c>
      <c r="G470" t="s">
        <v>68</v>
      </c>
      <c r="H470" t="s">
        <v>71</v>
      </c>
      <c r="I470" t="s">
        <v>79</v>
      </c>
      <c r="J470" t="s">
        <v>107</v>
      </c>
      <c r="K470" t="s">
        <v>134</v>
      </c>
      <c r="L470">
        <v>3</v>
      </c>
      <c r="M470">
        <v>3</v>
      </c>
      <c r="N470" t="s">
        <v>148</v>
      </c>
      <c r="O470" t="s">
        <v>155</v>
      </c>
      <c r="P470" t="s">
        <v>168</v>
      </c>
      <c r="Q470">
        <v>1.25</v>
      </c>
      <c r="R470" s="9">
        <v>149928.75</v>
      </c>
      <c r="S470" t="str">
        <f>IF(OR(Sheet1[[#This Row],[Salary_USD]]&lt;$V$13,Sheet1[[#This Row],[Salary_USD]]&gt;$V$12),"Outlier","Normal")</f>
        <v>Normal</v>
      </c>
    </row>
    <row r="471" spans="1:19" x14ac:dyDescent="0.25">
      <c r="A471" t="s">
        <v>21</v>
      </c>
      <c r="B471" t="s">
        <v>35</v>
      </c>
      <c r="C471" t="s">
        <v>50</v>
      </c>
      <c r="D471" t="s">
        <v>60</v>
      </c>
      <c r="E471" s="2">
        <v>471727</v>
      </c>
      <c r="F471" s="2">
        <v>14618</v>
      </c>
      <c r="G471" t="s">
        <v>66</v>
      </c>
      <c r="H471" t="s">
        <v>70</v>
      </c>
      <c r="I471" t="s">
        <v>79</v>
      </c>
      <c r="J471" t="s">
        <v>107</v>
      </c>
      <c r="K471" t="s">
        <v>134</v>
      </c>
      <c r="L471">
        <v>8</v>
      </c>
      <c r="M471">
        <v>8</v>
      </c>
      <c r="N471" t="s">
        <v>148</v>
      </c>
      <c r="O471" t="s">
        <v>157</v>
      </c>
      <c r="P471" t="s">
        <v>347</v>
      </c>
      <c r="Q471">
        <v>1.2E-2</v>
      </c>
      <c r="R471" s="9">
        <v>5660.7240000000002</v>
      </c>
      <c r="S471" t="str">
        <f>IF(OR(Sheet1[[#This Row],[Salary_USD]]&lt;$V$13,Sheet1[[#This Row],[Salary_USD]]&gt;$V$12),"Outlier","Normal")</f>
        <v>Normal</v>
      </c>
    </row>
    <row r="472" spans="1:19" x14ac:dyDescent="0.25">
      <c r="A472" t="s">
        <v>20</v>
      </c>
      <c r="B472" t="s">
        <v>29</v>
      </c>
      <c r="C472" t="s">
        <v>52</v>
      </c>
      <c r="D472" t="s">
        <v>60</v>
      </c>
      <c r="E472" s="2">
        <v>137963</v>
      </c>
      <c r="F472" s="2">
        <v>4998</v>
      </c>
      <c r="G472" t="s">
        <v>64</v>
      </c>
      <c r="H472" t="s">
        <v>71</v>
      </c>
      <c r="I472" t="s">
        <v>74</v>
      </c>
      <c r="J472" t="s">
        <v>84</v>
      </c>
      <c r="K472" t="s">
        <v>74</v>
      </c>
      <c r="L472">
        <v>3</v>
      </c>
      <c r="M472">
        <v>2</v>
      </c>
      <c r="N472" t="s">
        <v>149</v>
      </c>
      <c r="O472" t="s">
        <v>154</v>
      </c>
      <c r="P472" t="s">
        <v>181</v>
      </c>
      <c r="Q472">
        <v>0.65</v>
      </c>
      <c r="R472" s="9">
        <v>89675.95</v>
      </c>
      <c r="S472" t="str">
        <f>IF(OR(Sheet1[[#This Row],[Salary_USD]]&lt;$V$13,Sheet1[[#This Row],[Salary_USD]]&gt;$V$12),"Outlier","Normal")</f>
        <v>Normal</v>
      </c>
    </row>
    <row r="473" spans="1:19" x14ac:dyDescent="0.25">
      <c r="A473" t="s">
        <v>19</v>
      </c>
      <c r="B473" t="s">
        <v>22</v>
      </c>
      <c r="C473" t="s">
        <v>40</v>
      </c>
      <c r="D473" t="s">
        <v>61</v>
      </c>
      <c r="E473" s="2">
        <v>117848</v>
      </c>
      <c r="F473" s="2">
        <v>2364</v>
      </c>
      <c r="G473" t="s">
        <v>67</v>
      </c>
      <c r="H473" t="s">
        <v>451</v>
      </c>
      <c r="I473" t="s">
        <v>78</v>
      </c>
      <c r="J473" t="s">
        <v>104</v>
      </c>
      <c r="K473" t="s">
        <v>131</v>
      </c>
      <c r="L473">
        <v>8</v>
      </c>
      <c r="M473">
        <v>8</v>
      </c>
      <c r="N473" t="s">
        <v>148</v>
      </c>
      <c r="O473" t="s">
        <v>157</v>
      </c>
      <c r="P473" t="s">
        <v>212</v>
      </c>
      <c r="Q473">
        <v>1</v>
      </c>
      <c r="R473" s="9">
        <v>117848</v>
      </c>
      <c r="S473" t="str">
        <f>IF(OR(Sheet1[[#This Row],[Salary_USD]]&lt;$V$13,Sheet1[[#This Row],[Salary_USD]]&gt;$V$12),"Outlier","Normal")</f>
        <v>Normal</v>
      </c>
    </row>
    <row r="474" spans="1:19" x14ac:dyDescent="0.25">
      <c r="A474" t="s">
        <v>19</v>
      </c>
      <c r="B474" t="s">
        <v>451</v>
      </c>
      <c r="C474" t="s">
        <v>451</v>
      </c>
      <c r="D474" t="s">
        <v>57</v>
      </c>
      <c r="E474" s="2">
        <v>0</v>
      </c>
      <c r="F474" s="2">
        <v>12992</v>
      </c>
      <c r="G474" t="s">
        <v>67</v>
      </c>
      <c r="H474" t="s">
        <v>56</v>
      </c>
      <c r="I474" t="s">
        <v>74</v>
      </c>
      <c r="J474" t="s">
        <v>84</v>
      </c>
      <c r="K474" t="s">
        <v>451</v>
      </c>
      <c r="L474">
        <v>0</v>
      </c>
      <c r="M474">
        <v>4</v>
      </c>
      <c r="N474" t="s">
        <v>148</v>
      </c>
      <c r="O474" t="s">
        <v>452</v>
      </c>
      <c r="P474" t="s">
        <v>169</v>
      </c>
      <c r="Q474">
        <v>1</v>
      </c>
      <c r="R474" s="9">
        <v>0</v>
      </c>
      <c r="S474" t="str">
        <f>IF(OR(Sheet1[[#This Row],[Salary_USD]]&lt;$V$13,Sheet1[[#This Row],[Salary_USD]]&gt;$V$12),"Outlier","Normal")</f>
        <v>Normal</v>
      </c>
    </row>
    <row r="475" spans="1:19" x14ac:dyDescent="0.25">
      <c r="A475" t="s">
        <v>19</v>
      </c>
      <c r="B475" t="s">
        <v>28</v>
      </c>
      <c r="C475" t="s">
        <v>36</v>
      </c>
      <c r="D475" t="s">
        <v>57</v>
      </c>
      <c r="E475" s="2">
        <v>41114</v>
      </c>
      <c r="F475" s="2">
        <v>1575</v>
      </c>
      <c r="G475" t="s">
        <v>67</v>
      </c>
      <c r="H475" t="s">
        <v>71</v>
      </c>
      <c r="I475" t="s">
        <v>80</v>
      </c>
      <c r="J475" t="s">
        <v>93</v>
      </c>
      <c r="K475" t="s">
        <v>93</v>
      </c>
      <c r="L475">
        <v>9</v>
      </c>
      <c r="M475">
        <v>7</v>
      </c>
      <c r="N475" t="s">
        <v>148</v>
      </c>
      <c r="O475" t="s">
        <v>157</v>
      </c>
      <c r="P475" t="s">
        <v>288</v>
      </c>
      <c r="Q475">
        <v>1</v>
      </c>
      <c r="R475" s="9">
        <v>41114</v>
      </c>
      <c r="S475" t="str">
        <f>IF(OR(Sheet1[[#This Row],[Salary_USD]]&lt;$V$13,Sheet1[[#This Row],[Salary_USD]]&gt;$V$12),"Outlier","Normal")</f>
        <v>Normal</v>
      </c>
    </row>
    <row r="476" spans="1:19" x14ac:dyDescent="0.25">
      <c r="A476" t="s">
        <v>19</v>
      </c>
      <c r="B476" t="s">
        <v>35</v>
      </c>
      <c r="C476" t="s">
        <v>41</v>
      </c>
      <c r="D476" t="s">
        <v>58</v>
      </c>
      <c r="E476" s="2">
        <v>41979</v>
      </c>
      <c r="F476" s="2">
        <v>6779</v>
      </c>
      <c r="G476" t="s">
        <v>68</v>
      </c>
      <c r="H476" t="s">
        <v>70</v>
      </c>
      <c r="I476" t="s">
        <v>77</v>
      </c>
      <c r="J476" t="s">
        <v>97</v>
      </c>
      <c r="K476" t="s">
        <v>122</v>
      </c>
      <c r="L476">
        <v>25</v>
      </c>
      <c r="M476">
        <v>25</v>
      </c>
      <c r="N476" t="s">
        <v>151</v>
      </c>
      <c r="O476" t="s">
        <v>156</v>
      </c>
      <c r="P476" t="s">
        <v>176</v>
      </c>
      <c r="Q476">
        <v>1.25</v>
      </c>
      <c r="R476" s="9">
        <v>52473.75</v>
      </c>
      <c r="S476" t="str">
        <f>IF(OR(Sheet1[[#This Row],[Salary_USD]]&lt;$V$13,Sheet1[[#This Row],[Salary_USD]]&gt;$V$12),"Outlier","Normal")</f>
        <v>Normal</v>
      </c>
    </row>
    <row r="477" spans="1:19" x14ac:dyDescent="0.25">
      <c r="A477" t="s">
        <v>20</v>
      </c>
      <c r="B477" t="s">
        <v>23</v>
      </c>
      <c r="C477" t="s">
        <v>41</v>
      </c>
      <c r="D477" t="s">
        <v>54</v>
      </c>
      <c r="E477" s="2">
        <v>186354</v>
      </c>
      <c r="F477" s="2">
        <v>15838</v>
      </c>
      <c r="G477" t="s">
        <v>66</v>
      </c>
      <c r="H477" t="s">
        <v>56</v>
      </c>
      <c r="I477" t="s">
        <v>79</v>
      </c>
      <c r="J477" t="s">
        <v>107</v>
      </c>
      <c r="K477" t="s">
        <v>134</v>
      </c>
      <c r="L477">
        <v>6</v>
      </c>
      <c r="M477">
        <v>6</v>
      </c>
      <c r="N477" t="s">
        <v>151</v>
      </c>
      <c r="O477" t="s">
        <v>157</v>
      </c>
      <c r="P477" t="s">
        <v>173</v>
      </c>
      <c r="Q477">
        <v>1.2E-2</v>
      </c>
      <c r="R477" s="9">
        <v>2236.248</v>
      </c>
      <c r="S477" t="str">
        <f>IF(OR(Sheet1[[#This Row],[Salary_USD]]&lt;$V$13,Sheet1[[#This Row],[Salary_USD]]&gt;$V$12),"Outlier","Normal")</f>
        <v>Normal</v>
      </c>
    </row>
    <row r="478" spans="1:19" x14ac:dyDescent="0.25">
      <c r="A478" t="s">
        <v>19</v>
      </c>
      <c r="B478" t="s">
        <v>35</v>
      </c>
      <c r="C478" t="s">
        <v>45</v>
      </c>
      <c r="D478" t="s">
        <v>56</v>
      </c>
      <c r="E478" s="2">
        <v>13592</v>
      </c>
      <c r="F478" s="2">
        <v>0</v>
      </c>
      <c r="G478" t="s">
        <v>68</v>
      </c>
      <c r="H478" t="s">
        <v>70</v>
      </c>
      <c r="I478" t="s">
        <v>79</v>
      </c>
      <c r="J478" t="s">
        <v>107</v>
      </c>
      <c r="K478" t="s">
        <v>134</v>
      </c>
      <c r="L478">
        <v>4</v>
      </c>
      <c r="M478">
        <v>3</v>
      </c>
      <c r="N478" t="s">
        <v>152</v>
      </c>
      <c r="O478" t="s">
        <v>156</v>
      </c>
      <c r="P478" t="s">
        <v>165</v>
      </c>
      <c r="Q478">
        <v>1.25</v>
      </c>
      <c r="R478" s="9">
        <v>16990</v>
      </c>
      <c r="S478" t="str">
        <f>IF(OR(Sheet1[[#This Row],[Salary_USD]]&lt;$V$13,Sheet1[[#This Row],[Salary_USD]]&gt;$V$12),"Outlier","Normal")</f>
        <v>Normal</v>
      </c>
    </row>
    <row r="479" spans="1:19" x14ac:dyDescent="0.25">
      <c r="A479" t="s">
        <v>21</v>
      </c>
      <c r="B479" t="s">
        <v>26</v>
      </c>
      <c r="C479" t="s">
        <v>41</v>
      </c>
      <c r="D479" t="s">
        <v>59</v>
      </c>
      <c r="E479" s="2">
        <v>158897</v>
      </c>
      <c r="F479" s="2">
        <v>3971</v>
      </c>
      <c r="G479" t="s">
        <v>64</v>
      </c>
      <c r="H479" t="s">
        <v>71</v>
      </c>
      <c r="I479" t="s">
        <v>78</v>
      </c>
      <c r="J479" t="s">
        <v>90</v>
      </c>
      <c r="K479" t="s">
        <v>138</v>
      </c>
      <c r="L479">
        <v>20</v>
      </c>
      <c r="M479">
        <v>20</v>
      </c>
      <c r="N479" t="s">
        <v>153</v>
      </c>
      <c r="O479" t="s">
        <v>154</v>
      </c>
      <c r="P479" t="s">
        <v>348</v>
      </c>
      <c r="Q479">
        <v>0.65</v>
      </c>
      <c r="R479" s="9">
        <v>103283.05</v>
      </c>
      <c r="S479" t="str">
        <f>IF(OR(Sheet1[[#This Row],[Salary_USD]]&lt;$V$13,Sheet1[[#This Row],[Salary_USD]]&gt;$V$12),"Outlier","Normal")</f>
        <v>Normal</v>
      </c>
    </row>
    <row r="480" spans="1:19" x14ac:dyDescent="0.25">
      <c r="A480" t="s">
        <v>19</v>
      </c>
      <c r="B480" t="s">
        <v>34</v>
      </c>
      <c r="C480" t="s">
        <v>43</v>
      </c>
      <c r="D480" t="s">
        <v>58</v>
      </c>
      <c r="E480" s="2">
        <v>133120</v>
      </c>
      <c r="F480" s="2">
        <v>3227</v>
      </c>
      <c r="G480" t="s">
        <v>68</v>
      </c>
      <c r="H480" t="s">
        <v>70</v>
      </c>
      <c r="I480" t="s">
        <v>75</v>
      </c>
      <c r="J480" t="s">
        <v>96</v>
      </c>
      <c r="K480" t="s">
        <v>121</v>
      </c>
      <c r="L480">
        <v>12</v>
      </c>
      <c r="M480">
        <v>12</v>
      </c>
      <c r="N480" t="s">
        <v>151</v>
      </c>
      <c r="O480" t="s">
        <v>154</v>
      </c>
      <c r="P480" t="s">
        <v>207</v>
      </c>
      <c r="Q480">
        <v>1.25</v>
      </c>
      <c r="R480" s="9">
        <v>166400</v>
      </c>
      <c r="S480" t="str">
        <f>IF(OR(Sheet1[[#This Row],[Salary_USD]]&lt;$V$13,Sheet1[[#This Row],[Salary_USD]]&gt;$V$12),"Outlier","Normal")</f>
        <v>Normal</v>
      </c>
    </row>
    <row r="481" spans="1:19" x14ac:dyDescent="0.25">
      <c r="A481" t="s">
        <v>21</v>
      </c>
      <c r="B481" t="s">
        <v>24</v>
      </c>
      <c r="C481" t="s">
        <v>45</v>
      </c>
      <c r="D481" t="s">
        <v>62</v>
      </c>
      <c r="E481" s="2">
        <v>930770</v>
      </c>
      <c r="F481" s="2">
        <v>18303</v>
      </c>
      <c r="G481" t="s">
        <v>66</v>
      </c>
      <c r="H481" t="s">
        <v>56</v>
      </c>
      <c r="I481" t="s">
        <v>78</v>
      </c>
      <c r="J481" t="s">
        <v>88</v>
      </c>
      <c r="K481" t="s">
        <v>128</v>
      </c>
      <c r="L481">
        <v>10</v>
      </c>
      <c r="M481">
        <v>10</v>
      </c>
      <c r="N481" t="s">
        <v>149</v>
      </c>
      <c r="O481" t="s">
        <v>154</v>
      </c>
      <c r="P481" t="s">
        <v>212</v>
      </c>
      <c r="Q481">
        <v>1.2E-2</v>
      </c>
      <c r="R481" s="9">
        <v>11169.24</v>
      </c>
      <c r="S481" t="str">
        <f>IF(OR(Sheet1[[#This Row],[Salary_USD]]&lt;$V$13,Sheet1[[#This Row],[Salary_USD]]&gt;$V$12),"Outlier","Normal")</f>
        <v>Normal</v>
      </c>
    </row>
    <row r="482" spans="1:19" x14ac:dyDescent="0.25">
      <c r="A482" t="s">
        <v>21</v>
      </c>
      <c r="B482" t="s">
        <v>26</v>
      </c>
      <c r="C482" t="s">
        <v>40</v>
      </c>
      <c r="D482" t="s">
        <v>56</v>
      </c>
      <c r="E482" s="2">
        <v>53047</v>
      </c>
      <c r="F482" s="2">
        <v>454</v>
      </c>
      <c r="G482" t="s">
        <v>65</v>
      </c>
      <c r="H482" t="s">
        <v>69</v>
      </c>
      <c r="I482" t="s">
        <v>73</v>
      </c>
      <c r="J482" t="s">
        <v>83</v>
      </c>
      <c r="K482" t="s">
        <v>113</v>
      </c>
      <c r="L482">
        <v>9</v>
      </c>
      <c r="M482">
        <v>7</v>
      </c>
      <c r="N482" t="s">
        <v>151</v>
      </c>
      <c r="O482" t="s">
        <v>156</v>
      </c>
      <c r="P482" t="s">
        <v>173</v>
      </c>
      <c r="Q482">
        <v>0.73</v>
      </c>
      <c r="R482" s="9">
        <v>38724.31</v>
      </c>
      <c r="S482" t="str">
        <f>IF(OR(Sheet1[[#This Row],[Salary_USD]]&lt;$V$13,Sheet1[[#This Row],[Salary_USD]]&gt;$V$12),"Outlier","Normal")</f>
        <v>Normal</v>
      </c>
    </row>
    <row r="483" spans="1:19" x14ac:dyDescent="0.25">
      <c r="A483" t="s">
        <v>21</v>
      </c>
      <c r="B483" t="s">
        <v>22</v>
      </c>
      <c r="C483" t="s">
        <v>41</v>
      </c>
      <c r="D483" t="s">
        <v>54</v>
      </c>
      <c r="E483" s="2">
        <v>83548</v>
      </c>
      <c r="F483" s="2">
        <v>667</v>
      </c>
      <c r="G483" t="s">
        <v>67</v>
      </c>
      <c r="H483" t="s">
        <v>451</v>
      </c>
      <c r="I483" t="s">
        <v>81</v>
      </c>
      <c r="J483" t="s">
        <v>98</v>
      </c>
      <c r="K483" t="s">
        <v>123</v>
      </c>
      <c r="L483">
        <v>12</v>
      </c>
      <c r="M483">
        <v>12</v>
      </c>
      <c r="N483" t="s">
        <v>153</v>
      </c>
      <c r="O483" t="s">
        <v>154</v>
      </c>
      <c r="P483" t="s">
        <v>171</v>
      </c>
      <c r="Q483">
        <v>1</v>
      </c>
      <c r="R483" s="9">
        <v>83548</v>
      </c>
      <c r="S483" t="str">
        <f>IF(OR(Sheet1[[#This Row],[Salary_USD]]&lt;$V$13,Sheet1[[#This Row],[Salary_USD]]&gt;$V$12),"Outlier","Normal")</f>
        <v>Normal</v>
      </c>
    </row>
    <row r="484" spans="1:19" x14ac:dyDescent="0.25">
      <c r="A484" t="s">
        <v>20</v>
      </c>
      <c r="B484" t="s">
        <v>23</v>
      </c>
      <c r="C484" t="s">
        <v>37</v>
      </c>
      <c r="D484" t="s">
        <v>54</v>
      </c>
      <c r="E484" s="2">
        <v>74229</v>
      </c>
      <c r="F484" s="2">
        <v>15129</v>
      </c>
      <c r="G484" t="s">
        <v>65</v>
      </c>
      <c r="H484" t="s">
        <v>69</v>
      </c>
      <c r="I484" t="s">
        <v>77</v>
      </c>
      <c r="J484" t="s">
        <v>87</v>
      </c>
      <c r="K484" t="s">
        <v>143</v>
      </c>
      <c r="L484">
        <v>0</v>
      </c>
      <c r="M484">
        <v>0</v>
      </c>
      <c r="N484" t="s">
        <v>153</v>
      </c>
      <c r="O484" t="s">
        <v>155</v>
      </c>
      <c r="P484" t="s">
        <v>167</v>
      </c>
      <c r="Q484">
        <v>0.73</v>
      </c>
      <c r="R484" s="9">
        <v>54187.17</v>
      </c>
      <c r="S484" t="str">
        <f>IF(OR(Sheet1[[#This Row],[Salary_USD]]&lt;$V$13,Sheet1[[#This Row],[Salary_USD]]&gt;$V$12),"Outlier","Normal")</f>
        <v>Normal</v>
      </c>
    </row>
    <row r="485" spans="1:19" x14ac:dyDescent="0.25">
      <c r="A485" t="s">
        <v>21</v>
      </c>
      <c r="B485" t="s">
        <v>35</v>
      </c>
      <c r="C485" t="s">
        <v>42</v>
      </c>
      <c r="D485" t="s">
        <v>57</v>
      </c>
      <c r="E485" s="2">
        <v>16038</v>
      </c>
      <c r="F485" s="2">
        <v>484</v>
      </c>
      <c r="G485" t="s">
        <v>67</v>
      </c>
      <c r="H485" t="s">
        <v>69</v>
      </c>
      <c r="I485" t="s">
        <v>73</v>
      </c>
      <c r="J485" t="s">
        <v>99</v>
      </c>
      <c r="K485" t="s">
        <v>125</v>
      </c>
      <c r="L485">
        <v>18</v>
      </c>
      <c r="M485">
        <v>16</v>
      </c>
      <c r="N485" t="s">
        <v>151</v>
      </c>
      <c r="O485" t="s">
        <v>155</v>
      </c>
      <c r="P485" t="s">
        <v>349</v>
      </c>
      <c r="Q485">
        <v>1</v>
      </c>
      <c r="R485" s="9">
        <v>16038</v>
      </c>
      <c r="S485" t="str">
        <f>IF(OR(Sheet1[[#This Row],[Salary_USD]]&lt;$V$13,Sheet1[[#This Row],[Salary_USD]]&gt;$V$12),"Outlier","Normal")</f>
        <v>Normal</v>
      </c>
    </row>
    <row r="486" spans="1:19" x14ac:dyDescent="0.25">
      <c r="A486" t="s">
        <v>19</v>
      </c>
      <c r="B486" t="s">
        <v>33</v>
      </c>
      <c r="C486" t="s">
        <v>43</v>
      </c>
      <c r="D486" t="s">
        <v>62</v>
      </c>
      <c r="E486" s="2">
        <v>48942</v>
      </c>
      <c r="F486" s="2">
        <v>12207</v>
      </c>
      <c r="G486" t="s">
        <v>65</v>
      </c>
      <c r="H486" t="s">
        <v>451</v>
      </c>
      <c r="I486" t="s">
        <v>76</v>
      </c>
      <c r="J486" t="s">
        <v>100</v>
      </c>
      <c r="K486" t="s">
        <v>132</v>
      </c>
      <c r="L486">
        <v>3</v>
      </c>
      <c r="M486">
        <v>2</v>
      </c>
      <c r="N486" t="s">
        <v>153</v>
      </c>
      <c r="O486" t="s">
        <v>157</v>
      </c>
      <c r="P486" t="s">
        <v>162</v>
      </c>
      <c r="Q486">
        <v>0.73</v>
      </c>
      <c r="R486" s="9">
        <v>35727.659999999996</v>
      </c>
      <c r="S486" t="str">
        <f>IF(OR(Sheet1[[#This Row],[Salary_USD]]&lt;$V$13,Sheet1[[#This Row],[Salary_USD]]&gt;$V$12),"Outlier","Normal")</f>
        <v>Normal</v>
      </c>
    </row>
    <row r="487" spans="1:19" x14ac:dyDescent="0.25">
      <c r="A487" t="s">
        <v>21</v>
      </c>
      <c r="B487" t="s">
        <v>29</v>
      </c>
      <c r="C487" t="s">
        <v>52</v>
      </c>
      <c r="D487" t="s">
        <v>58</v>
      </c>
      <c r="E487" s="2">
        <v>100433</v>
      </c>
      <c r="F487" s="2">
        <v>4693</v>
      </c>
      <c r="G487" t="s">
        <v>64</v>
      </c>
      <c r="H487" t="s">
        <v>71</v>
      </c>
      <c r="I487" t="s">
        <v>81</v>
      </c>
      <c r="J487" t="s">
        <v>98</v>
      </c>
      <c r="K487" t="s">
        <v>123</v>
      </c>
      <c r="L487">
        <v>15</v>
      </c>
      <c r="M487">
        <v>14</v>
      </c>
      <c r="N487" t="s">
        <v>150</v>
      </c>
      <c r="O487" t="s">
        <v>156</v>
      </c>
      <c r="P487" t="s">
        <v>175</v>
      </c>
      <c r="Q487">
        <v>0.65</v>
      </c>
      <c r="R487" s="9">
        <v>65281.450000000004</v>
      </c>
      <c r="S487" t="str">
        <f>IF(OR(Sheet1[[#This Row],[Salary_USD]]&lt;$V$13,Sheet1[[#This Row],[Salary_USD]]&gt;$V$12),"Outlier","Normal")</f>
        <v>Normal</v>
      </c>
    </row>
    <row r="488" spans="1:19" x14ac:dyDescent="0.25">
      <c r="A488" t="s">
        <v>20</v>
      </c>
      <c r="B488" t="s">
        <v>34</v>
      </c>
      <c r="C488" t="s">
        <v>46</v>
      </c>
      <c r="D488" t="s">
        <v>61</v>
      </c>
      <c r="E488" s="2">
        <v>48938</v>
      </c>
      <c r="F488" s="2">
        <v>186</v>
      </c>
      <c r="G488" t="s">
        <v>63</v>
      </c>
      <c r="H488" t="s">
        <v>69</v>
      </c>
      <c r="I488" t="s">
        <v>78</v>
      </c>
      <c r="J488" t="s">
        <v>109</v>
      </c>
      <c r="K488" t="s">
        <v>137</v>
      </c>
      <c r="L488">
        <v>3</v>
      </c>
      <c r="M488">
        <v>1</v>
      </c>
      <c r="N488" t="s">
        <v>152</v>
      </c>
      <c r="O488" t="s">
        <v>154</v>
      </c>
      <c r="P488" t="s">
        <v>165</v>
      </c>
      <c r="Q488">
        <v>1.1000000000000001</v>
      </c>
      <c r="R488" s="9">
        <v>53831.8</v>
      </c>
      <c r="S488" t="str">
        <f>IF(OR(Sheet1[[#This Row],[Salary_USD]]&lt;$V$13,Sheet1[[#This Row],[Salary_USD]]&gt;$V$12),"Outlier","Normal")</f>
        <v>Normal</v>
      </c>
    </row>
    <row r="489" spans="1:19" x14ac:dyDescent="0.25">
      <c r="A489" t="s">
        <v>20</v>
      </c>
      <c r="B489" t="s">
        <v>31</v>
      </c>
      <c r="C489" t="s">
        <v>45</v>
      </c>
      <c r="D489" t="s">
        <v>56</v>
      </c>
      <c r="E489" s="2">
        <v>101964</v>
      </c>
      <c r="F489" s="2">
        <v>1750</v>
      </c>
      <c r="G489" t="s">
        <v>63</v>
      </c>
      <c r="H489" t="s">
        <v>69</v>
      </c>
      <c r="I489" t="s">
        <v>75</v>
      </c>
      <c r="J489" t="s">
        <v>96</v>
      </c>
      <c r="K489" t="s">
        <v>121</v>
      </c>
      <c r="L489">
        <v>0</v>
      </c>
      <c r="M489">
        <v>0</v>
      </c>
      <c r="N489" t="s">
        <v>151</v>
      </c>
      <c r="O489" t="s">
        <v>156</v>
      </c>
      <c r="P489" t="s">
        <v>170</v>
      </c>
      <c r="Q489">
        <v>1.1000000000000001</v>
      </c>
      <c r="R489" s="9">
        <v>112160.40000000001</v>
      </c>
      <c r="S489" t="str">
        <f>IF(OR(Sheet1[[#This Row],[Salary_USD]]&lt;$V$13,Sheet1[[#This Row],[Salary_USD]]&gt;$V$12),"Outlier","Normal")</f>
        <v>Normal</v>
      </c>
    </row>
    <row r="490" spans="1:19" x14ac:dyDescent="0.25">
      <c r="A490" t="s">
        <v>19</v>
      </c>
      <c r="B490" t="s">
        <v>22</v>
      </c>
      <c r="C490" t="s">
        <v>52</v>
      </c>
      <c r="D490" t="s">
        <v>61</v>
      </c>
      <c r="E490" s="2">
        <v>1005306</v>
      </c>
      <c r="F490" s="2">
        <v>29098</v>
      </c>
      <c r="G490" t="s">
        <v>66</v>
      </c>
      <c r="H490" t="s">
        <v>69</v>
      </c>
      <c r="I490" t="s">
        <v>79</v>
      </c>
      <c r="J490" t="s">
        <v>107</v>
      </c>
      <c r="K490" t="s">
        <v>134</v>
      </c>
      <c r="L490">
        <v>3</v>
      </c>
      <c r="M490">
        <v>3</v>
      </c>
      <c r="N490" t="s">
        <v>149</v>
      </c>
      <c r="O490" t="s">
        <v>156</v>
      </c>
      <c r="P490" t="s">
        <v>181</v>
      </c>
      <c r="Q490">
        <v>1.2E-2</v>
      </c>
      <c r="R490" s="9">
        <v>12063.672</v>
      </c>
      <c r="S490" t="str">
        <f>IF(OR(Sheet1[[#This Row],[Salary_USD]]&lt;$V$13,Sheet1[[#This Row],[Salary_USD]]&gt;$V$12),"Outlier","Normal")</f>
        <v>Normal</v>
      </c>
    </row>
    <row r="491" spans="1:19" x14ac:dyDescent="0.25">
      <c r="A491" t="s">
        <v>17</v>
      </c>
      <c r="B491" t="s">
        <v>33</v>
      </c>
      <c r="C491" t="s">
        <v>37</v>
      </c>
      <c r="D491" t="s">
        <v>451</v>
      </c>
      <c r="E491" s="2">
        <v>56980</v>
      </c>
      <c r="F491" s="2">
        <v>4255</v>
      </c>
      <c r="G491" t="s">
        <v>67</v>
      </c>
      <c r="H491" t="s">
        <v>451</v>
      </c>
      <c r="I491" t="s">
        <v>81</v>
      </c>
      <c r="J491" t="s">
        <v>94</v>
      </c>
      <c r="K491" t="s">
        <v>129</v>
      </c>
      <c r="L491">
        <v>20</v>
      </c>
      <c r="M491">
        <v>20</v>
      </c>
      <c r="N491" t="s">
        <v>153</v>
      </c>
      <c r="O491" t="s">
        <v>155</v>
      </c>
      <c r="P491" t="s">
        <v>350</v>
      </c>
      <c r="Q491">
        <v>1</v>
      </c>
      <c r="R491" s="9">
        <v>56980</v>
      </c>
      <c r="S491" t="str">
        <f>IF(OR(Sheet1[[#This Row],[Salary_USD]]&lt;$V$13,Sheet1[[#This Row],[Salary_USD]]&gt;$V$12),"Outlier","Normal")</f>
        <v>Normal</v>
      </c>
    </row>
    <row r="492" spans="1:19" x14ac:dyDescent="0.25">
      <c r="A492" t="s">
        <v>19</v>
      </c>
      <c r="B492" t="s">
        <v>31</v>
      </c>
      <c r="C492" t="s">
        <v>42</v>
      </c>
      <c r="D492" t="s">
        <v>58</v>
      </c>
      <c r="E492" s="2">
        <v>66028</v>
      </c>
      <c r="F492" s="2">
        <v>1198</v>
      </c>
      <c r="G492" t="s">
        <v>65</v>
      </c>
      <c r="H492" t="s">
        <v>451</v>
      </c>
      <c r="I492" t="s">
        <v>76</v>
      </c>
      <c r="J492" t="s">
        <v>92</v>
      </c>
      <c r="K492" t="s">
        <v>119</v>
      </c>
      <c r="L492">
        <v>7</v>
      </c>
      <c r="M492">
        <v>7</v>
      </c>
      <c r="N492" t="s">
        <v>153</v>
      </c>
      <c r="O492" t="s">
        <v>155</v>
      </c>
      <c r="P492" t="s">
        <v>171</v>
      </c>
      <c r="Q492">
        <v>0.73</v>
      </c>
      <c r="R492" s="9">
        <v>48200.44</v>
      </c>
      <c r="S492" t="str">
        <f>IF(OR(Sheet1[[#This Row],[Salary_USD]]&lt;$V$13,Sheet1[[#This Row],[Salary_USD]]&gt;$V$12),"Outlier","Normal")</f>
        <v>Normal</v>
      </c>
    </row>
    <row r="493" spans="1:19" x14ac:dyDescent="0.25">
      <c r="A493" t="s">
        <v>20</v>
      </c>
      <c r="B493" t="s">
        <v>35</v>
      </c>
      <c r="C493" t="s">
        <v>37</v>
      </c>
      <c r="D493" t="s">
        <v>61</v>
      </c>
      <c r="E493" s="2">
        <v>53077</v>
      </c>
      <c r="F493" s="2">
        <v>356</v>
      </c>
      <c r="G493" t="s">
        <v>63</v>
      </c>
      <c r="H493" t="s">
        <v>56</v>
      </c>
      <c r="I493" t="s">
        <v>76</v>
      </c>
      <c r="J493" t="s">
        <v>92</v>
      </c>
      <c r="K493" t="s">
        <v>119</v>
      </c>
      <c r="L493">
        <v>4</v>
      </c>
      <c r="M493">
        <v>2</v>
      </c>
      <c r="N493" t="s">
        <v>151</v>
      </c>
      <c r="O493" t="s">
        <v>154</v>
      </c>
      <c r="P493" t="s">
        <v>337</v>
      </c>
      <c r="Q493">
        <v>1.1000000000000001</v>
      </c>
      <c r="R493" s="9">
        <v>58384.700000000004</v>
      </c>
      <c r="S493" t="str">
        <f>IF(OR(Sheet1[[#This Row],[Salary_USD]]&lt;$V$13,Sheet1[[#This Row],[Salary_USD]]&gt;$V$12),"Outlier","Normal")</f>
        <v>Normal</v>
      </c>
    </row>
    <row r="494" spans="1:19" x14ac:dyDescent="0.25">
      <c r="A494" t="s">
        <v>20</v>
      </c>
      <c r="B494" t="s">
        <v>23</v>
      </c>
      <c r="C494" t="s">
        <v>37</v>
      </c>
      <c r="D494" t="s">
        <v>60</v>
      </c>
      <c r="E494" s="2">
        <v>95561</v>
      </c>
      <c r="F494" s="2">
        <v>3935</v>
      </c>
      <c r="G494" t="s">
        <v>64</v>
      </c>
      <c r="H494" t="s">
        <v>70</v>
      </c>
      <c r="I494" t="s">
        <v>73</v>
      </c>
      <c r="J494" t="s">
        <v>102</v>
      </c>
      <c r="K494" t="s">
        <v>102</v>
      </c>
      <c r="L494">
        <v>6</v>
      </c>
      <c r="M494">
        <v>3</v>
      </c>
      <c r="N494" t="s">
        <v>151</v>
      </c>
      <c r="O494" t="s">
        <v>155</v>
      </c>
      <c r="P494" t="s">
        <v>165</v>
      </c>
      <c r="Q494">
        <v>0.65</v>
      </c>
      <c r="R494" s="9">
        <v>62114.65</v>
      </c>
      <c r="S494" t="str">
        <f>IF(OR(Sheet1[[#This Row],[Salary_USD]]&lt;$V$13,Sheet1[[#This Row],[Salary_USD]]&gt;$V$12),"Outlier","Normal")</f>
        <v>Normal</v>
      </c>
    </row>
    <row r="495" spans="1:19" x14ac:dyDescent="0.25">
      <c r="A495" t="s">
        <v>20</v>
      </c>
      <c r="B495" t="s">
        <v>451</v>
      </c>
      <c r="C495" t="s">
        <v>451</v>
      </c>
      <c r="D495" t="s">
        <v>57</v>
      </c>
      <c r="E495" s="2">
        <v>0</v>
      </c>
      <c r="F495" s="2">
        <v>0</v>
      </c>
      <c r="G495" t="s">
        <v>64</v>
      </c>
      <c r="H495" t="s">
        <v>56</v>
      </c>
      <c r="I495" t="s">
        <v>73</v>
      </c>
      <c r="J495" t="s">
        <v>83</v>
      </c>
      <c r="K495" t="s">
        <v>451</v>
      </c>
      <c r="L495">
        <v>0</v>
      </c>
      <c r="M495">
        <v>1</v>
      </c>
      <c r="N495" t="s">
        <v>151</v>
      </c>
      <c r="O495" t="s">
        <v>452</v>
      </c>
      <c r="P495" t="s">
        <v>351</v>
      </c>
      <c r="Q495">
        <v>0.65</v>
      </c>
      <c r="R495" s="9">
        <v>0</v>
      </c>
      <c r="S495" t="str">
        <f>IF(OR(Sheet1[[#This Row],[Salary_USD]]&lt;$V$13,Sheet1[[#This Row],[Salary_USD]]&gt;$V$12),"Outlier","Normal")</f>
        <v>Normal</v>
      </c>
    </row>
    <row r="496" spans="1:19" x14ac:dyDescent="0.25">
      <c r="A496" t="s">
        <v>21</v>
      </c>
      <c r="B496" t="s">
        <v>26</v>
      </c>
      <c r="C496" t="s">
        <v>47</v>
      </c>
      <c r="D496" t="s">
        <v>451</v>
      </c>
      <c r="E496" s="2">
        <v>56285</v>
      </c>
      <c r="F496" s="2">
        <v>2848</v>
      </c>
      <c r="G496" t="s">
        <v>65</v>
      </c>
      <c r="H496" t="s">
        <v>71</v>
      </c>
      <c r="I496" t="s">
        <v>81</v>
      </c>
      <c r="J496" t="s">
        <v>98</v>
      </c>
      <c r="K496" t="s">
        <v>123</v>
      </c>
      <c r="L496">
        <v>25</v>
      </c>
      <c r="M496">
        <v>25</v>
      </c>
      <c r="N496" t="s">
        <v>148</v>
      </c>
      <c r="O496" t="s">
        <v>157</v>
      </c>
      <c r="P496" t="s">
        <v>259</v>
      </c>
      <c r="Q496">
        <v>0.73</v>
      </c>
      <c r="R496" s="9">
        <v>41088.049999999996</v>
      </c>
      <c r="S496" t="str">
        <f>IF(OR(Sheet1[[#This Row],[Salary_USD]]&lt;$V$13,Sheet1[[#This Row],[Salary_USD]]&gt;$V$12),"Outlier","Normal")</f>
        <v>Normal</v>
      </c>
    </row>
    <row r="497" spans="1:19" x14ac:dyDescent="0.25">
      <c r="A497" t="s">
        <v>20</v>
      </c>
      <c r="B497" t="s">
        <v>35</v>
      </c>
      <c r="C497" t="s">
        <v>49</v>
      </c>
      <c r="D497" t="s">
        <v>58</v>
      </c>
      <c r="E497" s="2">
        <v>15171</v>
      </c>
      <c r="F497" s="2">
        <v>598</v>
      </c>
      <c r="G497" t="s">
        <v>68</v>
      </c>
      <c r="H497" t="s">
        <v>451</v>
      </c>
      <c r="I497" t="s">
        <v>81</v>
      </c>
      <c r="J497" t="s">
        <v>98</v>
      </c>
      <c r="K497" t="s">
        <v>123</v>
      </c>
      <c r="L497">
        <v>4</v>
      </c>
      <c r="M497">
        <v>4</v>
      </c>
      <c r="N497" t="s">
        <v>152</v>
      </c>
      <c r="O497" t="s">
        <v>157</v>
      </c>
      <c r="P497" t="s">
        <v>171</v>
      </c>
      <c r="Q497">
        <v>1.25</v>
      </c>
      <c r="R497" s="9">
        <v>18963.75</v>
      </c>
      <c r="S497" t="str">
        <f>IF(OR(Sheet1[[#This Row],[Salary_USD]]&lt;$V$13,Sheet1[[#This Row],[Salary_USD]]&gt;$V$12),"Outlier","Normal")</f>
        <v>Normal</v>
      </c>
    </row>
    <row r="498" spans="1:19" x14ac:dyDescent="0.25">
      <c r="A498" t="s">
        <v>20</v>
      </c>
      <c r="B498" t="s">
        <v>451</v>
      </c>
      <c r="C498" t="s">
        <v>451</v>
      </c>
      <c r="D498" t="s">
        <v>57</v>
      </c>
      <c r="E498" s="2">
        <v>0</v>
      </c>
      <c r="F498" s="2">
        <v>0</v>
      </c>
      <c r="G498" t="s">
        <v>63</v>
      </c>
      <c r="H498" t="s">
        <v>56</v>
      </c>
      <c r="I498" t="s">
        <v>72</v>
      </c>
      <c r="J498" t="s">
        <v>82</v>
      </c>
      <c r="K498" t="s">
        <v>451</v>
      </c>
      <c r="L498">
        <v>0</v>
      </c>
      <c r="M498">
        <v>4</v>
      </c>
      <c r="N498" t="s">
        <v>148</v>
      </c>
      <c r="O498" t="s">
        <v>452</v>
      </c>
      <c r="P498" t="s">
        <v>167</v>
      </c>
      <c r="Q498">
        <v>1.1000000000000001</v>
      </c>
      <c r="R498" s="9">
        <v>0</v>
      </c>
      <c r="S498" t="str">
        <f>IF(OR(Sheet1[[#This Row],[Salary_USD]]&lt;$V$13,Sheet1[[#This Row],[Salary_USD]]&gt;$V$12),"Outlier","Normal")</f>
        <v>Normal</v>
      </c>
    </row>
    <row r="499" spans="1:19" x14ac:dyDescent="0.25">
      <c r="A499" t="s">
        <v>19</v>
      </c>
      <c r="B499" t="s">
        <v>29</v>
      </c>
      <c r="C499" t="s">
        <v>41</v>
      </c>
      <c r="D499" t="s">
        <v>56</v>
      </c>
      <c r="E499" s="2">
        <v>58236</v>
      </c>
      <c r="F499" s="2">
        <v>654</v>
      </c>
      <c r="G499" t="s">
        <v>63</v>
      </c>
      <c r="H499" t="s">
        <v>71</v>
      </c>
      <c r="I499" t="s">
        <v>81</v>
      </c>
      <c r="J499" t="s">
        <v>98</v>
      </c>
      <c r="K499" t="s">
        <v>123</v>
      </c>
      <c r="L499">
        <v>2</v>
      </c>
      <c r="M499">
        <v>2</v>
      </c>
      <c r="N499" t="s">
        <v>148</v>
      </c>
      <c r="O499" t="s">
        <v>157</v>
      </c>
      <c r="P499" t="s">
        <v>173</v>
      </c>
      <c r="Q499">
        <v>1.1000000000000001</v>
      </c>
      <c r="R499" s="9">
        <v>64059.600000000006</v>
      </c>
      <c r="S499" t="str">
        <f>IF(OR(Sheet1[[#This Row],[Salary_USD]]&lt;$V$13,Sheet1[[#This Row],[Salary_USD]]&gt;$V$12),"Outlier","Normal")</f>
        <v>Normal</v>
      </c>
    </row>
    <row r="500" spans="1:19" x14ac:dyDescent="0.25">
      <c r="A500" t="s">
        <v>19</v>
      </c>
      <c r="B500" t="s">
        <v>28</v>
      </c>
      <c r="C500" t="s">
        <v>41</v>
      </c>
      <c r="D500" t="s">
        <v>54</v>
      </c>
      <c r="E500" s="2">
        <v>28605</v>
      </c>
      <c r="F500" s="2">
        <v>0</v>
      </c>
      <c r="G500" t="s">
        <v>65</v>
      </c>
      <c r="H500" t="s">
        <v>71</v>
      </c>
      <c r="I500" t="s">
        <v>80</v>
      </c>
      <c r="J500" t="s">
        <v>106</v>
      </c>
      <c r="K500" t="s">
        <v>106</v>
      </c>
      <c r="L500">
        <v>5</v>
      </c>
      <c r="M500">
        <v>5</v>
      </c>
      <c r="N500" t="s">
        <v>153</v>
      </c>
      <c r="O500" t="s">
        <v>157</v>
      </c>
      <c r="P500" t="s">
        <v>244</v>
      </c>
      <c r="Q500">
        <v>0.73</v>
      </c>
      <c r="R500" s="9">
        <v>20881.649999999998</v>
      </c>
      <c r="S500" t="str">
        <f>IF(OR(Sheet1[[#This Row],[Salary_USD]]&lt;$V$13,Sheet1[[#This Row],[Salary_USD]]&gt;$V$12),"Outlier","Normal")</f>
        <v>Normal</v>
      </c>
    </row>
    <row r="501" spans="1:19" x14ac:dyDescent="0.25">
      <c r="A501" t="s">
        <v>20</v>
      </c>
      <c r="B501" t="s">
        <v>24</v>
      </c>
      <c r="C501" t="s">
        <v>43</v>
      </c>
      <c r="D501" t="s">
        <v>59</v>
      </c>
      <c r="E501" s="2">
        <v>56093</v>
      </c>
      <c r="F501" s="2">
        <v>255</v>
      </c>
      <c r="G501" t="s">
        <v>65</v>
      </c>
      <c r="H501" t="s">
        <v>56</v>
      </c>
      <c r="I501" t="s">
        <v>80</v>
      </c>
      <c r="J501" t="s">
        <v>106</v>
      </c>
      <c r="K501" t="s">
        <v>106</v>
      </c>
      <c r="L501">
        <v>2</v>
      </c>
      <c r="M501">
        <v>2</v>
      </c>
      <c r="N501" t="s">
        <v>148</v>
      </c>
      <c r="O501" t="s">
        <v>157</v>
      </c>
      <c r="P501" t="s">
        <v>162</v>
      </c>
      <c r="Q501">
        <v>0.73</v>
      </c>
      <c r="R501" s="9">
        <v>40947.89</v>
      </c>
      <c r="S501" t="str">
        <f>IF(OR(Sheet1[[#This Row],[Salary_USD]]&lt;$V$13,Sheet1[[#This Row],[Salary_USD]]&gt;$V$12),"Outlier","Normal")</f>
        <v>Normal</v>
      </c>
    </row>
    <row r="502" spans="1:19" x14ac:dyDescent="0.25">
      <c r="A502" t="s">
        <v>21</v>
      </c>
      <c r="B502" t="s">
        <v>31</v>
      </c>
      <c r="C502" t="s">
        <v>48</v>
      </c>
      <c r="D502" t="s">
        <v>54</v>
      </c>
      <c r="E502" s="2">
        <v>679558</v>
      </c>
      <c r="F502" s="2">
        <v>0</v>
      </c>
      <c r="G502" t="s">
        <v>66</v>
      </c>
      <c r="H502" t="s">
        <v>451</v>
      </c>
      <c r="I502" t="s">
        <v>80</v>
      </c>
      <c r="J502" t="s">
        <v>106</v>
      </c>
      <c r="K502" t="s">
        <v>106</v>
      </c>
      <c r="L502">
        <v>20</v>
      </c>
      <c r="M502">
        <v>20</v>
      </c>
      <c r="N502" t="s">
        <v>151</v>
      </c>
      <c r="O502" t="s">
        <v>156</v>
      </c>
      <c r="P502" t="s">
        <v>352</v>
      </c>
      <c r="Q502">
        <v>1.2E-2</v>
      </c>
      <c r="R502" s="9">
        <v>8154.6959999999999</v>
      </c>
      <c r="S502" t="str">
        <f>IF(OR(Sheet1[[#This Row],[Salary_USD]]&lt;$V$13,Sheet1[[#This Row],[Salary_USD]]&gt;$V$12),"Outlier","Normal")</f>
        <v>Normal</v>
      </c>
    </row>
    <row r="503" spans="1:19" x14ac:dyDescent="0.25">
      <c r="A503" t="s">
        <v>19</v>
      </c>
      <c r="B503" t="s">
        <v>33</v>
      </c>
      <c r="C503" t="s">
        <v>44</v>
      </c>
      <c r="D503" t="s">
        <v>58</v>
      </c>
      <c r="E503" s="2">
        <v>85374</v>
      </c>
      <c r="F503" s="2">
        <v>12303</v>
      </c>
      <c r="G503" t="s">
        <v>67</v>
      </c>
      <c r="H503" t="s">
        <v>71</v>
      </c>
      <c r="I503" t="s">
        <v>74</v>
      </c>
      <c r="J503" t="s">
        <v>84</v>
      </c>
      <c r="K503" t="s">
        <v>74</v>
      </c>
      <c r="L503">
        <v>20</v>
      </c>
      <c r="M503">
        <v>17</v>
      </c>
      <c r="N503" t="s">
        <v>148</v>
      </c>
      <c r="O503" t="s">
        <v>155</v>
      </c>
      <c r="P503" t="s">
        <v>353</v>
      </c>
      <c r="Q503">
        <v>1</v>
      </c>
      <c r="R503" s="9">
        <v>85374</v>
      </c>
      <c r="S503" t="str">
        <f>IF(OR(Sheet1[[#This Row],[Salary_USD]]&lt;$V$13,Sheet1[[#This Row],[Salary_USD]]&gt;$V$12),"Outlier","Normal")</f>
        <v>Normal</v>
      </c>
    </row>
    <row r="504" spans="1:19" x14ac:dyDescent="0.25">
      <c r="A504" t="s">
        <v>19</v>
      </c>
      <c r="B504" t="s">
        <v>32</v>
      </c>
      <c r="C504" t="s">
        <v>39</v>
      </c>
      <c r="D504" t="s">
        <v>62</v>
      </c>
      <c r="E504" s="2">
        <v>141903</v>
      </c>
      <c r="F504" s="2">
        <v>761</v>
      </c>
      <c r="G504" t="s">
        <v>64</v>
      </c>
      <c r="H504" t="s">
        <v>451</v>
      </c>
      <c r="I504" t="s">
        <v>73</v>
      </c>
      <c r="J504" t="s">
        <v>102</v>
      </c>
      <c r="K504" t="s">
        <v>102</v>
      </c>
      <c r="L504">
        <v>18</v>
      </c>
      <c r="M504">
        <v>18</v>
      </c>
      <c r="N504" t="s">
        <v>152</v>
      </c>
      <c r="O504" t="s">
        <v>156</v>
      </c>
      <c r="P504" t="s">
        <v>354</v>
      </c>
      <c r="Q504">
        <v>0.65</v>
      </c>
      <c r="R504" s="9">
        <v>92236.95</v>
      </c>
      <c r="S504" t="str">
        <f>IF(OR(Sheet1[[#This Row],[Salary_USD]]&lt;$V$13,Sheet1[[#This Row],[Salary_USD]]&gt;$V$12),"Outlier","Normal")</f>
        <v>Normal</v>
      </c>
    </row>
    <row r="505" spans="1:19" x14ac:dyDescent="0.25">
      <c r="A505" t="s">
        <v>20</v>
      </c>
      <c r="B505" t="s">
        <v>35</v>
      </c>
      <c r="C505" t="s">
        <v>48</v>
      </c>
      <c r="D505" t="s">
        <v>58</v>
      </c>
      <c r="E505" s="2">
        <v>152046</v>
      </c>
      <c r="F505" s="2">
        <v>3394</v>
      </c>
      <c r="G505" t="s">
        <v>67</v>
      </c>
      <c r="H505" t="s">
        <v>70</v>
      </c>
      <c r="I505" t="s">
        <v>78</v>
      </c>
      <c r="J505" t="s">
        <v>88</v>
      </c>
      <c r="K505" t="s">
        <v>128</v>
      </c>
      <c r="L505">
        <v>0</v>
      </c>
      <c r="M505">
        <v>0</v>
      </c>
      <c r="N505" t="s">
        <v>152</v>
      </c>
      <c r="O505" t="s">
        <v>155</v>
      </c>
      <c r="P505" t="s">
        <v>355</v>
      </c>
      <c r="Q505">
        <v>1</v>
      </c>
      <c r="R505" s="9">
        <v>152046</v>
      </c>
      <c r="S505" t="str">
        <f>IF(OR(Sheet1[[#This Row],[Salary_USD]]&lt;$V$13,Sheet1[[#This Row],[Salary_USD]]&gt;$V$12),"Outlier","Normal")</f>
        <v>Normal</v>
      </c>
    </row>
    <row r="506" spans="1:19" x14ac:dyDescent="0.25">
      <c r="A506" t="s">
        <v>17</v>
      </c>
      <c r="B506" t="s">
        <v>28</v>
      </c>
      <c r="C506" t="s">
        <v>37</v>
      </c>
      <c r="D506" t="s">
        <v>55</v>
      </c>
      <c r="E506" s="2">
        <v>69295</v>
      </c>
      <c r="F506" s="2">
        <v>574</v>
      </c>
      <c r="G506" t="s">
        <v>67</v>
      </c>
      <c r="H506" t="s">
        <v>451</v>
      </c>
      <c r="I506" t="s">
        <v>72</v>
      </c>
      <c r="J506" t="s">
        <v>82</v>
      </c>
      <c r="K506" t="s">
        <v>112</v>
      </c>
      <c r="L506">
        <v>18</v>
      </c>
      <c r="M506">
        <v>18</v>
      </c>
      <c r="N506" t="s">
        <v>150</v>
      </c>
      <c r="O506" t="s">
        <v>156</v>
      </c>
      <c r="P506" t="s">
        <v>249</v>
      </c>
      <c r="Q506">
        <v>1</v>
      </c>
      <c r="R506" s="9">
        <v>69295</v>
      </c>
      <c r="S506" t="str">
        <f>IF(OR(Sheet1[[#This Row],[Salary_USD]]&lt;$V$13,Sheet1[[#This Row],[Salary_USD]]&gt;$V$12),"Outlier","Normal")</f>
        <v>Normal</v>
      </c>
    </row>
    <row r="507" spans="1:19" x14ac:dyDescent="0.25">
      <c r="A507" t="s">
        <v>19</v>
      </c>
      <c r="B507" t="s">
        <v>24</v>
      </c>
      <c r="C507" t="s">
        <v>44</v>
      </c>
      <c r="D507" t="s">
        <v>451</v>
      </c>
      <c r="E507" s="2">
        <v>51052</v>
      </c>
      <c r="F507" s="2">
        <v>489</v>
      </c>
      <c r="G507" t="s">
        <v>65</v>
      </c>
      <c r="H507" t="s">
        <v>69</v>
      </c>
      <c r="I507" t="s">
        <v>80</v>
      </c>
      <c r="J507" t="s">
        <v>93</v>
      </c>
      <c r="K507" t="s">
        <v>93</v>
      </c>
      <c r="L507">
        <v>3</v>
      </c>
      <c r="M507">
        <v>1</v>
      </c>
      <c r="N507" t="s">
        <v>151</v>
      </c>
      <c r="O507" t="s">
        <v>155</v>
      </c>
      <c r="P507" t="s">
        <v>190</v>
      </c>
      <c r="Q507">
        <v>0.73</v>
      </c>
      <c r="R507" s="9">
        <v>37267.96</v>
      </c>
      <c r="S507" t="str">
        <f>IF(OR(Sheet1[[#This Row],[Salary_USD]]&lt;$V$13,Sheet1[[#This Row],[Salary_USD]]&gt;$V$12),"Outlier","Normal")</f>
        <v>Normal</v>
      </c>
    </row>
    <row r="508" spans="1:19" x14ac:dyDescent="0.25">
      <c r="A508" t="s">
        <v>19</v>
      </c>
      <c r="B508" t="s">
        <v>451</v>
      </c>
      <c r="C508" t="s">
        <v>451</v>
      </c>
      <c r="D508" t="s">
        <v>60</v>
      </c>
      <c r="E508" s="2">
        <v>0</v>
      </c>
      <c r="F508" s="2">
        <v>1818</v>
      </c>
      <c r="G508" t="s">
        <v>67</v>
      </c>
      <c r="H508" t="s">
        <v>70</v>
      </c>
      <c r="I508" t="s">
        <v>77</v>
      </c>
      <c r="J508" t="s">
        <v>89</v>
      </c>
      <c r="K508" t="s">
        <v>451</v>
      </c>
      <c r="L508">
        <v>0</v>
      </c>
      <c r="M508">
        <v>7</v>
      </c>
      <c r="N508" t="s">
        <v>152</v>
      </c>
      <c r="O508" t="s">
        <v>452</v>
      </c>
      <c r="P508" t="s">
        <v>354</v>
      </c>
      <c r="Q508">
        <v>1</v>
      </c>
      <c r="R508" s="9">
        <v>0</v>
      </c>
      <c r="S508" t="str">
        <f>IF(OR(Sheet1[[#This Row],[Salary_USD]]&lt;$V$13,Sheet1[[#This Row],[Salary_USD]]&gt;$V$12),"Outlier","Normal")</f>
        <v>Normal</v>
      </c>
    </row>
    <row r="509" spans="1:19" x14ac:dyDescent="0.25">
      <c r="A509" t="s">
        <v>21</v>
      </c>
      <c r="B509" t="s">
        <v>24</v>
      </c>
      <c r="C509" t="s">
        <v>42</v>
      </c>
      <c r="D509" t="s">
        <v>59</v>
      </c>
      <c r="E509" s="2">
        <v>88574</v>
      </c>
      <c r="F509" s="2">
        <v>2588</v>
      </c>
      <c r="G509" t="s">
        <v>68</v>
      </c>
      <c r="H509" t="s">
        <v>56</v>
      </c>
      <c r="I509" t="s">
        <v>76</v>
      </c>
      <c r="J509" t="s">
        <v>92</v>
      </c>
      <c r="K509" t="s">
        <v>119</v>
      </c>
      <c r="L509">
        <v>8</v>
      </c>
      <c r="M509">
        <v>8</v>
      </c>
      <c r="N509" t="s">
        <v>152</v>
      </c>
      <c r="O509" t="s">
        <v>155</v>
      </c>
      <c r="P509" t="s">
        <v>212</v>
      </c>
      <c r="Q509">
        <v>1.25</v>
      </c>
      <c r="R509" s="9">
        <v>110717.5</v>
      </c>
      <c r="S509" t="str">
        <f>IF(OR(Sheet1[[#This Row],[Salary_USD]]&lt;$V$13,Sheet1[[#This Row],[Salary_USD]]&gt;$V$12),"Outlier","Normal")</f>
        <v>Normal</v>
      </c>
    </row>
    <row r="510" spans="1:19" x14ac:dyDescent="0.25">
      <c r="A510" t="s">
        <v>19</v>
      </c>
      <c r="B510" t="s">
        <v>22</v>
      </c>
      <c r="C510" t="s">
        <v>50</v>
      </c>
      <c r="D510" t="s">
        <v>58</v>
      </c>
      <c r="E510" s="2">
        <v>44183</v>
      </c>
      <c r="F510" s="2">
        <v>3250</v>
      </c>
      <c r="G510" t="s">
        <v>66</v>
      </c>
      <c r="H510" t="s">
        <v>56</v>
      </c>
      <c r="I510" t="s">
        <v>72</v>
      </c>
      <c r="J510" t="s">
        <v>82</v>
      </c>
      <c r="K510" t="s">
        <v>112</v>
      </c>
      <c r="L510">
        <v>9</v>
      </c>
      <c r="M510">
        <v>6</v>
      </c>
      <c r="N510" t="s">
        <v>152</v>
      </c>
      <c r="O510" t="s">
        <v>154</v>
      </c>
      <c r="P510" t="s">
        <v>348</v>
      </c>
      <c r="Q510">
        <v>1.2E-2</v>
      </c>
      <c r="R510" s="9">
        <v>530.19600000000003</v>
      </c>
      <c r="S510" t="str">
        <f>IF(OR(Sheet1[[#This Row],[Salary_USD]]&lt;$V$13,Sheet1[[#This Row],[Salary_USD]]&gt;$V$12),"Outlier","Normal")</f>
        <v>Normal</v>
      </c>
    </row>
    <row r="511" spans="1:19" x14ac:dyDescent="0.25">
      <c r="A511" t="s">
        <v>20</v>
      </c>
      <c r="B511" t="s">
        <v>23</v>
      </c>
      <c r="C511" t="s">
        <v>45</v>
      </c>
      <c r="D511" t="s">
        <v>59</v>
      </c>
      <c r="E511" s="2">
        <v>73755</v>
      </c>
      <c r="F511" s="2">
        <v>0</v>
      </c>
      <c r="G511" t="s">
        <v>64</v>
      </c>
      <c r="H511" t="s">
        <v>70</v>
      </c>
      <c r="I511" t="s">
        <v>79</v>
      </c>
      <c r="J511" t="s">
        <v>91</v>
      </c>
      <c r="K511" t="s">
        <v>118</v>
      </c>
      <c r="L511">
        <v>7</v>
      </c>
      <c r="M511">
        <v>4</v>
      </c>
      <c r="N511" t="s">
        <v>150</v>
      </c>
      <c r="O511" t="s">
        <v>157</v>
      </c>
      <c r="P511" t="s">
        <v>356</v>
      </c>
      <c r="Q511">
        <v>0.65</v>
      </c>
      <c r="R511" s="9">
        <v>47940.75</v>
      </c>
      <c r="S511" t="str">
        <f>IF(OR(Sheet1[[#This Row],[Salary_USD]]&lt;$V$13,Sheet1[[#This Row],[Salary_USD]]&gt;$V$12),"Outlier","Normal")</f>
        <v>Normal</v>
      </c>
    </row>
    <row r="512" spans="1:19" x14ac:dyDescent="0.25">
      <c r="A512" t="s">
        <v>20</v>
      </c>
      <c r="B512" t="s">
        <v>26</v>
      </c>
      <c r="C512" t="s">
        <v>44</v>
      </c>
      <c r="D512" t="s">
        <v>57</v>
      </c>
      <c r="E512" s="2">
        <v>63769</v>
      </c>
      <c r="F512" s="2">
        <v>3443</v>
      </c>
      <c r="G512" t="s">
        <v>64</v>
      </c>
      <c r="H512" t="s">
        <v>451</v>
      </c>
      <c r="I512" t="s">
        <v>81</v>
      </c>
      <c r="J512" t="s">
        <v>94</v>
      </c>
      <c r="K512" t="s">
        <v>129</v>
      </c>
      <c r="L512">
        <v>4</v>
      </c>
      <c r="M512">
        <v>3</v>
      </c>
      <c r="N512" t="s">
        <v>151</v>
      </c>
      <c r="O512" t="s">
        <v>157</v>
      </c>
      <c r="P512" t="s">
        <v>250</v>
      </c>
      <c r="Q512">
        <v>0.65</v>
      </c>
      <c r="R512" s="9">
        <v>41449.85</v>
      </c>
      <c r="S512" t="str">
        <f>IF(OR(Sheet1[[#This Row],[Salary_USD]]&lt;$V$13,Sheet1[[#This Row],[Salary_USD]]&gt;$V$12),"Outlier","Normal")</f>
        <v>Normal</v>
      </c>
    </row>
    <row r="513" spans="1:19" x14ac:dyDescent="0.25">
      <c r="A513" t="s">
        <v>19</v>
      </c>
      <c r="B513" t="s">
        <v>24</v>
      </c>
      <c r="C513" t="s">
        <v>41</v>
      </c>
      <c r="D513" t="s">
        <v>451</v>
      </c>
      <c r="E513" s="2">
        <v>65588</v>
      </c>
      <c r="F513" s="2">
        <v>0</v>
      </c>
      <c r="G513" t="s">
        <v>63</v>
      </c>
      <c r="H513" t="s">
        <v>70</v>
      </c>
      <c r="I513" t="s">
        <v>79</v>
      </c>
      <c r="J513" t="s">
        <v>91</v>
      </c>
      <c r="K513" t="s">
        <v>118</v>
      </c>
      <c r="L513">
        <v>4</v>
      </c>
      <c r="M513">
        <v>4</v>
      </c>
      <c r="N513" t="s">
        <v>148</v>
      </c>
      <c r="O513" t="s">
        <v>157</v>
      </c>
      <c r="P513" t="s">
        <v>334</v>
      </c>
      <c r="Q513">
        <v>1.1000000000000001</v>
      </c>
      <c r="R513" s="9">
        <v>72146.8</v>
      </c>
      <c r="S513" t="str">
        <f>IF(OR(Sheet1[[#This Row],[Salary_USD]]&lt;$V$13,Sheet1[[#This Row],[Salary_USD]]&gt;$V$12),"Outlier","Normal")</f>
        <v>Normal</v>
      </c>
    </row>
    <row r="514" spans="1:19" x14ac:dyDescent="0.25">
      <c r="A514" t="s">
        <v>20</v>
      </c>
      <c r="B514" t="s">
        <v>35</v>
      </c>
      <c r="C514" t="s">
        <v>44</v>
      </c>
      <c r="D514" t="s">
        <v>58</v>
      </c>
      <c r="E514" s="2">
        <v>48131</v>
      </c>
      <c r="F514" s="2">
        <v>2080</v>
      </c>
      <c r="G514" t="s">
        <v>68</v>
      </c>
      <c r="H514" t="s">
        <v>70</v>
      </c>
      <c r="I514" t="s">
        <v>77</v>
      </c>
      <c r="J514" t="s">
        <v>87</v>
      </c>
      <c r="K514" t="s">
        <v>144</v>
      </c>
      <c r="L514">
        <v>1</v>
      </c>
      <c r="M514">
        <v>1</v>
      </c>
      <c r="N514" t="s">
        <v>153</v>
      </c>
      <c r="O514" t="s">
        <v>156</v>
      </c>
      <c r="P514" t="s">
        <v>328</v>
      </c>
      <c r="Q514">
        <v>1.25</v>
      </c>
      <c r="R514" s="9">
        <v>60163.75</v>
      </c>
      <c r="S514" t="str">
        <f>IF(OR(Sheet1[[#This Row],[Salary_USD]]&lt;$V$13,Sheet1[[#This Row],[Salary_USD]]&gt;$V$12),"Outlier","Normal")</f>
        <v>Normal</v>
      </c>
    </row>
    <row r="515" spans="1:19" x14ac:dyDescent="0.25">
      <c r="A515" t="s">
        <v>21</v>
      </c>
      <c r="B515" t="s">
        <v>24</v>
      </c>
      <c r="C515" t="s">
        <v>44</v>
      </c>
      <c r="D515" t="s">
        <v>60</v>
      </c>
      <c r="E515" s="2">
        <v>72627</v>
      </c>
      <c r="F515" s="2">
        <v>789</v>
      </c>
      <c r="G515" t="s">
        <v>65</v>
      </c>
      <c r="H515" t="s">
        <v>70</v>
      </c>
      <c r="I515" t="s">
        <v>79</v>
      </c>
      <c r="J515" t="s">
        <v>91</v>
      </c>
      <c r="K515" t="s">
        <v>118</v>
      </c>
      <c r="L515">
        <v>20</v>
      </c>
      <c r="M515">
        <v>17</v>
      </c>
      <c r="N515" t="s">
        <v>150</v>
      </c>
      <c r="O515" t="s">
        <v>155</v>
      </c>
      <c r="P515" t="s">
        <v>357</v>
      </c>
      <c r="Q515">
        <v>0.73</v>
      </c>
      <c r="R515" s="9">
        <v>53017.71</v>
      </c>
      <c r="S515" t="str">
        <f>IF(OR(Sheet1[[#This Row],[Salary_USD]]&lt;$V$13,Sheet1[[#This Row],[Salary_USD]]&gt;$V$12),"Outlier","Normal")</f>
        <v>Normal</v>
      </c>
    </row>
    <row r="516" spans="1:19" x14ac:dyDescent="0.25">
      <c r="A516" t="s">
        <v>19</v>
      </c>
      <c r="B516" t="s">
        <v>23</v>
      </c>
      <c r="C516" t="s">
        <v>40</v>
      </c>
      <c r="D516" t="s">
        <v>60</v>
      </c>
      <c r="E516" s="2">
        <v>54819</v>
      </c>
      <c r="F516" s="2">
        <v>2312</v>
      </c>
      <c r="G516" t="s">
        <v>64</v>
      </c>
      <c r="H516" t="s">
        <v>71</v>
      </c>
      <c r="I516" t="s">
        <v>79</v>
      </c>
      <c r="J516" t="s">
        <v>91</v>
      </c>
      <c r="K516" t="s">
        <v>118</v>
      </c>
      <c r="L516">
        <v>15</v>
      </c>
      <c r="M516">
        <v>15</v>
      </c>
      <c r="N516" t="s">
        <v>150</v>
      </c>
      <c r="O516" t="s">
        <v>154</v>
      </c>
      <c r="P516" t="s">
        <v>171</v>
      </c>
      <c r="Q516">
        <v>0.65</v>
      </c>
      <c r="R516" s="9">
        <v>35632.35</v>
      </c>
      <c r="S516" t="str">
        <f>IF(OR(Sheet1[[#This Row],[Salary_USD]]&lt;$V$13,Sheet1[[#This Row],[Salary_USD]]&gt;$V$12),"Outlier","Normal")</f>
        <v>Normal</v>
      </c>
    </row>
    <row r="517" spans="1:19" x14ac:dyDescent="0.25">
      <c r="A517" t="s">
        <v>17</v>
      </c>
      <c r="B517" t="s">
        <v>34</v>
      </c>
      <c r="C517" t="s">
        <v>48</v>
      </c>
      <c r="D517" t="s">
        <v>56</v>
      </c>
      <c r="E517" s="2">
        <v>114872</v>
      </c>
      <c r="F517" s="2">
        <v>29117</v>
      </c>
      <c r="G517" t="s">
        <v>67</v>
      </c>
      <c r="H517" t="s">
        <v>451</v>
      </c>
      <c r="I517" t="s">
        <v>74</v>
      </c>
      <c r="J517" t="s">
        <v>84</v>
      </c>
      <c r="K517" t="s">
        <v>74</v>
      </c>
      <c r="L517">
        <v>12</v>
      </c>
      <c r="M517">
        <v>10</v>
      </c>
      <c r="N517" t="s">
        <v>153</v>
      </c>
      <c r="O517" t="s">
        <v>155</v>
      </c>
      <c r="P517" t="s">
        <v>239</v>
      </c>
      <c r="Q517">
        <v>1</v>
      </c>
      <c r="R517" s="9">
        <v>114872</v>
      </c>
      <c r="S517" t="str">
        <f>IF(OR(Sheet1[[#This Row],[Salary_USD]]&lt;$V$13,Sheet1[[#This Row],[Salary_USD]]&gt;$V$12),"Outlier","Normal")</f>
        <v>Normal</v>
      </c>
    </row>
    <row r="518" spans="1:19" x14ac:dyDescent="0.25">
      <c r="A518" t="s">
        <v>20</v>
      </c>
      <c r="B518" t="s">
        <v>28</v>
      </c>
      <c r="C518" t="s">
        <v>40</v>
      </c>
      <c r="D518" t="s">
        <v>59</v>
      </c>
      <c r="E518" s="2">
        <v>1074504</v>
      </c>
      <c r="F518" s="2">
        <v>87377</v>
      </c>
      <c r="G518" t="s">
        <v>66</v>
      </c>
      <c r="H518" t="s">
        <v>56</v>
      </c>
      <c r="I518" t="s">
        <v>80</v>
      </c>
      <c r="J518" t="s">
        <v>93</v>
      </c>
      <c r="K518" t="s">
        <v>93</v>
      </c>
      <c r="L518">
        <v>5</v>
      </c>
      <c r="M518">
        <v>4</v>
      </c>
      <c r="N518" t="s">
        <v>153</v>
      </c>
      <c r="O518" t="s">
        <v>157</v>
      </c>
      <c r="P518" t="s">
        <v>171</v>
      </c>
      <c r="Q518">
        <v>1.2E-2</v>
      </c>
      <c r="R518" s="9">
        <v>12894.048000000001</v>
      </c>
      <c r="S518" t="str">
        <f>IF(OR(Sheet1[[#This Row],[Salary_USD]]&lt;$V$13,Sheet1[[#This Row],[Salary_USD]]&gt;$V$12),"Outlier","Normal")</f>
        <v>Normal</v>
      </c>
    </row>
    <row r="519" spans="1:19" x14ac:dyDescent="0.25">
      <c r="A519" t="s">
        <v>20</v>
      </c>
      <c r="B519" t="s">
        <v>451</v>
      </c>
      <c r="C519" t="s">
        <v>451</v>
      </c>
      <c r="D519" t="s">
        <v>58</v>
      </c>
      <c r="E519" s="2">
        <v>0</v>
      </c>
      <c r="F519" s="2">
        <v>0</v>
      </c>
      <c r="G519" t="s">
        <v>68</v>
      </c>
      <c r="H519" t="s">
        <v>451</v>
      </c>
      <c r="I519" t="s">
        <v>75</v>
      </c>
      <c r="J519" t="s">
        <v>85</v>
      </c>
      <c r="K519" t="s">
        <v>451</v>
      </c>
      <c r="L519">
        <v>0</v>
      </c>
      <c r="M519">
        <v>1</v>
      </c>
      <c r="N519" t="s">
        <v>151</v>
      </c>
      <c r="O519" t="s">
        <v>452</v>
      </c>
      <c r="P519" t="s">
        <v>188</v>
      </c>
      <c r="Q519">
        <v>1.25</v>
      </c>
      <c r="R519" s="9">
        <v>0</v>
      </c>
      <c r="S519" t="str">
        <f>IF(OR(Sheet1[[#This Row],[Salary_USD]]&lt;$V$13,Sheet1[[#This Row],[Salary_USD]]&gt;$V$12),"Outlier","Normal")</f>
        <v>Normal</v>
      </c>
    </row>
    <row r="520" spans="1:19" x14ac:dyDescent="0.25">
      <c r="A520" t="s">
        <v>20</v>
      </c>
      <c r="B520" t="s">
        <v>34</v>
      </c>
      <c r="C520" t="s">
        <v>41</v>
      </c>
      <c r="D520" t="s">
        <v>62</v>
      </c>
      <c r="E520" s="2">
        <v>87025</v>
      </c>
      <c r="F520" s="2">
        <v>7321</v>
      </c>
      <c r="G520" t="s">
        <v>64</v>
      </c>
      <c r="H520" t="s">
        <v>56</v>
      </c>
      <c r="I520" t="s">
        <v>81</v>
      </c>
      <c r="J520" t="s">
        <v>101</v>
      </c>
      <c r="K520" t="s">
        <v>127</v>
      </c>
      <c r="L520">
        <v>3</v>
      </c>
      <c r="M520">
        <v>3</v>
      </c>
      <c r="N520" t="s">
        <v>151</v>
      </c>
      <c r="O520" t="s">
        <v>157</v>
      </c>
      <c r="P520" t="s">
        <v>358</v>
      </c>
      <c r="Q520">
        <v>0.65</v>
      </c>
      <c r="R520" s="9">
        <v>56566.25</v>
      </c>
      <c r="S520" t="str">
        <f>IF(OR(Sheet1[[#This Row],[Salary_USD]]&lt;$V$13,Sheet1[[#This Row],[Salary_USD]]&gt;$V$12),"Outlier","Normal")</f>
        <v>Normal</v>
      </c>
    </row>
    <row r="521" spans="1:19" x14ac:dyDescent="0.25">
      <c r="A521" t="s">
        <v>19</v>
      </c>
      <c r="B521" t="s">
        <v>31</v>
      </c>
      <c r="C521" t="s">
        <v>43</v>
      </c>
      <c r="D521" t="s">
        <v>62</v>
      </c>
      <c r="E521" s="2">
        <v>79444</v>
      </c>
      <c r="F521" s="2">
        <v>12494</v>
      </c>
      <c r="G521" t="s">
        <v>65</v>
      </c>
      <c r="H521" t="s">
        <v>451</v>
      </c>
      <c r="I521" t="s">
        <v>72</v>
      </c>
      <c r="J521" t="s">
        <v>95</v>
      </c>
      <c r="K521" t="s">
        <v>120</v>
      </c>
      <c r="L521">
        <v>7</v>
      </c>
      <c r="M521">
        <v>7</v>
      </c>
      <c r="N521" t="s">
        <v>148</v>
      </c>
      <c r="O521" t="s">
        <v>154</v>
      </c>
      <c r="P521" t="s">
        <v>169</v>
      </c>
      <c r="Q521">
        <v>0.73</v>
      </c>
      <c r="R521" s="9">
        <v>57994.119999999995</v>
      </c>
      <c r="S521" t="str">
        <f>IF(OR(Sheet1[[#This Row],[Salary_USD]]&lt;$V$13,Sheet1[[#This Row],[Salary_USD]]&gt;$V$12),"Outlier","Normal")</f>
        <v>Normal</v>
      </c>
    </row>
    <row r="522" spans="1:19" x14ac:dyDescent="0.25">
      <c r="A522" t="s">
        <v>19</v>
      </c>
      <c r="B522" t="s">
        <v>26</v>
      </c>
      <c r="C522" t="s">
        <v>41</v>
      </c>
      <c r="D522" t="s">
        <v>55</v>
      </c>
      <c r="E522" s="2">
        <v>109874</v>
      </c>
      <c r="F522" s="2">
        <v>0</v>
      </c>
      <c r="G522" t="s">
        <v>63</v>
      </c>
      <c r="H522" t="s">
        <v>56</v>
      </c>
      <c r="I522" t="s">
        <v>76</v>
      </c>
      <c r="J522" t="s">
        <v>92</v>
      </c>
      <c r="K522" t="s">
        <v>119</v>
      </c>
      <c r="L522">
        <v>20</v>
      </c>
      <c r="M522">
        <v>17</v>
      </c>
      <c r="N522" t="s">
        <v>152</v>
      </c>
      <c r="O522" t="s">
        <v>157</v>
      </c>
      <c r="P522" t="s">
        <v>162</v>
      </c>
      <c r="Q522">
        <v>1.1000000000000001</v>
      </c>
      <c r="R522" s="9">
        <v>120861.40000000001</v>
      </c>
      <c r="S522" t="str">
        <f>IF(OR(Sheet1[[#This Row],[Salary_USD]]&lt;$V$13,Sheet1[[#This Row],[Salary_USD]]&gt;$V$12),"Outlier","Normal")</f>
        <v>Normal</v>
      </c>
    </row>
    <row r="523" spans="1:19" x14ac:dyDescent="0.25">
      <c r="A523" t="s">
        <v>19</v>
      </c>
      <c r="B523" t="s">
        <v>31</v>
      </c>
      <c r="C523" t="s">
        <v>50</v>
      </c>
      <c r="D523" t="s">
        <v>55</v>
      </c>
      <c r="E523" s="2">
        <v>66393</v>
      </c>
      <c r="F523" s="2">
        <v>3205</v>
      </c>
      <c r="G523" t="s">
        <v>68</v>
      </c>
      <c r="H523" t="s">
        <v>56</v>
      </c>
      <c r="I523" t="s">
        <v>77</v>
      </c>
      <c r="J523" t="s">
        <v>89</v>
      </c>
      <c r="K523" t="s">
        <v>124</v>
      </c>
      <c r="L523">
        <v>9</v>
      </c>
      <c r="M523">
        <v>9</v>
      </c>
      <c r="N523" t="s">
        <v>152</v>
      </c>
      <c r="O523" t="s">
        <v>154</v>
      </c>
      <c r="P523" t="s">
        <v>166</v>
      </c>
      <c r="Q523">
        <v>1.25</v>
      </c>
      <c r="R523" s="9">
        <v>82991.25</v>
      </c>
      <c r="S523" t="str">
        <f>IF(OR(Sheet1[[#This Row],[Salary_USD]]&lt;$V$13,Sheet1[[#This Row],[Salary_USD]]&gt;$V$12),"Outlier","Normal")</f>
        <v>Normal</v>
      </c>
    </row>
    <row r="524" spans="1:19" x14ac:dyDescent="0.25">
      <c r="A524" t="s">
        <v>17</v>
      </c>
      <c r="B524" t="s">
        <v>24</v>
      </c>
      <c r="C524" t="s">
        <v>53</v>
      </c>
      <c r="D524" t="s">
        <v>54</v>
      </c>
      <c r="E524" s="2">
        <v>40333</v>
      </c>
      <c r="F524" s="2">
        <v>2334</v>
      </c>
      <c r="G524" t="s">
        <v>68</v>
      </c>
      <c r="H524" t="s">
        <v>70</v>
      </c>
      <c r="I524" t="s">
        <v>81</v>
      </c>
      <c r="J524" t="s">
        <v>98</v>
      </c>
      <c r="K524" t="s">
        <v>123</v>
      </c>
      <c r="L524">
        <v>15</v>
      </c>
      <c r="M524">
        <v>15</v>
      </c>
      <c r="N524" t="s">
        <v>150</v>
      </c>
      <c r="O524" t="s">
        <v>154</v>
      </c>
      <c r="P524" t="s">
        <v>180</v>
      </c>
      <c r="Q524">
        <v>1.25</v>
      </c>
      <c r="R524" s="9">
        <v>50416.25</v>
      </c>
      <c r="S524" t="str">
        <f>IF(OR(Sheet1[[#This Row],[Salary_USD]]&lt;$V$13,Sheet1[[#This Row],[Salary_USD]]&gt;$V$12),"Outlier","Normal")</f>
        <v>Normal</v>
      </c>
    </row>
    <row r="525" spans="1:19" x14ac:dyDescent="0.25">
      <c r="A525" t="s">
        <v>19</v>
      </c>
      <c r="B525" t="s">
        <v>35</v>
      </c>
      <c r="C525" t="s">
        <v>45</v>
      </c>
      <c r="D525" t="s">
        <v>56</v>
      </c>
      <c r="E525" s="2">
        <v>15692</v>
      </c>
      <c r="F525" s="2">
        <v>0</v>
      </c>
      <c r="G525" t="s">
        <v>66</v>
      </c>
      <c r="H525" t="s">
        <v>56</v>
      </c>
      <c r="I525" t="s">
        <v>76</v>
      </c>
      <c r="J525" t="s">
        <v>86</v>
      </c>
      <c r="K525" t="s">
        <v>115</v>
      </c>
      <c r="L525">
        <v>20</v>
      </c>
      <c r="M525">
        <v>19</v>
      </c>
      <c r="N525" t="s">
        <v>152</v>
      </c>
      <c r="O525" t="s">
        <v>155</v>
      </c>
      <c r="P525" t="s">
        <v>240</v>
      </c>
      <c r="Q525">
        <v>1.2E-2</v>
      </c>
      <c r="R525" s="9">
        <v>188.304</v>
      </c>
      <c r="S525" t="str">
        <f>IF(OR(Sheet1[[#This Row],[Salary_USD]]&lt;$V$13,Sheet1[[#This Row],[Salary_USD]]&gt;$V$12),"Outlier","Normal")</f>
        <v>Normal</v>
      </c>
    </row>
    <row r="526" spans="1:19" x14ac:dyDescent="0.25">
      <c r="A526" t="s">
        <v>20</v>
      </c>
      <c r="B526" t="s">
        <v>35</v>
      </c>
      <c r="C526" t="s">
        <v>51</v>
      </c>
      <c r="D526" t="s">
        <v>60</v>
      </c>
      <c r="E526" s="2">
        <v>1189021</v>
      </c>
      <c r="F526" s="2">
        <v>155994</v>
      </c>
      <c r="G526" t="s">
        <v>66</v>
      </c>
      <c r="H526" t="s">
        <v>451</v>
      </c>
      <c r="I526" t="s">
        <v>75</v>
      </c>
      <c r="J526" t="s">
        <v>108</v>
      </c>
      <c r="K526" t="s">
        <v>135</v>
      </c>
      <c r="L526">
        <v>7</v>
      </c>
      <c r="M526">
        <v>7</v>
      </c>
      <c r="N526" t="s">
        <v>150</v>
      </c>
      <c r="O526" t="s">
        <v>156</v>
      </c>
      <c r="P526" t="s">
        <v>359</v>
      </c>
      <c r="Q526">
        <v>1.2E-2</v>
      </c>
      <c r="R526" s="9">
        <v>14268.252</v>
      </c>
      <c r="S526" t="str">
        <f>IF(OR(Sheet1[[#This Row],[Salary_USD]]&lt;$V$13,Sheet1[[#This Row],[Salary_USD]]&gt;$V$12),"Outlier","Normal")</f>
        <v>Normal</v>
      </c>
    </row>
    <row r="527" spans="1:19" x14ac:dyDescent="0.25">
      <c r="A527" t="s">
        <v>19</v>
      </c>
      <c r="B527" t="s">
        <v>31</v>
      </c>
      <c r="C527" t="s">
        <v>45</v>
      </c>
      <c r="D527" t="s">
        <v>59</v>
      </c>
      <c r="E527" s="2">
        <v>65074</v>
      </c>
      <c r="F527" s="2">
        <v>9498</v>
      </c>
      <c r="G527" t="s">
        <v>67</v>
      </c>
      <c r="H527" t="s">
        <v>71</v>
      </c>
      <c r="I527" t="s">
        <v>81</v>
      </c>
      <c r="J527" t="s">
        <v>98</v>
      </c>
      <c r="K527" t="s">
        <v>123</v>
      </c>
      <c r="L527">
        <v>12</v>
      </c>
      <c r="M527">
        <v>12</v>
      </c>
      <c r="N527" t="s">
        <v>149</v>
      </c>
      <c r="O527" t="s">
        <v>154</v>
      </c>
      <c r="P527" t="s">
        <v>219</v>
      </c>
      <c r="Q527">
        <v>1</v>
      </c>
      <c r="R527" s="9">
        <v>65074</v>
      </c>
      <c r="S527" t="str">
        <f>IF(OR(Sheet1[[#This Row],[Salary_USD]]&lt;$V$13,Sheet1[[#This Row],[Salary_USD]]&gt;$V$12),"Outlier","Normal")</f>
        <v>Normal</v>
      </c>
    </row>
    <row r="528" spans="1:19" x14ac:dyDescent="0.25">
      <c r="A528" t="s">
        <v>20</v>
      </c>
      <c r="B528" t="s">
        <v>28</v>
      </c>
      <c r="C528" t="s">
        <v>39</v>
      </c>
      <c r="D528" t="s">
        <v>56</v>
      </c>
      <c r="E528" s="2">
        <v>116614</v>
      </c>
      <c r="F528" s="2">
        <v>12768</v>
      </c>
      <c r="G528" t="s">
        <v>64</v>
      </c>
      <c r="H528" t="s">
        <v>70</v>
      </c>
      <c r="I528" t="s">
        <v>81</v>
      </c>
      <c r="J528" t="s">
        <v>101</v>
      </c>
      <c r="K528" t="s">
        <v>127</v>
      </c>
      <c r="L528">
        <v>7</v>
      </c>
      <c r="M528">
        <v>7</v>
      </c>
      <c r="N528" t="s">
        <v>153</v>
      </c>
      <c r="O528" t="s">
        <v>156</v>
      </c>
      <c r="P528" t="s">
        <v>189</v>
      </c>
      <c r="Q528">
        <v>0.65</v>
      </c>
      <c r="R528" s="9">
        <v>75799.100000000006</v>
      </c>
      <c r="S528" t="str">
        <f>IF(OR(Sheet1[[#This Row],[Salary_USD]]&lt;$V$13,Sheet1[[#This Row],[Salary_USD]]&gt;$V$12),"Outlier","Normal")</f>
        <v>Normal</v>
      </c>
    </row>
    <row r="529" spans="1:19" x14ac:dyDescent="0.25">
      <c r="A529" t="s">
        <v>19</v>
      </c>
      <c r="B529" t="s">
        <v>24</v>
      </c>
      <c r="C529" t="s">
        <v>46</v>
      </c>
      <c r="D529" t="s">
        <v>58</v>
      </c>
      <c r="E529" s="2">
        <v>75598</v>
      </c>
      <c r="F529" s="2">
        <v>3626</v>
      </c>
      <c r="G529" t="s">
        <v>63</v>
      </c>
      <c r="H529" t="s">
        <v>56</v>
      </c>
      <c r="I529" t="s">
        <v>75</v>
      </c>
      <c r="J529" t="s">
        <v>96</v>
      </c>
      <c r="K529" t="s">
        <v>121</v>
      </c>
      <c r="L529">
        <v>10</v>
      </c>
      <c r="M529">
        <v>10</v>
      </c>
      <c r="N529" t="s">
        <v>150</v>
      </c>
      <c r="O529" t="s">
        <v>154</v>
      </c>
      <c r="P529" t="s">
        <v>267</v>
      </c>
      <c r="Q529">
        <v>1.1000000000000001</v>
      </c>
      <c r="R529" s="9">
        <v>83157.8</v>
      </c>
      <c r="S529" t="str">
        <f>IF(OR(Sheet1[[#This Row],[Salary_USD]]&lt;$V$13,Sheet1[[#This Row],[Salary_USD]]&gt;$V$12),"Outlier","Normal")</f>
        <v>Normal</v>
      </c>
    </row>
    <row r="530" spans="1:19" x14ac:dyDescent="0.25">
      <c r="A530" t="s">
        <v>17</v>
      </c>
      <c r="B530" t="s">
        <v>22</v>
      </c>
      <c r="C530" t="s">
        <v>47</v>
      </c>
      <c r="D530" t="s">
        <v>59</v>
      </c>
      <c r="E530" s="2">
        <v>7189350</v>
      </c>
      <c r="F530" s="2">
        <v>15121</v>
      </c>
      <c r="G530" t="s">
        <v>66</v>
      </c>
      <c r="H530" t="s">
        <v>71</v>
      </c>
      <c r="I530" t="s">
        <v>78</v>
      </c>
      <c r="J530" t="s">
        <v>105</v>
      </c>
      <c r="K530" t="s">
        <v>133</v>
      </c>
      <c r="L530">
        <v>25</v>
      </c>
      <c r="M530">
        <v>24</v>
      </c>
      <c r="N530" t="s">
        <v>151</v>
      </c>
      <c r="O530" t="s">
        <v>156</v>
      </c>
      <c r="P530" t="s">
        <v>360</v>
      </c>
      <c r="Q530">
        <v>1.2E-2</v>
      </c>
      <c r="R530" s="9">
        <v>86272.2</v>
      </c>
      <c r="S530" t="str">
        <f>IF(OR(Sheet1[[#This Row],[Salary_USD]]&lt;$V$13,Sheet1[[#This Row],[Salary_USD]]&gt;$V$12),"Outlier","Normal")</f>
        <v>Normal</v>
      </c>
    </row>
    <row r="531" spans="1:19" x14ac:dyDescent="0.25">
      <c r="A531" t="s">
        <v>21</v>
      </c>
      <c r="B531" t="s">
        <v>29</v>
      </c>
      <c r="C531" t="s">
        <v>42</v>
      </c>
      <c r="D531" t="s">
        <v>61</v>
      </c>
      <c r="E531" s="2">
        <v>80552</v>
      </c>
      <c r="F531" s="2">
        <v>0</v>
      </c>
      <c r="G531" t="s">
        <v>65</v>
      </c>
      <c r="H531" t="s">
        <v>71</v>
      </c>
      <c r="I531" t="s">
        <v>78</v>
      </c>
      <c r="J531" t="s">
        <v>90</v>
      </c>
      <c r="K531" t="s">
        <v>138</v>
      </c>
      <c r="L531">
        <v>10</v>
      </c>
      <c r="M531">
        <v>9</v>
      </c>
      <c r="N531" t="s">
        <v>148</v>
      </c>
      <c r="O531" t="s">
        <v>156</v>
      </c>
      <c r="P531" t="s">
        <v>319</v>
      </c>
      <c r="Q531">
        <v>0.73</v>
      </c>
      <c r="R531" s="9">
        <v>58802.96</v>
      </c>
      <c r="S531" t="str">
        <f>IF(OR(Sheet1[[#This Row],[Salary_USD]]&lt;$V$13,Sheet1[[#This Row],[Salary_USD]]&gt;$V$12),"Outlier","Normal")</f>
        <v>Normal</v>
      </c>
    </row>
    <row r="532" spans="1:19" x14ac:dyDescent="0.25">
      <c r="A532" t="s">
        <v>19</v>
      </c>
      <c r="B532" t="s">
        <v>23</v>
      </c>
      <c r="C532" t="s">
        <v>44</v>
      </c>
      <c r="D532" t="s">
        <v>56</v>
      </c>
      <c r="E532" s="2">
        <v>75849</v>
      </c>
      <c r="F532" s="2">
        <v>1511</v>
      </c>
      <c r="G532" t="s">
        <v>68</v>
      </c>
      <c r="H532" t="s">
        <v>56</v>
      </c>
      <c r="I532" t="s">
        <v>73</v>
      </c>
      <c r="J532" t="s">
        <v>83</v>
      </c>
      <c r="K532" t="s">
        <v>113</v>
      </c>
      <c r="L532">
        <v>15</v>
      </c>
      <c r="M532">
        <v>14</v>
      </c>
      <c r="N532" t="s">
        <v>150</v>
      </c>
      <c r="O532" t="s">
        <v>156</v>
      </c>
      <c r="P532" t="s">
        <v>282</v>
      </c>
      <c r="Q532">
        <v>1.25</v>
      </c>
      <c r="R532" s="9">
        <v>94811.25</v>
      </c>
      <c r="S532" t="str">
        <f>IF(OR(Sheet1[[#This Row],[Salary_USD]]&lt;$V$13,Sheet1[[#This Row],[Salary_USD]]&gt;$V$12),"Outlier","Normal")</f>
        <v>Normal</v>
      </c>
    </row>
    <row r="533" spans="1:19" x14ac:dyDescent="0.25">
      <c r="A533" t="s">
        <v>17</v>
      </c>
      <c r="B533" t="s">
        <v>23</v>
      </c>
      <c r="C533" t="s">
        <v>49</v>
      </c>
      <c r="D533" t="s">
        <v>61</v>
      </c>
      <c r="E533" s="2">
        <v>52024</v>
      </c>
      <c r="F533" s="2">
        <v>2323</v>
      </c>
      <c r="G533" t="s">
        <v>67</v>
      </c>
      <c r="H533" t="s">
        <v>69</v>
      </c>
      <c r="I533" t="s">
        <v>76</v>
      </c>
      <c r="J533" t="s">
        <v>100</v>
      </c>
      <c r="K533" t="s">
        <v>132</v>
      </c>
      <c r="L533">
        <v>12</v>
      </c>
      <c r="M533">
        <v>11</v>
      </c>
      <c r="N533" t="s">
        <v>151</v>
      </c>
      <c r="O533" t="s">
        <v>157</v>
      </c>
      <c r="P533" t="s">
        <v>361</v>
      </c>
      <c r="Q533">
        <v>1</v>
      </c>
      <c r="R533" s="9">
        <v>52024</v>
      </c>
      <c r="S533" t="str">
        <f>IF(OR(Sheet1[[#This Row],[Salary_USD]]&lt;$V$13,Sheet1[[#This Row],[Salary_USD]]&gt;$V$12),"Outlier","Normal")</f>
        <v>Normal</v>
      </c>
    </row>
    <row r="534" spans="1:19" x14ac:dyDescent="0.25">
      <c r="A534" t="s">
        <v>20</v>
      </c>
      <c r="B534" t="s">
        <v>31</v>
      </c>
      <c r="C534" t="s">
        <v>41</v>
      </c>
      <c r="D534" t="s">
        <v>55</v>
      </c>
      <c r="E534" s="2">
        <v>128991</v>
      </c>
      <c r="F534" s="2">
        <v>217</v>
      </c>
      <c r="G534" t="s">
        <v>68</v>
      </c>
      <c r="H534" t="s">
        <v>451</v>
      </c>
      <c r="I534" t="s">
        <v>76</v>
      </c>
      <c r="J534" t="s">
        <v>86</v>
      </c>
      <c r="K534" t="s">
        <v>115</v>
      </c>
      <c r="L534">
        <v>3</v>
      </c>
      <c r="M534">
        <v>1</v>
      </c>
      <c r="N534" t="s">
        <v>149</v>
      </c>
      <c r="O534" t="s">
        <v>157</v>
      </c>
      <c r="P534" t="s">
        <v>180</v>
      </c>
      <c r="Q534">
        <v>1.25</v>
      </c>
      <c r="R534" s="9">
        <v>161238.75</v>
      </c>
      <c r="S534" t="str">
        <f>IF(OR(Sheet1[[#This Row],[Salary_USD]]&lt;$V$13,Sheet1[[#This Row],[Salary_USD]]&gt;$V$12),"Outlier","Normal")</f>
        <v>Normal</v>
      </c>
    </row>
    <row r="535" spans="1:19" x14ac:dyDescent="0.25">
      <c r="A535" t="s">
        <v>19</v>
      </c>
      <c r="B535" t="s">
        <v>33</v>
      </c>
      <c r="C535" t="s">
        <v>47</v>
      </c>
      <c r="D535" t="s">
        <v>451</v>
      </c>
      <c r="E535" s="2">
        <v>96316</v>
      </c>
      <c r="F535" s="2">
        <v>10527</v>
      </c>
      <c r="G535" t="s">
        <v>64</v>
      </c>
      <c r="H535" t="s">
        <v>70</v>
      </c>
      <c r="I535" t="s">
        <v>76</v>
      </c>
      <c r="J535" t="s">
        <v>92</v>
      </c>
      <c r="K535" t="s">
        <v>119</v>
      </c>
      <c r="L535">
        <v>10</v>
      </c>
      <c r="M535">
        <v>10</v>
      </c>
      <c r="N535" t="s">
        <v>148</v>
      </c>
      <c r="O535" t="s">
        <v>156</v>
      </c>
      <c r="P535" t="s">
        <v>362</v>
      </c>
      <c r="Q535">
        <v>0.65</v>
      </c>
      <c r="R535" s="9">
        <v>62605.4</v>
      </c>
      <c r="S535" t="str">
        <f>IF(OR(Sheet1[[#This Row],[Salary_USD]]&lt;$V$13,Sheet1[[#This Row],[Salary_USD]]&gt;$V$12),"Outlier","Normal")</f>
        <v>Normal</v>
      </c>
    </row>
    <row r="536" spans="1:19" x14ac:dyDescent="0.25">
      <c r="A536" t="s">
        <v>19</v>
      </c>
      <c r="B536" t="s">
        <v>35</v>
      </c>
      <c r="C536" t="s">
        <v>53</v>
      </c>
      <c r="D536" t="s">
        <v>451</v>
      </c>
      <c r="E536" s="2">
        <v>130070</v>
      </c>
      <c r="F536" s="2">
        <v>15866</v>
      </c>
      <c r="G536" t="s">
        <v>64</v>
      </c>
      <c r="H536" t="s">
        <v>451</v>
      </c>
      <c r="I536" t="s">
        <v>72</v>
      </c>
      <c r="J536" t="s">
        <v>82</v>
      </c>
      <c r="K536" t="s">
        <v>112</v>
      </c>
      <c r="L536">
        <v>6</v>
      </c>
      <c r="M536">
        <v>6</v>
      </c>
      <c r="N536" t="s">
        <v>152</v>
      </c>
      <c r="O536" t="s">
        <v>155</v>
      </c>
      <c r="P536" t="s">
        <v>169</v>
      </c>
      <c r="Q536">
        <v>0.65</v>
      </c>
      <c r="R536" s="9">
        <v>84545.5</v>
      </c>
      <c r="S536" t="str">
        <f>IF(OR(Sheet1[[#This Row],[Salary_USD]]&lt;$V$13,Sheet1[[#This Row],[Salary_USD]]&gt;$V$12),"Outlier","Normal")</f>
        <v>Normal</v>
      </c>
    </row>
    <row r="537" spans="1:19" x14ac:dyDescent="0.25">
      <c r="A537" t="s">
        <v>19</v>
      </c>
      <c r="B537" t="s">
        <v>31</v>
      </c>
      <c r="C537" t="s">
        <v>52</v>
      </c>
      <c r="D537" t="s">
        <v>56</v>
      </c>
      <c r="E537" s="2">
        <v>99290</v>
      </c>
      <c r="F537" s="2">
        <v>18835</v>
      </c>
      <c r="G537" t="s">
        <v>67</v>
      </c>
      <c r="H537" t="s">
        <v>71</v>
      </c>
      <c r="I537" t="s">
        <v>75</v>
      </c>
      <c r="J537" t="s">
        <v>85</v>
      </c>
      <c r="K537" t="s">
        <v>114</v>
      </c>
      <c r="L537">
        <v>5</v>
      </c>
      <c r="M537">
        <v>2</v>
      </c>
      <c r="N537" t="s">
        <v>151</v>
      </c>
      <c r="O537" t="s">
        <v>156</v>
      </c>
      <c r="P537" t="s">
        <v>173</v>
      </c>
      <c r="Q537">
        <v>1</v>
      </c>
      <c r="R537" s="9">
        <v>99290</v>
      </c>
      <c r="S537" t="str">
        <f>IF(OR(Sheet1[[#This Row],[Salary_USD]]&lt;$V$13,Sheet1[[#This Row],[Salary_USD]]&gt;$V$12),"Outlier","Normal")</f>
        <v>Normal</v>
      </c>
    </row>
    <row r="538" spans="1:19" x14ac:dyDescent="0.25">
      <c r="A538" t="s">
        <v>20</v>
      </c>
      <c r="B538" t="s">
        <v>26</v>
      </c>
      <c r="C538" t="s">
        <v>45</v>
      </c>
      <c r="D538" t="s">
        <v>54</v>
      </c>
      <c r="E538" s="2">
        <v>1128761</v>
      </c>
      <c r="F538" s="2">
        <v>75293</v>
      </c>
      <c r="G538" t="s">
        <v>66</v>
      </c>
      <c r="H538" t="s">
        <v>71</v>
      </c>
      <c r="I538" t="s">
        <v>78</v>
      </c>
      <c r="J538" t="s">
        <v>109</v>
      </c>
      <c r="K538" t="s">
        <v>137</v>
      </c>
      <c r="L538">
        <v>7</v>
      </c>
      <c r="M538">
        <v>7</v>
      </c>
      <c r="N538" t="s">
        <v>149</v>
      </c>
      <c r="O538" t="s">
        <v>154</v>
      </c>
      <c r="P538" t="s">
        <v>363</v>
      </c>
      <c r="Q538">
        <v>1.2E-2</v>
      </c>
      <c r="R538" s="9">
        <v>13545.132</v>
      </c>
      <c r="S538" t="str">
        <f>IF(OR(Sheet1[[#This Row],[Salary_USD]]&lt;$V$13,Sheet1[[#This Row],[Salary_USD]]&gt;$V$12),"Outlier","Normal")</f>
        <v>Normal</v>
      </c>
    </row>
    <row r="539" spans="1:19" x14ac:dyDescent="0.25">
      <c r="A539" t="s">
        <v>19</v>
      </c>
      <c r="B539" t="s">
        <v>33</v>
      </c>
      <c r="C539" t="s">
        <v>51</v>
      </c>
      <c r="D539" t="s">
        <v>60</v>
      </c>
      <c r="E539" s="2">
        <v>85603</v>
      </c>
      <c r="F539" s="2">
        <v>17967</v>
      </c>
      <c r="G539" t="s">
        <v>65</v>
      </c>
      <c r="H539" t="s">
        <v>56</v>
      </c>
      <c r="I539" t="s">
        <v>77</v>
      </c>
      <c r="J539" t="s">
        <v>111</v>
      </c>
      <c r="K539" t="s">
        <v>141</v>
      </c>
      <c r="L539">
        <v>6</v>
      </c>
      <c r="M539">
        <v>5</v>
      </c>
      <c r="N539" t="s">
        <v>152</v>
      </c>
      <c r="O539" t="s">
        <v>154</v>
      </c>
      <c r="P539" t="s">
        <v>178</v>
      </c>
      <c r="Q539">
        <v>0.73</v>
      </c>
      <c r="R539" s="9">
        <v>62490.189999999995</v>
      </c>
      <c r="S539" t="str">
        <f>IF(OR(Sheet1[[#This Row],[Salary_USD]]&lt;$V$13,Sheet1[[#This Row],[Salary_USD]]&gt;$V$12),"Outlier","Normal")</f>
        <v>Normal</v>
      </c>
    </row>
    <row r="540" spans="1:19" x14ac:dyDescent="0.25">
      <c r="A540" t="s">
        <v>18</v>
      </c>
      <c r="B540" t="s">
        <v>32</v>
      </c>
      <c r="C540" t="s">
        <v>41</v>
      </c>
      <c r="D540" t="s">
        <v>54</v>
      </c>
      <c r="E540" s="2">
        <v>95997</v>
      </c>
      <c r="F540" s="2">
        <v>0</v>
      </c>
      <c r="G540" t="s">
        <v>64</v>
      </c>
      <c r="H540" t="s">
        <v>56</v>
      </c>
      <c r="I540" t="s">
        <v>75</v>
      </c>
      <c r="J540" t="s">
        <v>96</v>
      </c>
      <c r="K540" t="s">
        <v>121</v>
      </c>
      <c r="L540">
        <v>1</v>
      </c>
      <c r="M540">
        <v>1</v>
      </c>
      <c r="N540" t="s">
        <v>152</v>
      </c>
      <c r="O540" t="s">
        <v>157</v>
      </c>
      <c r="P540" t="s">
        <v>240</v>
      </c>
      <c r="Q540">
        <v>0.65</v>
      </c>
      <c r="R540" s="9">
        <v>62398.05</v>
      </c>
      <c r="S540" t="str">
        <f>IF(OR(Sheet1[[#This Row],[Salary_USD]]&lt;$V$13,Sheet1[[#This Row],[Salary_USD]]&gt;$V$12),"Outlier","Normal")</f>
        <v>Normal</v>
      </c>
    </row>
    <row r="541" spans="1:19" x14ac:dyDescent="0.25">
      <c r="A541" t="s">
        <v>19</v>
      </c>
      <c r="B541" t="s">
        <v>26</v>
      </c>
      <c r="C541" t="s">
        <v>53</v>
      </c>
      <c r="D541" t="s">
        <v>54</v>
      </c>
      <c r="E541" s="2">
        <v>54596</v>
      </c>
      <c r="F541" s="2">
        <v>0</v>
      </c>
      <c r="G541" t="s">
        <v>65</v>
      </c>
      <c r="H541" t="s">
        <v>71</v>
      </c>
      <c r="I541" t="s">
        <v>72</v>
      </c>
      <c r="J541" t="s">
        <v>95</v>
      </c>
      <c r="K541" t="s">
        <v>120</v>
      </c>
      <c r="L541">
        <v>20</v>
      </c>
      <c r="M541">
        <v>18</v>
      </c>
      <c r="N541" t="s">
        <v>148</v>
      </c>
      <c r="O541" t="s">
        <v>157</v>
      </c>
      <c r="P541" t="s">
        <v>364</v>
      </c>
      <c r="Q541">
        <v>0.73</v>
      </c>
      <c r="R541" s="9">
        <v>39855.08</v>
      </c>
      <c r="S541" t="str">
        <f>IF(OR(Sheet1[[#This Row],[Salary_USD]]&lt;$V$13,Sheet1[[#This Row],[Salary_USD]]&gt;$V$12),"Outlier","Normal")</f>
        <v>Normal</v>
      </c>
    </row>
    <row r="542" spans="1:19" x14ac:dyDescent="0.25">
      <c r="A542" t="s">
        <v>19</v>
      </c>
      <c r="B542" t="s">
        <v>35</v>
      </c>
      <c r="C542" t="s">
        <v>50</v>
      </c>
      <c r="D542" t="s">
        <v>451</v>
      </c>
      <c r="E542" s="2">
        <v>36924</v>
      </c>
      <c r="F542" s="2">
        <v>4645</v>
      </c>
      <c r="G542" t="s">
        <v>65</v>
      </c>
      <c r="H542" t="s">
        <v>451</v>
      </c>
      <c r="I542" t="s">
        <v>80</v>
      </c>
      <c r="J542" t="s">
        <v>93</v>
      </c>
      <c r="K542" t="s">
        <v>93</v>
      </c>
      <c r="L542">
        <v>25</v>
      </c>
      <c r="M542">
        <v>23</v>
      </c>
      <c r="N542" t="s">
        <v>149</v>
      </c>
      <c r="O542" t="s">
        <v>155</v>
      </c>
      <c r="P542" t="s">
        <v>162</v>
      </c>
      <c r="Q542">
        <v>0.73</v>
      </c>
      <c r="R542" s="9">
        <v>26954.52</v>
      </c>
      <c r="S542" t="str">
        <f>IF(OR(Sheet1[[#This Row],[Salary_USD]]&lt;$V$13,Sheet1[[#This Row],[Salary_USD]]&gt;$V$12),"Outlier","Normal")</f>
        <v>Normal</v>
      </c>
    </row>
    <row r="543" spans="1:19" x14ac:dyDescent="0.25">
      <c r="A543" t="s">
        <v>20</v>
      </c>
      <c r="B543" t="s">
        <v>29</v>
      </c>
      <c r="C543" t="s">
        <v>46</v>
      </c>
      <c r="D543" t="s">
        <v>56</v>
      </c>
      <c r="E543" s="2">
        <v>19245</v>
      </c>
      <c r="F543" s="2">
        <v>2647</v>
      </c>
      <c r="G543" t="s">
        <v>65</v>
      </c>
      <c r="H543" t="s">
        <v>69</v>
      </c>
      <c r="I543" t="s">
        <v>78</v>
      </c>
      <c r="J543" t="s">
        <v>109</v>
      </c>
      <c r="K543" t="s">
        <v>137</v>
      </c>
      <c r="L543">
        <v>0</v>
      </c>
      <c r="M543">
        <v>0</v>
      </c>
      <c r="N543" t="s">
        <v>153</v>
      </c>
      <c r="O543" t="s">
        <v>156</v>
      </c>
      <c r="P543" t="s">
        <v>165</v>
      </c>
      <c r="Q543">
        <v>0.73</v>
      </c>
      <c r="R543" s="9">
        <v>14048.85</v>
      </c>
      <c r="S543" t="str">
        <f>IF(OR(Sheet1[[#This Row],[Salary_USD]]&lt;$V$13,Sheet1[[#This Row],[Salary_USD]]&gt;$V$12),"Outlier","Normal")</f>
        <v>Normal</v>
      </c>
    </row>
    <row r="544" spans="1:19" x14ac:dyDescent="0.25">
      <c r="A544" t="s">
        <v>21</v>
      </c>
      <c r="B544" t="s">
        <v>32</v>
      </c>
      <c r="C544" t="s">
        <v>49</v>
      </c>
      <c r="D544" t="s">
        <v>62</v>
      </c>
      <c r="E544" s="2">
        <v>367380</v>
      </c>
      <c r="F544" s="2">
        <v>21407</v>
      </c>
      <c r="G544" t="s">
        <v>66</v>
      </c>
      <c r="H544" t="s">
        <v>69</v>
      </c>
      <c r="I544" t="s">
        <v>79</v>
      </c>
      <c r="J544" t="s">
        <v>91</v>
      </c>
      <c r="K544" t="s">
        <v>118</v>
      </c>
      <c r="L544">
        <v>15</v>
      </c>
      <c r="M544">
        <v>15</v>
      </c>
      <c r="N544" t="s">
        <v>153</v>
      </c>
      <c r="O544" t="s">
        <v>155</v>
      </c>
      <c r="P544" t="s">
        <v>365</v>
      </c>
      <c r="Q544">
        <v>1.2E-2</v>
      </c>
      <c r="R544" s="9">
        <v>4408.5600000000004</v>
      </c>
      <c r="S544" t="str">
        <f>IF(OR(Sheet1[[#This Row],[Salary_USD]]&lt;$V$13,Sheet1[[#This Row],[Salary_USD]]&gt;$V$12),"Outlier","Normal")</f>
        <v>Normal</v>
      </c>
    </row>
    <row r="545" spans="1:19" x14ac:dyDescent="0.25">
      <c r="A545" t="s">
        <v>17</v>
      </c>
      <c r="B545" t="s">
        <v>22</v>
      </c>
      <c r="C545" t="s">
        <v>49</v>
      </c>
      <c r="D545" t="s">
        <v>60</v>
      </c>
      <c r="E545" s="2">
        <v>43252</v>
      </c>
      <c r="F545" s="2">
        <v>1120</v>
      </c>
      <c r="G545" t="s">
        <v>67</v>
      </c>
      <c r="H545" t="s">
        <v>56</v>
      </c>
      <c r="I545" t="s">
        <v>80</v>
      </c>
      <c r="J545" t="s">
        <v>106</v>
      </c>
      <c r="K545" t="s">
        <v>106</v>
      </c>
      <c r="L545">
        <v>20</v>
      </c>
      <c r="M545">
        <v>20</v>
      </c>
      <c r="N545" t="s">
        <v>152</v>
      </c>
      <c r="O545" t="s">
        <v>154</v>
      </c>
      <c r="P545" t="s">
        <v>167</v>
      </c>
      <c r="Q545">
        <v>1</v>
      </c>
      <c r="R545" s="9">
        <v>43252</v>
      </c>
      <c r="S545" t="str">
        <f>IF(OR(Sheet1[[#This Row],[Salary_USD]]&lt;$V$13,Sheet1[[#This Row],[Salary_USD]]&gt;$V$12),"Outlier","Normal")</f>
        <v>Normal</v>
      </c>
    </row>
    <row r="546" spans="1:19" x14ac:dyDescent="0.25">
      <c r="A546" t="s">
        <v>21</v>
      </c>
      <c r="B546" t="s">
        <v>24</v>
      </c>
      <c r="C546" t="s">
        <v>40</v>
      </c>
      <c r="D546" t="s">
        <v>55</v>
      </c>
      <c r="E546" s="2">
        <v>77026</v>
      </c>
      <c r="F546" s="2">
        <v>6314</v>
      </c>
      <c r="G546" t="s">
        <v>63</v>
      </c>
      <c r="H546" t="s">
        <v>70</v>
      </c>
      <c r="I546" t="s">
        <v>78</v>
      </c>
      <c r="J546" t="s">
        <v>109</v>
      </c>
      <c r="K546" t="s">
        <v>137</v>
      </c>
      <c r="L546">
        <v>18</v>
      </c>
      <c r="M546">
        <v>16</v>
      </c>
      <c r="N546" t="s">
        <v>151</v>
      </c>
      <c r="O546" t="s">
        <v>157</v>
      </c>
      <c r="P546" t="s">
        <v>355</v>
      </c>
      <c r="Q546">
        <v>1.1000000000000001</v>
      </c>
      <c r="R546" s="9">
        <v>84728.6</v>
      </c>
      <c r="S546" t="str">
        <f>IF(OR(Sheet1[[#This Row],[Salary_USD]]&lt;$V$13,Sheet1[[#This Row],[Salary_USD]]&gt;$V$12),"Outlier","Normal")</f>
        <v>Normal</v>
      </c>
    </row>
    <row r="547" spans="1:19" x14ac:dyDescent="0.25">
      <c r="A547" t="s">
        <v>17</v>
      </c>
      <c r="B547" t="s">
        <v>34</v>
      </c>
      <c r="C547" t="s">
        <v>37</v>
      </c>
      <c r="D547" t="s">
        <v>59</v>
      </c>
      <c r="E547" s="2">
        <v>77831</v>
      </c>
      <c r="F547" s="2">
        <v>3535</v>
      </c>
      <c r="G547" t="s">
        <v>64</v>
      </c>
      <c r="H547" t="s">
        <v>451</v>
      </c>
      <c r="I547" t="s">
        <v>81</v>
      </c>
      <c r="J547" t="s">
        <v>98</v>
      </c>
      <c r="K547" t="s">
        <v>123</v>
      </c>
      <c r="L547">
        <v>12</v>
      </c>
      <c r="M547">
        <v>9</v>
      </c>
      <c r="N547" t="s">
        <v>149</v>
      </c>
      <c r="O547" t="s">
        <v>156</v>
      </c>
      <c r="P547" t="s">
        <v>359</v>
      </c>
      <c r="Q547">
        <v>0.65</v>
      </c>
      <c r="R547" s="9">
        <v>50590.15</v>
      </c>
      <c r="S547" t="str">
        <f>IF(OR(Sheet1[[#This Row],[Salary_USD]]&lt;$V$13,Sheet1[[#This Row],[Salary_USD]]&gt;$V$12),"Outlier","Normal")</f>
        <v>Normal</v>
      </c>
    </row>
    <row r="548" spans="1:19" x14ac:dyDescent="0.25">
      <c r="A548" t="s">
        <v>20</v>
      </c>
      <c r="B548" t="s">
        <v>35</v>
      </c>
      <c r="C548" t="s">
        <v>42</v>
      </c>
      <c r="D548" t="s">
        <v>58</v>
      </c>
      <c r="E548" s="2">
        <v>92700</v>
      </c>
      <c r="F548" s="2">
        <v>12180</v>
      </c>
      <c r="G548" t="s">
        <v>67</v>
      </c>
      <c r="H548" t="s">
        <v>70</v>
      </c>
      <c r="I548" t="s">
        <v>75</v>
      </c>
      <c r="J548" t="s">
        <v>96</v>
      </c>
      <c r="K548" t="s">
        <v>121</v>
      </c>
      <c r="L548">
        <v>6</v>
      </c>
      <c r="M548">
        <v>6</v>
      </c>
      <c r="N548" t="s">
        <v>150</v>
      </c>
      <c r="O548" t="s">
        <v>157</v>
      </c>
      <c r="P548" t="s">
        <v>366</v>
      </c>
      <c r="Q548">
        <v>1</v>
      </c>
      <c r="R548" s="9">
        <v>92700</v>
      </c>
      <c r="S548" t="str">
        <f>IF(OR(Sheet1[[#This Row],[Salary_USD]]&lt;$V$13,Sheet1[[#This Row],[Salary_USD]]&gt;$V$12),"Outlier","Normal")</f>
        <v>Normal</v>
      </c>
    </row>
    <row r="549" spans="1:19" x14ac:dyDescent="0.25">
      <c r="A549" t="s">
        <v>19</v>
      </c>
      <c r="B549" t="s">
        <v>35</v>
      </c>
      <c r="C549" t="s">
        <v>48</v>
      </c>
      <c r="D549" t="s">
        <v>59</v>
      </c>
      <c r="E549" s="2">
        <v>91389</v>
      </c>
      <c r="F549" s="2">
        <v>815</v>
      </c>
      <c r="G549" t="s">
        <v>63</v>
      </c>
      <c r="H549" t="s">
        <v>70</v>
      </c>
      <c r="I549" t="s">
        <v>81</v>
      </c>
      <c r="J549" t="s">
        <v>101</v>
      </c>
      <c r="K549" t="s">
        <v>127</v>
      </c>
      <c r="L549">
        <v>5</v>
      </c>
      <c r="M549">
        <v>2</v>
      </c>
      <c r="N549" t="s">
        <v>152</v>
      </c>
      <c r="O549" t="s">
        <v>156</v>
      </c>
      <c r="P549" t="s">
        <v>199</v>
      </c>
      <c r="Q549">
        <v>1.1000000000000001</v>
      </c>
      <c r="R549" s="9">
        <v>100527.90000000001</v>
      </c>
      <c r="S549" t="str">
        <f>IF(OR(Sheet1[[#This Row],[Salary_USD]]&lt;$V$13,Sheet1[[#This Row],[Salary_USD]]&gt;$V$12),"Outlier","Normal")</f>
        <v>Normal</v>
      </c>
    </row>
    <row r="550" spans="1:19" x14ac:dyDescent="0.25">
      <c r="A550" t="s">
        <v>19</v>
      </c>
      <c r="B550" t="s">
        <v>22</v>
      </c>
      <c r="C550" t="s">
        <v>47</v>
      </c>
      <c r="D550" t="s">
        <v>58</v>
      </c>
      <c r="E550" s="2">
        <v>50283</v>
      </c>
      <c r="F550" s="2">
        <v>3761</v>
      </c>
      <c r="G550" t="s">
        <v>65</v>
      </c>
      <c r="H550" t="s">
        <v>70</v>
      </c>
      <c r="I550" t="s">
        <v>81</v>
      </c>
      <c r="J550" t="s">
        <v>101</v>
      </c>
      <c r="K550" t="s">
        <v>127</v>
      </c>
      <c r="L550">
        <v>9</v>
      </c>
      <c r="M550">
        <v>8</v>
      </c>
      <c r="N550" t="s">
        <v>153</v>
      </c>
      <c r="O550" t="s">
        <v>156</v>
      </c>
      <c r="P550" t="s">
        <v>187</v>
      </c>
      <c r="Q550">
        <v>0.73</v>
      </c>
      <c r="R550" s="9">
        <v>36706.589999999997</v>
      </c>
      <c r="S550" t="str">
        <f>IF(OR(Sheet1[[#This Row],[Salary_USD]]&lt;$V$13,Sheet1[[#This Row],[Salary_USD]]&gt;$V$12),"Outlier","Normal")</f>
        <v>Normal</v>
      </c>
    </row>
    <row r="551" spans="1:19" x14ac:dyDescent="0.25">
      <c r="A551" t="s">
        <v>19</v>
      </c>
      <c r="B551" t="s">
        <v>22</v>
      </c>
      <c r="C551" t="s">
        <v>49</v>
      </c>
      <c r="D551" t="s">
        <v>451</v>
      </c>
      <c r="E551" s="2">
        <v>83958</v>
      </c>
      <c r="F551" s="2">
        <v>2094</v>
      </c>
      <c r="G551" t="s">
        <v>64</v>
      </c>
      <c r="H551" t="s">
        <v>69</v>
      </c>
      <c r="I551" t="s">
        <v>79</v>
      </c>
      <c r="J551" t="s">
        <v>91</v>
      </c>
      <c r="K551" t="s">
        <v>118</v>
      </c>
      <c r="L551">
        <v>15</v>
      </c>
      <c r="M551">
        <v>13</v>
      </c>
      <c r="N551" t="s">
        <v>152</v>
      </c>
      <c r="O551" t="s">
        <v>154</v>
      </c>
      <c r="P551" t="s">
        <v>271</v>
      </c>
      <c r="Q551">
        <v>0.65</v>
      </c>
      <c r="R551" s="9">
        <v>54572.700000000004</v>
      </c>
      <c r="S551" t="str">
        <f>IF(OR(Sheet1[[#This Row],[Salary_USD]]&lt;$V$13,Sheet1[[#This Row],[Salary_USD]]&gt;$V$12),"Outlier","Normal")</f>
        <v>Normal</v>
      </c>
    </row>
    <row r="552" spans="1:19" x14ac:dyDescent="0.25">
      <c r="A552" t="s">
        <v>19</v>
      </c>
      <c r="B552" t="s">
        <v>35</v>
      </c>
      <c r="C552" t="s">
        <v>42</v>
      </c>
      <c r="D552" t="s">
        <v>54</v>
      </c>
      <c r="E552" s="2">
        <v>126006</v>
      </c>
      <c r="F552" s="2">
        <v>677</v>
      </c>
      <c r="G552" t="s">
        <v>64</v>
      </c>
      <c r="H552" t="s">
        <v>70</v>
      </c>
      <c r="I552" t="s">
        <v>77</v>
      </c>
      <c r="J552" t="s">
        <v>97</v>
      </c>
      <c r="K552" t="s">
        <v>122</v>
      </c>
      <c r="L552">
        <v>10</v>
      </c>
      <c r="M552">
        <v>9</v>
      </c>
      <c r="N552" t="s">
        <v>148</v>
      </c>
      <c r="O552" t="s">
        <v>154</v>
      </c>
      <c r="P552" t="s">
        <v>190</v>
      </c>
      <c r="Q552">
        <v>0.65</v>
      </c>
      <c r="R552" s="9">
        <v>81903.900000000009</v>
      </c>
      <c r="S552" t="str">
        <f>IF(OR(Sheet1[[#This Row],[Salary_USD]]&lt;$V$13,Sheet1[[#This Row],[Salary_USD]]&gt;$V$12),"Outlier","Normal")</f>
        <v>Normal</v>
      </c>
    </row>
    <row r="553" spans="1:19" x14ac:dyDescent="0.25">
      <c r="A553" t="s">
        <v>19</v>
      </c>
      <c r="B553" t="s">
        <v>35</v>
      </c>
      <c r="C553" t="s">
        <v>43</v>
      </c>
      <c r="D553" t="s">
        <v>451</v>
      </c>
      <c r="E553" s="2">
        <v>7542</v>
      </c>
      <c r="F553" s="2">
        <v>82</v>
      </c>
      <c r="G553" t="s">
        <v>63</v>
      </c>
      <c r="H553" t="s">
        <v>71</v>
      </c>
      <c r="I553" t="s">
        <v>81</v>
      </c>
      <c r="J553" t="s">
        <v>94</v>
      </c>
      <c r="K553" t="s">
        <v>129</v>
      </c>
      <c r="L553">
        <v>4</v>
      </c>
      <c r="M553">
        <v>4</v>
      </c>
      <c r="N553" t="s">
        <v>148</v>
      </c>
      <c r="O553" t="s">
        <v>155</v>
      </c>
      <c r="P553" t="s">
        <v>169</v>
      </c>
      <c r="Q553">
        <v>1.1000000000000001</v>
      </c>
      <c r="R553" s="9">
        <v>8296.2000000000007</v>
      </c>
      <c r="S553" t="str">
        <f>IF(OR(Sheet1[[#This Row],[Salary_USD]]&lt;$V$13,Sheet1[[#This Row],[Salary_USD]]&gt;$V$12),"Outlier","Normal")</f>
        <v>Normal</v>
      </c>
    </row>
    <row r="554" spans="1:19" x14ac:dyDescent="0.25">
      <c r="A554" t="s">
        <v>19</v>
      </c>
      <c r="B554" t="s">
        <v>35</v>
      </c>
      <c r="C554" t="s">
        <v>37</v>
      </c>
      <c r="D554" t="s">
        <v>62</v>
      </c>
      <c r="E554" s="2">
        <v>77631</v>
      </c>
      <c r="F554" s="2">
        <v>20246</v>
      </c>
      <c r="G554" t="s">
        <v>67</v>
      </c>
      <c r="H554" t="s">
        <v>70</v>
      </c>
      <c r="I554" t="s">
        <v>73</v>
      </c>
      <c r="J554" t="s">
        <v>102</v>
      </c>
      <c r="K554" t="s">
        <v>102</v>
      </c>
      <c r="L554">
        <v>20</v>
      </c>
      <c r="M554">
        <v>19</v>
      </c>
      <c r="N554" t="s">
        <v>150</v>
      </c>
      <c r="O554" t="s">
        <v>154</v>
      </c>
      <c r="P554" t="s">
        <v>367</v>
      </c>
      <c r="Q554">
        <v>1</v>
      </c>
      <c r="R554" s="9">
        <v>77631</v>
      </c>
      <c r="S554" t="str">
        <f>IF(OR(Sheet1[[#This Row],[Salary_USD]]&lt;$V$13,Sheet1[[#This Row],[Salary_USD]]&gt;$V$12),"Outlier","Normal")</f>
        <v>Normal</v>
      </c>
    </row>
    <row r="555" spans="1:19" x14ac:dyDescent="0.25">
      <c r="A555" t="s">
        <v>17</v>
      </c>
      <c r="B555" t="s">
        <v>22</v>
      </c>
      <c r="C555" t="s">
        <v>37</v>
      </c>
      <c r="D555" t="s">
        <v>54</v>
      </c>
      <c r="E555" s="2">
        <v>107770</v>
      </c>
      <c r="F555" s="2">
        <v>3690</v>
      </c>
      <c r="G555" t="s">
        <v>67</v>
      </c>
      <c r="H555" t="s">
        <v>71</v>
      </c>
      <c r="I555" t="s">
        <v>78</v>
      </c>
      <c r="J555" t="s">
        <v>109</v>
      </c>
      <c r="K555" t="s">
        <v>137</v>
      </c>
      <c r="L555">
        <v>25</v>
      </c>
      <c r="M555">
        <v>25</v>
      </c>
      <c r="N555" t="s">
        <v>149</v>
      </c>
      <c r="O555" t="s">
        <v>156</v>
      </c>
      <c r="P555" t="s">
        <v>189</v>
      </c>
      <c r="Q555">
        <v>1</v>
      </c>
      <c r="R555" s="9">
        <v>107770</v>
      </c>
      <c r="S555" t="str">
        <f>IF(OR(Sheet1[[#This Row],[Salary_USD]]&lt;$V$13,Sheet1[[#This Row],[Salary_USD]]&gt;$V$12),"Outlier","Normal")</f>
        <v>Normal</v>
      </c>
    </row>
    <row r="556" spans="1:19" x14ac:dyDescent="0.25">
      <c r="A556" t="s">
        <v>18</v>
      </c>
      <c r="B556" t="s">
        <v>24</v>
      </c>
      <c r="C556" t="s">
        <v>41</v>
      </c>
      <c r="D556" t="s">
        <v>57</v>
      </c>
      <c r="E556" s="2">
        <v>78027</v>
      </c>
      <c r="F556" s="2">
        <v>159</v>
      </c>
      <c r="G556" t="s">
        <v>65</v>
      </c>
      <c r="H556" t="s">
        <v>69</v>
      </c>
      <c r="I556" t="s">
        <v>76</v>
      </c>
      <c r="J556" t="s">
        <v>86</v>
      </c>
      <c r="K556" t="s">
        <v>115</v>
      </c>
      <c r="L556">
        <v>1</v>
      </c>
      <c r="M556">
        <v>0</v>
      </c>
      <c r="N556" t="s">
        <v>149</v>
      </c>
      <c r="O556" t="s">
        <v>154</v>
      </c>
      <c r="P556" t="s">
        <v>178</v>
      </c>
      <c r="Q556">
        <v>0.73</v>
      </c>
      <c r="R556" s="9">
        <v>56959.71</v>
      </c>
      <c r="S556" t="str">
        <f>IF(OR(Sheet1[[#This Row],[Salary_USD]]&lt;$V$13,Sheet1[[#This Row],[Salary_USD]]&gt;$V$12),"Outlier","Normal")</f>
        <v>Normal</v>
      </c>
    </row>
    <row r="557" spans="1:19" x14ac:dyDescent="0.25">
      <c r="A557" t="s">
        <v>17</v>
      </c>
      <c r="B557" t="s">
        <v>31</v>
      </c>
      <c r="C557" t="s">
        <v>45</v>
      </c>
      <c r="D557" t="s">
        <v>59</v>
      </c>
      <c r="E557" s="2">
        <v>61809</v>
      </c>
      <c r="F557" s="2">
        <v>6677</v>
      </c>
      <c r="G557" t="s">
        <v>64</v>
      </c>
      <c r="H557" t="s">
        <v>451</v>
      </c>
      <c r="I557" t="s">
        <v>72</v>
      </c>
      <c r="J557" t="s">
        <v>95</v>
      </c>
      <c r="K557" t="s">
        <v>120</v>
      </c>
      <c r="L557">
        <v>15</v>
      </c>
      <c r="M557">
        <v>13</v>
      </c>
      <c r="N557" t="s">
        <v>151</v>
      </c>
      <c r="O557" t="s">
        <v>157</v>
      </c>
      <c r="P557" t="s">
        <v>312</v>
      </c>
      <c r="Q557">
        <v>0.65</v>
      </c>
      <c r="R557" s="9">
        <v>40175.85</v>
      </c>
      <c r="S557" t="str">
        <f>IF(OR(Sheet1[[#This Row],[Salary_USD]]&lt;$V$13,Sheet1[[#This Row],[Salary_USD]]&gt;$V$12),"Outlier","Normal")</f>
        <v>Normal</v>
      </c>
    </row>
    <row r="558" spans="1:19" x14ac:dyDescent="0.25">
      <c r="A558" t="s">
        <v>21</v>
      </c>
      <c r="B558" t="s">
        <v>24</v>
      </c>
      <c r="C558" t="s">
        <v>53</v>
      </c>
      <c r="D558" t="s">
        <v>59</v>
      </c>
      <c r="E558" s="2">
        <v>66798</v>
      </c>
      <c r="F558" s="2">
        <v>7180</v>
      </c>
      <c r="G558" t="s">
        <v>65</v>
      </c>
      <c r="H558" t="s">
        <v>451</v>
      </c>
      <c r="I558" t="s">
        <v>77</v>
      </c>
      <c r="J558" t="s">
        <v>111</v>
      </c>
      <c r="K558" t="s">
        <v>146</v>
      </c>
      <c r="L558">
        <v>12</v>
      </c>
      <c r="M558">
        <v>9</v>
      </c>
      <c r="N558" t="s">
        <v>153</v>
      </c>
      <c r="O558" t="s">
        <v>157</v>
      </c>
      <c r="P558" t="s">
        <v>171</v>
      </c>
      <c r="Q558">
        <v>0.73</v>
      </c>
      <c r="R558" s="9">
        <v>48762.54</v>
      </c>
      <c r="S558" t="str">
        <f>IF(OR(Sheet1[[#This Row],[Salary_USD]]&lt;$V$13,Sheet1[[#This Row],[Salary_USD]]&gt;$V$12),"Outlier","Normal")</f>
        <v>Normal</v>
      </c>
    </row>
    <row r="559" spans="1:19" x14ac:dyDescent="0.25">
      <c r="A559" t="s">
        <v>19</v>
      </c>
      <c r="B559" t="s">
        <v>34</v>
      </c>
      <c r="C559" t="s">
        <v>53</v>
      </c>
      <c r="D559" t="s">
        <v>54</v>
      </c>
      <c r="E559" s="2">
        <v>56180</v>
      </c>
      <c r="F559" s="2">
        <v>7647</v>
      </c>
      <c r="G559" t="s">
        <v>63</v>
      </c>
      <c r="H559" t="s">
        <v>451</v>
      </c>
      <c r="I559" t="s">
        <v>74</v>
      </c>
      <c r="J559" t="s">
        <v>84</v>
      </c>
      <c r="K559" t="s">
        <v>74</v>
      </c>
      <c r="L559">
        <v>9</v>
      </c>
      <c r="M559">
        <v>9</v>
      </c>
      <c r="N559" t="s">
        <v>153</v>
      </c>
      <c r="O559" t="s">
        <v>155</v>
      </c>
      <c r="P559" t="s">
        <v>362</v>
      </c>
      <c r="Q559">
        <v>1.1000000000000001</v>
      </c>
      <c r="R559" s="9">
        <v>61798.000000000007</v>
      </c>
      <c r="S559" t="str">
        <f>IF(OR(Sheet1[[#This Row],[Salary_USD]]&lt;$V$13,Sheet1[[#This Row],[Salary_USD]]&gt;$V$12),"Outlier","Normal")</f>
        <v>Normal</v>
      </c>
    </row>
    <row r="560" spans="1:19" x14ac:dyDescent="0.25">
      <c r="A560" t="s">
        <v>21</v>
      </c>
      <c r="B560" t="s">
        <v>28</v>
      </c>
      <c r="C560" t="s">
        <v>53</v>
      </c>
      <c r="D560" t="s">
        <v>61</v>
      </c>
      <c r="E560" s="2">
        <v>58596</v>
      </c>
      <c r="F560" s="2">
        <v>10853</v>
      </c>
      <c r="G560" t="s">
        <v>68</v>
      </c>
      <c r="H560" t="s">
        <v>451</v>
      </c>
      <c r="I560" t="s">
        <v>79</v>
      </c>
      <c r="J560" t="s">
        <v>91</v>
      </c>
      <c r="K560" t="s">
        <v>118</v>
      </c>
      <c r="L560">
        <v>8</v>
      </c>
      <c r="M560">
        <v>8</v>
      </c>
      <c r="N560" t="s">
        <v>148</v>
      </c>
      <c r="O560" t="s">
        <v>156</v>
      </c>
      <c r="P560" t="s">
        <v>175</v>
      </c>
      <c r="Q560">
        <v>1.25</v>
      </c>
      <c r="R560" s="9">
        <v>73245</v>
      </c>
      <c r="S560" t="str">
        <f>IF(OR(Sheet1[[#This Row],[Salary_USD]]&lt;$V$13,Sheet1[[#This Row],[Salary_USD]]&gt;$V$12),"Outlier","Normal")</f>
        <v>Normal</v>
      </c>
    </row>
    <row r="561" spans="1:19" x14ac:dyDescent="0.25">
      <c r="A561" t="s">
        <v>21</v>
      </c>
      <c r="B561" t="s">
        <v>26</v>
      </c>
      <c r="C561" t="s">
        <v>39</v>
      </c>
      <c r="D561" t="s">
        <v>54</v>
      </c>
      <c r="E561" s="2">
        <v>96559</v>
      </c>
      <c r="F561" s="2">
        <v>4794</v>
      </c>
      <c r="G561" t="s">
        <v>64</v>
      </c>
      <c r="H561" t="s">
        <v>451</v>
      </c>
      <c r="I561" t="s">
        <v>75</v>
      </c>
      <c r="J561" t="s">
        <v>85</v>
      </c>
      <c r="K561" t="s">
        <v>114</v>
      </c>
      <c r="L561">
        <v>15</v>
      </c>
      <c r="M561">
        <v>12</v>
      </c>
      <c r="N561" t="s">
        <v>149</v>
      </c>
      <c r="O561" t="s">
        <v>155</v>
      </c>
      <c r="P561" t="s">
        <v>307</v>
      </c>
      <c r="Q561">
        <v>0.65</v>
      </c>
      <c r="R561" s="9">
        <v>62763.35</v>
      </c>
      <c r="S561" t="str">
        <f>IF(OR(Sheet1[[#This Row],[Salary_USD]]&lt;$V$13,Sheet1[[#This Row],[Salary_USD]]&gt;$V$12),"Outlier","Normal")</f>
        <v>Normal</v>
      </c>
    </row>
    <row r="562" spans="1:19" x14ac:dyDescent="0.25">
      <c r="A562" t="s">
        <v>17</v>
      </c>
      <c r="B562" t="s">
        <v>35</v>
      </c>
      <c r="C562" t="s">
        <v>45</v>
      </c>
      <c r="D562" t="s">
        <v>55</v>
      </c>
      <c r="E562" s="2">
        <v>13459</v>
      </c>
      <c r="F562" s="2">
        <v>9827</v>
      </c>
      <c r="G562" t="s">
        <v>63</v>
      </c>
      <c r="H562" t="s">
        <v>69</v>
      </c>
      <c r="I562" t="s">
        <v>81</v>
      </c>
      <c r="J562" t="s">
        <v>94</v>
      </c>
      <c r="K562" t="s">
        <v>129</v>
      </c>
      <c r="L562">
        <v>20</v>
      </c>
      <c r="M562">
        <v>20</v>
      </c>
      <c r="N562" t="s">
        <v>150</v>
      </c>
      <c r="O562" t="s">
        <v>157</v>
      </c>
      <c r="P562" t="s">
        <v>162</v>
      </c>
      <c r="Q562">
        <v>1.1000000000000001</v>
      </c>
      <c r="R562" s="9">
        <v>14804.900000000001</v>
      </c>
      <c r="S562" t="str">
        <f>IF(OR(Sheet1[[#This Row],[Salary_USD]]&lt;$V$13,Sheet1[[#This Row],[Salary_USD]]&gt;$V$12),"Outlier","Normal")</f>
        <v>Normal</v>
      </c>
    </row>
    <row r="563" spans="1:19" x14ac:dyDescent="0.25">
      <c r="A563" t="s">
        <v>19</v>
      </c>
      <c r="B563" t="s">
        <v>35</v>
      </c>
      <c r="C563" t="s">
        <v>40</v>
      </c>
      <c r="D563" t="s">
        <v>59</v>
      </c>
      <c r="E563" s="2">
        <v>63335</v>
      </c>
      <c r="F563" s="2">
        <v>1976</v>
      </c>
      <c r="G563" t="s">
        <v>65</v>
      </c>
      <c r="H563" t="s">
        <v>70</v>
      </c>
      <c r="I563" t="s">
        <v>73</v>
      </c>
      <c r="J563" t="s">
        <v>102</v>
      </c>
      <c r="K563" t="s">
        <v>102</v>
      </c>
      <c r="L563">
        <v>18</v>
      </c>
      <c r="M563">
        <v>17</v>
      </c>
      <c r="N563" t="s">
        <v>152</v>
      </c>
      <c r="O563" t="s">
        <v>156</v>
      </c>
      <c r="P563" t="s">
        <v>368</v>
      </c>
      <c r="Q563">
        <v>0.73</v>
      </c>
      <c r="R563" s="9">
        <v>46234.549999999996</v>
      </c>
      <c r="S563" t="str">
        <f>IF(OR(Sheet1[[#This Row],[Salary_USD]]&lt;$V$13,Sheet1[[#This Row],[Salary_USD]]&gt;$V$12),"Outlier","Normal")</f>
        <v>Normal</v>
      </c>
    </row>
    <row r="564" spans="1:19" x14ac:dyDescent="0.25">
      <c r="A564" t="s">
        <v>19</v>
      </c>
      <c r="B564" t="s">
        <v>22</v>
      </c>
      <c r="C564" t="s">
        <v>44</v>
      </c>
      <c r="D564" t="s">
        <v>55</v>
      </c>
      <c r="E564" s="2">
        <v>31587</v>
      </c>
      <c r="F564" s="2">
        <v>8607</v>
      </c>
      <c r="G564" t="s">
        <v>63</v>
      </c>
      <c r="H564" t="s">
        <v>451</v>
      </c>
      <c r="I564" t="s">
        <v>78</v>
      </c>
      <c r="J564" t="s">
        <v>109</v>
      </c>
      <c r="K564" t="s">
        <v>137</v>
      </c>
      <c r="L564">
        <v>5</v>
      </c>
      <c r="M564">
        <v>5</v>
      </c>
      <c r="N564" t="s">
        <v>153</v>
      </c>
      <c r="O564" t="s">
        <v>155</v>
      </c>
      <c r="P564" t="s">
        <v>180</v>
      </c>
      <c r="Q564">
        <v>1.1000000000000001</v>
      </c>
      <c r="R564" s="9">
        <v>34745.700000000004</v>
      </c>
      <c r="S564" t="str">
        <f>IF(OR(Sheet1[[#This Row],[Salary_USD]]&lt;$V$13,Sheet1[[#This Row],[Salary_USD]]&gt;$V$12),"Outlier","Normal")</f>
        <v>Normal</v>
      </c>
    </row>
    <row r="565" spans="1:19" x14ac:dyDescent="0.25">
      <c r="A565" t="s">
        <v>17</v>
      </c>
      <c r="B565" t="s">
        <v>35</v>
      </c>
      <c r="C565" t="s">
        <v>48</v>
      </c>
      <c r="D565" t="s">
        <v>57</v>
      </c>
      <c r="E565" s="2">
        <v>50965</v>
      </c>
      <c r="F565" s="2">
        <v>1114</v>
      </c>
      <c r="G565" t="s">
        <v>67</v>
      </c>
      <c r="H565" t="s">
        <v>451</v>
      </c>
      <c r="I565" t="s">
        <v>79</v>
      </c>
      <c r="J565" t="s">
        <v>91</v>
      </c>
      <c r="K565" t="s">
        <v>118</v>
      </c>
      <c r="L565">
        <v>12</v>
      </c>
      <c r="M565">
        <v>10</v>
      </c>
      <c r="N565" t="s">
        <v>153</v>
      </c>
      <c r="O565" t="s">
        <v>155</v>
      </c>
      <c r="P565" t="s">
        <v>229</v>
      </c>
      <c r="Q565">
        <v>1</v>
      </c>
      <c r="R565" s="9">
        <v>50965</v>
      </c>
      <c r="S565" t="str">
        <f>IF(OR(Sheet1[[#This Row],[Salary_USD]]&lt;$V$13,Sheet1[[#This Row],[Salary_USD]]&gt;$V$12),"Outlier","Normal")</f>
        <v>Normal</v>
      </c>
    </row>
    <row r="566" spans="1:19" x14ac:dyDescent="0.25">
      <c r="A566" t="s">
        <v>19</v>
      </c>
      <c r="B566" t="s">
        <v>28</v>
      </c>
      <c r="C566" t="s">
        <v>38</v>
      </c>
      <c r="D566" t="s">
        <v>60</v>
      </c>
      <c r="E566" s="2">
        <v>34268</v>
      </c>
      <c r="F566" s="2">
        <v>580</v>
      </c>
      <c r="G566" t="s">
        <v>68</v>
      </c>
      <c r="H566" t="s">
        <v>451</v>
      </c>
      <c r="I566" t="s">
        <v>80</v>
      </c>
      <c r="J566" t="s">
        <v>106</v>
      </c>
      <c r="K566" t="s">
        <v>106</v>
      </c>
      <c r="L566">
        <v>18</v>
      </c>
      <c r="M566">
        <v>17</v>
      </c>
      <c r="N566" t="s">
        <v>153</v>
      </c>
      <c r="O566" t="s">
        <v>154</v>
      </c>
      <c r="P566" t="s">
        <v>369</v>
      </c>
      <c r="Q566">
        <v>1.25</v>
      </c>
      <c r="R566" s="9">
        <v>42835</v>
      </c>
      <c r="S566" t="str">
        <f>IF(OR(Sheet1[[#This Row],[Salary_USD]]&lt;$V$13,Sheet1[[#This Row],[Salary_USD]]&gt;$V$12),"Outlier","Normal")</f>
        <v>Normal</v>
      </c>
    </row>
    <row r="567" spans="1:19" x14ac:dyDescent="0.25">
      <c r="A567" t="s">
        <v>19</v>
      </c>
      <c r="B567" t="s">
        <v>24</v>
      </c>
      <c r="C567" t="s">
        <v>52</v>
      </c>
      <c r="D567" t="s">
        <v>58</v>
      </c>
      <c r="E567" s="2">
        <v>764351</v>
      </c>
      <c r="F567" s="2">
        <v>141272</v>
      </c>
      <c r="G567" t="s">
        <v>66</v>
      </c>
      <c r="H567" t="s">
        <v>69</v>
      </c>
      <c r="I567" t="s">
        <v>75</v>
      </c>
      <c r="J567" t="s">
        <v>85</v>
      </c>
      <c r="K567" t="s">
        <v>114</v>
      </c>
      <c r="L567">
        <v>9</v>
      </c>
      <c r="M567">
        <v>9</v>
      </c>
      <c r="N567" t="s">
        <v>149</v>
      </c>
      <c r="O567" t="s">
        <v>155</v>
      </c>
      <c r="P567" t="s">
        <v>188</v>
      </c>
      <c r="Q567">
        <v>1.2E-2</v>
      </c>
      <c r="R567" s="9">
        <v>9172.2119999999995</v>
      </c>
      <c r="S567" t="str">
        <f>IF(OR(Sheet1[[#This Row],[Salary_USD]]&lt;$V$13,Sheet1[[#This Row],[Salary_USD]]&gt;$V$12),"Outlier","Normal")</f>
        <v>Normal</v>
      </c>
    </row>
    <row r="568" spans="1:19" x14ac:dyDescent="0.25">
      <c r="A568" t="s">
        <v>17</v>
      </c>
      <c r="B568" t="s">
        <v>29</v>
      </c>
      <c r="C568" t="s">
        <v>37</v>
      </c>
      <c r="D568" t="s">
        <v>58</v>
      </c>
      <c r="E568" s="2">
        <v>1027906</v>
      </c>
      <c r="F568" s="2">
        <v>0</v>
      </c>
      <c r="G568" t="s">
        <v>66</v>
      </c>
      <c r="H568" t="s">
        <v>451</v>
      </c>
      <c r="I568" t="s">
        <v>77</v>
      </c>
      <c r="J568" t="s">
        <v>111</v>
      </c>
      <c r="K568" t="s">
        <v>146</v>
      </c>
      <c r="L568">
        <v>12</v>
      </c>
      <c r="M568">
        <v>11</v>
      </c>
      <c r="N568" t="s">
        <v>151</v>
      </c>
      <c r="O568" t="s">
        <v>155</v>
      </c>
      <c r="P568" t="s">
        <v>170</v>
      </c>
      <c r="Q568">
        <v>1.2E-2</v>
      </c>
      <c r="R568" s="9">
        <v>12334.871999999999</v>
      </c>
      <c r="S568" t="str">
        <f>IF(OR(Sheet1[[#This Row],[Salary_USD]]&lt;$V$13,Sheet1[[#This Row],[Salary_USD]]&gt;$V$12),"Outlier","Normal")</f>
        <v>Normal</v>
      </c>
    </row>
    <row r="569" spans="1:19" x14ac:dyDescent="0.25">
      <c r="A569" t="s">
        <v>20</v>
      </c>
      <c r="B569" t="s">
        <v>33</v>
      </c>
      <c r="C569" t="s">
        <v>39</v>
      </c>
      <c r="D569" t="s">
        <v>56</v>
      </c>
      <c r="E569" s="2">
        <v>79372</v>
      </c>
      <c r="F569" s="2">
        <v>6487</v>
      </c>
      <c r="G569" t="s">
        <v>65</v>
      </c>
      <c r="H569" t="s">
        <v>451</v>
      </c>
      <c r="I569" t="s">
        <v>75</v>
      </c>
      <c r="J569" t="s">
        <v>108</v>
      </c>
      <c r="K569" t="s">
        <v>135</v>
      </c>
      <c r="L569">
        <v>6</v>
      </c>
      <c r="M569">
        <v>6</v>
      </c>
      <c r="N569" t="s">
        <v>151</v>
      </c>
      <c r="O569" t="s">
        <v>157</v>
      </c>
      <c r="P569" t="s">
        <v>193</v>
      </c>
      <c r="Q569">
        <v>0.73</v>
      </c>
      <c r="R569" s="9">
        <v>57941.56</v>
      </c>
      <c r="S569" t="str">
        <f>IF(OR(Sheet1[[#This Row],[Salary_USD]]&lt;$V$13,Sheet1[[#This Row],[Salary_USD]]&gt;$V$12),"Outlier","Normal")</f>
        <v>Normal</v>
      </c>
    </row>
    <row r="570" spans="1:19" x14ac:dyDescent="0.25">
      <c r="A570" t="s">
        <v>17</v>
      </c>
      <c r="B570" t="s">
        <v>22</v>
      </c>
      <c r="C570" t="s">
        <v>47</v>
      </c>
      <c r="D570" t="s">
        <v>62</v>
      </c>
      <c r="E570" s="2">
        <v>77310</v>
      </c>
      <c r="F570" s="2">
        <v>5662</v>
      </c>
      <c r="G570" t="s">
        <v>63</v>
      </c>
      <c r="H570" t="s">
        <v>69</v>
      </c>
      <c r="I570" t="s">
        <v>72</v>
      </c>
      <c r="J570" t="s">
        <v>82</v>
      </c>
      <c r="K570" t="s">
        <v>112</v>
      </c>
      <c r="L570">
        <v>8</v>
      </c>
      <c r="M570">
        <v>6</v>
      </c>
      <c r="N570" t="s">
        <v>150</v>
      </c>
      <c r="O570" t="s">
        <v>157</v>
      </c>
      <c r="P570" t="s">
        <v>249</v>
      </c>
      <c r="Q570">
        <v>1.1000000000000001</v>
      </c>
      <c r="R570" s="9">
        <v>85041</v>
      </c>
      <c r="S570" t="str">
        <f>IF(OR(Sheet1[[#This Row],[Salary_USD]]&lt;$V$13,Sheet1[[#This Row],[Salary_USD]]&gt;$V$12),"Outlier","Normal")</f>
        <v>Normal</v>
      </c>
    </row>
    <row r="571" spans="1:19" x14ac:dyDescent="0.25">
      <c r="A571" t="s">
        <v>21</v>
      </c>
      <c r="B571" t="s">
        <v>29</v>
      </c>
      <c r="C571" t="s">
        <v>39</v>
      </c>
      <c r="D571" t="s">
        <v>56</v>
      </c>
      <c r="E571" s="2">
        <v>51235</v>
      </c>
      <c r="F571" s="2">
        <v>10116</v>
      </c>
      <c r="G571" t="s">
        <v>64</v>
      </c>
      <c r="H571" t="s">
        <v>69</v>
      </c>
      <c r="I571" t="s">
        <v>80</v>
      </c>
      <c r="J571" t="s">
        <v>93</v>
      </c>
      <c r="K571" t="s">
        <v>93</v>
      </c>
      <c r="L571">
        <v>20</v>
      </c>
      <c r="M571">
        <v>20</v>
      </c>
      <c r="N571" t="s">
        <v>153</v>
      </c>
      <c r="O571" t="s">
        <v>156</v>
      </c>
      <c r="P571" t="s">
        <v>347</v>
      </c>
      <c r="Q571">
        <v>0.65</v>
      </c>
      <c r="R571" s="9">
        <v>33302.75</v>
      </c>
      <c r="S571" t="str">
        <f>IF(OR(Sheet1[[#This Row],[Salary_USD]]&lt;$V$13,Sheet1[[#This Row],[Salary_USD]]&gt;$V$12),"Outlier","Normal")</f>
        <v>Normal</v>
      </c>
    </row>
    <row r="572" spans="1:19" x14ac:dyDescent="0.25">
      <c r="A572" t="s">
        <v>21</v>
      </c>
      <c r="B572" t="s">
        <v>451</v>
      </c>
      <c r="C572" t="s">
        <v>451</v>
      </c>
      <c r="D572" t="s">
        <v>57</v>
      </c>
      <c r="E572" s="2">
        <v>0</v>
      </c>
      <c r="F572" s="2">
        <v>9002</v>
      </c>
      <c r="G572" t="s">
        <v>68</v>
      </c>
      <c r="H572" t="s">
        <v>69</v>
      </c>
      <c r="I572" t="s">
        <v>73</v>
      </c>
      <c r="J572" t="s">
        <v>102</v>
      </c>
      <c r="K572" t="s">
        <v>451</v>
      </c>
      <c r="L572">
        <v>0</v>
      </c>
      <c r="M572">
        <v>15</v>
      </c>
      <c r="N572" t="s">
        <v>149</v>
      </c>
      <c r="O572" t="s">
        <v>452</v>
      </c>
      <c r="P572" t="s">
        <v>169</v>
      </c>
      <c r="Q572">
        <v>1.25</v>
      </c>
      <c r="R572" s="9">
        <v>0</v>
      </c>
      <c r="S572" t="str">
        <f>IF(OR(Sheet1[[#This Row],[Salary_USD]]&lt;$V$13,Sheet1[[#This Row],[Salary_USD]]&gt;$V$12),"Outlier","Normal")</f>
        <v>Normal</v>
      </c>
    </row>
    <row r="573" spans="1:19" x14ac:dyDescent="0.25">
      <c r="A573" t="s">
        <v>19</v>
      </c>
      <c r="B573" t="s">
        <v>31</v>
      </c>
      <c r="C573" t="s">
        <v>41</v>
      </c>
      <c r="D573" t="s">
        <v>55</v>
      </c>
      <c r="E573" s="2">
        <v>73909</v>
      </c>
      <c r="F573" s="2">
        <v>0</v>
      </c>
      <c r="G573" t="s">
        <v>68</v>
      </c>
      <c r="H573" t="s">
        <v>70</v>
      </c>
      <c r="I573" t="s">
        <v>81</v>
      </c>
      <c r="J573" t="s">
        <v>98</v>
      </c>
      <c r="K573" t="s">
        <v>123</v>
      </c>
      <c r="L573">
        <v>4</v>
      </c>
      <c r="M573">
        <v>1</v>
      </c>
      <c r="N573" t="s">
        <v>153</v>
      </c>
      <c r="O573" t="s">
        <v>155</v>
      </c>
      <c r="P573" t="s">
        <v>370</v>
      </c>
      <c r="Q573">
        <v>1.25</v>
      </c>
      <c r="R573" s="9">
        <v>92386.25</v>
      </c>
      <c r="S573" t="str">
        <f>IF(OR(Sheet1[[#This Row],[Salary_USD]]&lt;$V$13,Sheet1[[#This Row],[Salary_USD]]&gt;$V$12),"Outlier","Normal")</f>
        <v>Normal</v>
      </c>
    </row>
    <row r="574" spans="1:19" x14ac:dyDescent="0.25">
      <c r="A574" t="s">
        <v>19</v>
      </c>
      <c r="B574" t="s">
        <v>35</v>
      </c>
      <c r="C574" t="s">
        <v>41</v>
      </c>
      <c r="D574" t="s">
        <v>55</v>
      </c>
      <c r="E574" s="2">
        <v>82605</v>
      </c>
      <c r="F574" s="2">
        <v>2527</v>
      </c>
      <c r="G574" t="s">
        <v>68</v>
      </c>
      <c r="H574" t="s">
        <v>69</v>
      </c>
      <c r="I574" t="s">
        <v>72</v>
      </c>
      <c r="J574" t="s">
        <v>95</v>
      </c>
      <c r="K574" t="s">
        <v>120</v>
      </c>
      <c r="L574">
        <v>4</v>
      </c>
      <c r="M574">
        <v>4</v>
      </c>
      <c r="N574" t="s">
        <v>149</v>
      </c>
      <c r="O574" t="s">
        <v>154</v>
      </c>
      <c r="P574" t="s">
        <v>256</v>
      </c>
      <c r="Q574">
        <v>1.25</v>
      </c>
      <c r="R574" s="9">
        <v>103256.25</v>
      </c>
      <c r="S574" t="str">
        <f>IF(OR(Sheet1[[#This Row],[Salary_USD]]&lt;$V$13,Sheet1[[#This Row],[Salary_USD]]&gt;$V$12),"Outlier","Normal")</f>
        <v>Normal</v>
      </c>
    </row>
    <row r="575" spans="1:19" x14ac:dyDescent="0.25">
      <c r="A575" t="s">
        <v>21</v>
      </c>
      <c r="B575" t="s">
        <v>29</v>
      </c>
      <c r="C575" t="s">
        <v>43</v>
      </c>
      <c r="D575" t="s">
        <v>57</v>
      </c>
      <c r="E575" s="2">
        <v>72883</v>
      </c>
      <c r="F575" s="2">
        <v>12598</v>
      </c>
      <c r="G575" t="s">
        <v>63</v>
      </c>
      <c r="H575" t="s">
        <v>56</v>
      </c>
      <c r="I575" t="s">
        <v>77</v>
      </c>
      <c r="J575" t="s">
        <v>110</v>
      </c>
      <c r="K575" t="s">
        <v>145</v>
      </c>
      <c r="L575">
        <v>15</v>
      </c>
      <c r="M575">
        <v>15</v>
      </c>
      <c r="N575" t="s">
        <v>153</v>
      </c>
      <c r="O575" t="s">
        <v>155</v>
      </c>
      <c r="P575" t="s">
        <v>202</v>
      </c>
      <c r="Q575">
        <v>1.1000000000000001</v>
      </c>
      <c r="R575" s="9">
        <v>80171.3</v>
      </c>
      <c r="S575" t="str">
        <f>IF(OR(Sheet1[[#This Row],[Salary_USD]]&lt;$V$13,Sheet1[[#This Row],[Salary_USD]]&gt;$V$12),"Outlier","Normal")</f>
        <v>Normal</v>
      </c>
    </row>
    <row r="576" spans="1:19" x14ac:dyDescent="0.25">
      <c r="A576" t="s">
        <v>19</v>
      </c>
      <c r="B576" t="s">
        <v>35</v>
      </c>
      <c r="C576" t="s">
        <v>43</v>
      </c>
      <c r="D576" t="s">
        <v>61</v>
      </c>
      <c r="E576" s="2">
        <v>1604081</v>
      </c>
      <c r="F576" s="2">
        <v>244359</v>
      </c>
      <c r="G576" t="s">
        <v>66</v>
      </c>
      <c r="H576" t="s">
        <v>451</v>
      </c>
      <c r="I576" t="s">
        <v>78</v>
      </c>
      <c r="J576" t="s">
        <v>105</v>
      </c>
      <c r="K576" t="s">
        <v>133</v>
      </c>
      <c r="L576">
        <v>25</v>
      </c>
      <c r="M576">
        <v>24</v>
      </c>
      <c r="N576" t="s">
        <v>151</v>
      </c>
      <c r="O576" t="s">
        <v>157</v>
      </c>
      <c r="P576" t="s">
        <v>161</v>
      </c>
      <c r="Q576">
        <v>1.2E-2</v>
      </c>
      <c r="R576" s="9">
        <v>19248.972000000002</v>
      </c>
      <c r="S576" t="str">
        <f>IF(OR(Sheet1[[#This Row],[Salary_USD]]&lt;$V$13,Sheet1[[#This Row],[Salary_USD]]&gt;$V$12),"Outlier","Normal")</f>
        <v>Normal</v>
      </c>
    </row>
    <row r="577" spans="1:19" x14ac:dyDescent="0.25">
      <c r="A577" t="s">
        <v>19</v>
      </c>
      <c r="B577" t="s">
        <v>22</v>
      </c>
      <c r="C577" t="s">
        <v>49</v>
      </c>
      <c r="D577" t="s">
        <v>62</v>
      </c>
      <c r="E577" s="2">
        <v>74722</v>
      </c>
      <c r="F577" s="2">
        <v>8908</v>
      </c>
      <c r="G577" t="s">
        <v>68</v>
      </c>
      <c r="H577" t="s">
        <v>56</v>
      </c>
      <c r="I577" t="s">
        <v>80</v>
      </c>
      <c r="J577" t="s">
        <v>106</v>
      </c>
      <c r="K577" t="s">
        <v>106</v>
      </c>
      <c r="L577">
        <v>7</v>
      </c>
      <c r="M577">
        <v>5</v>
      </c>
      <c r="N577" t="s">
        <v>148</v>
      </c>
      <c r="O577" t="s">
        <v>156</v>
      </c>
      <c r="P577" t="s">
        <v>249</v>
      </c>
      <c r="Q577">
        <v>1.25</v>
      </c>
      <c r="R577" s="9">
        <v>93402.5</v>
      </c>
      <c r="S577" t="str">
        <f>IF(OR(Sheet1[[#This Row],[Salary_USD]]&lt;$V$13,Sheet1[[#This Row],[Salary_USD]]&gt;$V$12),"Outlier","Normal")</f>
        <v>Normal</v>
      </c>
    </row>
    <row r="578" spans="1:19" x14ac:dyDescent="0.25">
      <c r="A578" t="s">
        <v>20</v>
      </c>
      <c r="B578" t="s">
        <v>31</v>
      </c>
      <c r="C578" t="s">
        <v>49</v>
      </c>
      <c r="D578" t="s">
        <v>61</v>
      </c>
      <c r="E578" s="2">
        <v>80201</v>
      </c>
      <c r="F578" s="2">
        <v>20438</v>
      </c>
      <c r="G578" t="s">
        <v>64</v>
      </c>
      <c r="H578" t="s">
        <v>451</v>
      </c>
      <c r="I578" t="s">
        <v>73</v>
      </c>
      <c r="J578" t="s">
        <v>102</v>
      </c>
      <c r="K578" t="s">
        <v>102</v>
      </c>
      <c r="L578">
        <v>0</v>
      </c>
      <c r="M578">
        <v>0</v>
      </c>
      <c r="N578" t="s">
        <v>153</v>
      </c>
      <c r="O578" t="s">
        <v>154</v>
      </c>
      <c r="P578" t="s">
        <v>207</v>
      </c>
      <c r="Q578">
        <v>0.65</v>
      </c>
      <c r="R578" s="9">
        <v>52130.65</v>
      </c>
      <c r="S578" t="str">
        <f>IF(OR(Sheet1[[#This Row],[Salary_USD]]&lt;$V$13,Sheet1[[#This Row],[Salary_USD]]&gt;$V$12),"Outlier","Normal")</f>
        <v>Normal</v>
      </c>
    </row>
    <row r="579" spans="1:19" x14ac:dyDescent="0.25">
      <c r="A579" t="s">
        <v>19</v>
      </c>
      <c r="B579" t="s">
        <v>35</v>
      </c>
      <c r="C579" t="s">
        <v>52</v>
      </c>
      <c r="D579" t="s">
        <v>62</v>
      </c>
      <c r="E579" s="2">
        <v>47196</v>
      </c>
      <c r="F579" s="2">
        <v>434</v>
      </c>
      <c r="G579" t="s">
        <v>67</v>
      </c>
      <c r="H579" t="s">
        <v>69</v>
      </c>
      <c r="I579" t="s">
        <v>77</v>
      </c>
      <c r="J579" t="s">
        <v>89</v>
      </c>
      <c r="K579" t="s">
        <v>124</v>
      </c>
      <c r="L579">
        <v>6</v>
      </c>
      <c r="M579">
        <v>6</v>
      </c>
      <c r="N579" t="s">
        <v>153</v>
      </c>
      <c r="O579" t="s">
        <v>156</v>
      </c>
      <c r="P579" t="s">
        <v>167</v>
      </c>
      <c r="Q579">
        <v>1</v>
      </c>
      <c r="R579" s="9">
        <v>47196</v>
      </c>
      <c r="S579" t="str">
        <f>IF(OR(Sheet1[[#This Row],[Salary_USD]]&lt;$V$13,Sheet1[[#This Row],[Salary_USD]]&gt;$V$12),"Outlier","Normal")</f>
        <v>Normal</v>
      </c>
    </row>
    <row r="580" spans="1:19" x14ac:dyDescent="0.25">
      <c r="A580" t="s">
        <v>20</v>
      </c>
      <c r="B580" t="s">
        <v>33</v>
      </c>
      <c r="C580" t="s">
        <v>44</v>
      </c>
      <c r="D580" t="s">
        <v>62</v>
      </c>
      <c r="E580" s="2">
        <v>21775</v>
      </c>
      <c r="F580" s="2">
        <v>0</v>
      </c>
      <c r="G580" t="s">
        <v>63</v>
      </c>
      <c r="H580" t="s">
        <v>451</v>
      </c>
      <c r="I580" t="s">
        <v>76</v>
      </c>
      <c r="J580" t="s">
        <v>100</v>
      </c>
      <c r="K580" t="s">
        <v>126</v>
      </c>
      <c r="L580">
        <v>3</v>
      </c>
      <c r="M580">
        <v>3</v>
      </c>
      <c r="N580" t="s">
        <v>148</v>
      </c>
      <c r="O580" t="s">
        <v>154</v>
      </c>
      <c r="P580" t="s">
        <v>185</v>
      </c>
      <c r="Q580">
        <v>1.1000000000000001</v>
      </c>
      <c r="R580" s="9">
        <v>23952.500000000004</v>
      </c>
      <c r="S580" t="str">
        <f>IF(OR(Sheet1[[#This Row],[Salary_USD]]&lt;$V$13,Sheet1[[#This Row],[Salary_USD]]&gt;$V$12),"Outlier","Normal")</f>
        <v>Normal</v>
      </c>
    </row>
    <row r="581" spans="1:19" x14ac:dyDescent="0.25">
      <c r="A581" t="s">
        <v>19</v>
      </c>
      <c r="B581" t="s">
        <v>32</v>
      </c>
      <c r="C581" t="s">
        <v>53</v>
      </c>
      <c r="D581" t="s">
        <v>62</v>
      </c>
      <c r="E581" s="2">
        <v>78997</v>
      </c>
      <c r="F581" s="2">
        <v>0</v>
      </c>
      <c r="G581" t="s">
        <v>67</v>
      </c>
      <c r="H581" t="s">
        <v>70</v>
      </c>
      <c r="I581" t="s">
        <v>72</v>
      </c>
      <c r="J581" t="s">
        <v>82</v>
      </c>
      <c r="K581" t="s">
        <v>112</v>
      </c>
      <c r="L581">
        <v>3</v>
      </c>
      <c r="M581">
        <v>2</v>
      </c>
      <c r="N581" t="s">
        <v>152</v>
      </c>
      <c r="O581" t="s">
        <v>156</v>
      </c>
      <c r="P581" t="s">
        <v>195</v>
      </c>
      <c r="Q581">
        <v>1</v>
      </c>
      <c r="R581" s="9">
        <v>78997</v>
      </c>
      <c r="S581" t="str">
        <f>IF(OR(Sheet1[[#This Row],[Salary_USD]]&lt;$V$13,Sheet1[[#This Row],[Salary_USD]]&gt;$V$12),"Outlier","Normal")</f>
        <v>Normal</v>
      </c>
    </row>
    <row r="582" spans="1:19" x14ac:dyDescent="0.25">
      <c r="A582" t="s">
        <v>21</v>
      </c>
      <c r="B582" t="s">
        <v>33</v>
      </c>
      <c r="C582" t="s">
        <v>52</v>
      </c>
      <c r="D582" t="s">
        <v>451</v>
      </c>
      <c r="E582" s="2">
        <v>1295126</v>
      </c>
      <c r="F582" s="2">
        <v>136419</v>
      </c>
      <c r="G582" t="s">
        <v>66</v>
      </c>
      <c r="H582" t="s">
        <v>70</v>
      </c>
      <c r="I582" t="s">
        <v>74</v>
      </c>
      <c r="J582" t="s">
        <v>84</v>
      </c>
      <c r="K582" t="s">
        <v>74</v>
      </c>
      <c r="L582">
        <v>15</v>
      </c>
      <c r="M582">
        <v>12</v>
      </c>
      <c r="N582" t="s">
        <v>149</v>
      </c>
      <c r="O582" t="s">
        <v>156</v>
      </c>
      <c r="P582" t="s">
        <v>371</v>
      </c>
      <c r="Q582">
        <v>1.2E-2</v>
      </c>
      <c r="R582" s="9">
        <v>15541.512000000001</v>
      </c>
      <c r="S582" t="str">
        <f>IF(OR(Sheet1[[#This Row],[Salary_USD]]&lt;$V$13,Sheet1[[#This Row],[Salary_USD]]&gt;$V$12),"Outlier","Normal")</f>
        <v>Normal</v>
      </c>
    </row>
    <row r="583" spans="1:19" x14ac:dyDescent="0.25">
      <c r="A583" t="s">
        <v>21</v>
      </c>
      <c r="B583" t="s">
        <v>23</v>
      </c>
      <c r="C583" t="s">
        <v>38</v>
      </c>
      <c r="D583" t="s">
        <v>57</v>
      </c>
      <c r="E583" s="2">
        <v>68426</v>
      </c>
      <c r="F583" s="2">
        <v>0</v>
      </c>
      <c r="G583" t="s">
        <v>68</v>
      </c>
      <c r="H583" t="s">
        <v>70</v>
      </c>
      <c r="I583" t="s">
        <v>74</v>
      </c>
      <c r="J583" t="s">
        <v>84</v>
      </c>
      <c r="K583" t="s">
        <v>74</v>
      </c>
      <c r="L583">
        <v>18</v>
      </c>
      <c r="M583">
        <v>15</v>
      </c>
      <c r="N583" t="s">
        <v>152</v>
      </c>
      <c r="O583" t="s">
        <v>154</v>
      </c>
      <c r="P583" t="s">
        <v>210</v>
      </c>
      <c r="Q583">
        <v>1.25</v>
      </c>
      <c r="R583" s="9">
        <v>85532.5</v>
      </c>
      <c r="S583" t="str">
        <f>IF(OR(Sheet1[[#This Row],[Salary_USD]]&lt;$V$13,Sheet1[[#This Row],[Salary_USD]]&gt;$V$12),"Outlier","Normal")</f>
        <v>Normal</v>
      </c>
    </row>
    <row r="584" spans="1:19" x14ac:dyDescent="0.25">
      <c r="A584" t="s">
        <v>17</v>
      </c>
      <c r="B584" t="s">
        <v>28</v>
      </c>
      <c r="C584" t="s">
        <v>40</v>
      </c>
      <c r="D584" t="s">
        <v>59</v>
      </c>
      <c r="E584" s="2">
        <v>87909</v>
      </c>
      <c r="F584" s="2">
        <v>3578</v>
      </c>
      <c r="G584" t="s">
        <v>64</v>
      </c>
      <c r="H584" t="s">
        <v>69</v>
      </c>
      <c r="I584" t="s">
        <v>75</v>
      </c>
      <c r="J584" t="s">
        <v>108</v>
      </c>
      <c r="K584" t="s">
        <v>135</v>
      </c>
      <c r="L584">
        <v>8</v>
      </c>
      <c r="M584">
        <v>8</v>
      </c>
      <c r="N584" t="s">
        <v>148</v>
      </c>
      <c r="O584" t="s">
        <v>156</v>
      </c>
      <c r="P584" t="s">
        <v>212</v>
      </c>
      <c r="Q584">
        <v>0.65</v>
      </c>
      <c r="R584" s="9">
        <v>57140.85</v>
      </c>
      <c r="S584" t="str">
        <f>IF(OR(Sheet1[[#This Row],[Salary_USD]]&lt;$V$13,Sheet1[[#This Row],[Salary_USD]]&gt;$V$12),"Outlier","Normal")</f>
        <v>Normal</v>
      </c>
    </row>
    <row r="585" spans="1:19" x14ac:dyDescent="0.25">
      <c r="A585" t="s">
        <v>19</v>
      </c>
      <c r="B585" t="s">
        <v>29</v>
      </c>
      <c r="C585" t="s">
        <v>43</v>
      </c>
      <c r="D585" t="s">
        <v>62</v>
      </c>
      <c r="E585" s="2">
        <v>27630</v>
      </c>
      <c r="F585" s="2">
        <v>1289</v>
      </c>
      <c r="G585" t="s">
        <v>63</v>
      </c>
      <c r="H585" t="s">
        <v>56</v>
      </c>
      <c r="I585" t="s">
        <v>80</v>
      </c>
      <c r="J585" t="s">
        <v>93</v>
      </c>
      <c r="K585" t="s">
        <v>93</v>
      </c>
      <c r="L585">
        <v>2</v>
      </c>
      <c r="M585">
        <v>2</v>
      </c>
      <c r="N585" t="s">
        <v>152</v>
      </c>
      <c r="O585" t="s">
        <v>155</v>
      </c>
      <c r="P585" t="s">
        <v>372</v>
      </c>
      <c r="Q585">
        <v>1.1000000000000001</v>
      </c>
      <c r="R585" s="9">
        <v>30393.000000000004</v>
      </c>
      <c r="S585" t="str">
        <f>IF(OR(Sheet1[[#This Row],[Salary_USD]]&lt;$V$13,Sheet1[[#This Row],[Salary_USD]]&gt;$V$12),"Outlier","Normal")</f>
        <v>Normal</v>
      </c>
    </row>
    <row r="586" spans="1:19" x14ac:dyDescent="0.25">
      <c r="A586" t="s">
        <v>17</v>
      </c>
      <c r="B586" t="s">
        <v>35</v>
      </c>
      <c r="C586" t="s">
        <v>52</v>
      </c>
      <c r="D586" t="s">
        <v>56</v>
      </c>
      <c r="E586" s="2">
        <v>132387</v>
      </c>
      <c r="F586" s="2">
        <v>5253</v>
      </c>
      <c r="G586" t="s">
        <v>64</v>
      </c>
      <c r="H586" t="s">
        <v>70</v>
      </c>
      <c r="I586" t="s">
        <v>76</v>
      </c>
      <c r="J586" t="s">
        <v>86</v>
      </c>
      <c r="K586" t="s">
        <v>115</v>
      </c>
      <c r="L586">
        <v>25</v>
      </c>
      <c r="M586">
        <v>25</v>
      </c>
      <c r="N586" t="s">
        <v>152</v>
      </c>
      <c r="O586" t="s">
        <v>154</v>
      </c>
      <c r="P586" t="s">
        <v>373</v>
      </c>
      <c r="Q586">
        <v>0.65</v>
      </c>
      <c r="R586" s="9">
        <v>86051.55</v>
      </c>
      <c r="S586" t="str">
        <f>IF(OR(Sheet1[[#This Row],[Salary_USD]]&lt;$V$13,Sheet1[[#This Row],[Salary_USD]]&gt;$V$12),"Outlier","Normal")</f>
        <v>Normal</v>
      </c>
    </row>
    <row r="587" spans="1:19" x14ac:dyDescent="0.25">
      <c r="A587" t="s">
        <v>21</v>
      </c>
      <c r="B587" t="s">
        <v>34</v>
      </c>
      <c r="C587" t="s">
        <v>46</v>
      </c>
      <c r="D587" t="s">
        <v>60</v>
      </c>
      <c r="E587" s="2">
        <v>98885</v>
      </c>
      <c r="F587" s="2">
        <v>6813</v>
      </c>
      <c r="G587" t="s">
        <v>67</v>
      </c>
      <c r="H587" t="s">
        <v>56</v>
      </c>
      <c r="I587" t="s">
        <v>75</v>
      </c>
      <c r="J587" t="s">
        <v>108</v>
      </c>
      <c r="K587" t="s">
        <v>135</v>
      </c>
      <c r="L587">
        <v>18</v>
      </c>
      <c r="M587">
        <v>18</v>
      </c>
      <c r="N587" t="s">
        <v>149</v>
      </c>
      <c r="O587" t="s">
        <v>155</v>
      </c>
      <c r="P587" t="s">
        <v>283</v>
      </c>
      <c r="Q587">
        <v>1</v>
      </c>
      <c r="R587" s="9">
        <v>98885</v>
      </c>
      <c r="S587" t="str">
        <f>IF(OR(Sheet1[[#This Row],[Salary_USD]]&lt;$V$13,Sheet1[[#This Row],[Salary_USD]]&gt;$V$12),"Outlier","Normal")</f>
        <v>Normal</v>
      </c>
    </row>
    <row r="588" spans="1:19" x14ac:dyDescent="0.25">
      <c r="A588" t="s">
        <v>20</v>
      </c>
      <c r="B588" t="s">
        <v>34</v>
      </c>
      <c r="C588" t="s">
        <v>40</v>
      </c>
      <c r="D588" t="s">
        <v>56</v>
      </c>
      <c r="E588" s="2">
        <v>148135</v>
      </c>
      <c r="F588" s="2">
        <v>15685</v>
      </c>
      <c r="G588" t="s">
        <v>67</v>
      </c>
      <c r="H588" t="s">
        <v>69</v>
      </c>
      <c r="I588" t="s">
        <v>76</v>
      </c>
      <c r="J588" t="s">
        <v>86</v>
      </c>
      <c r="K588" t="s">
        <v>115</v>
      </c>
      <c r="L588">
        <v>5</v>
      </c>
      <c r="M588">
        <v>5</v>
      </c>
      <c r="N588" t="s">
        <v>151</v>
      </c>
      <c r="O588" t="s">
        <v>154</v>
      </c>
      <c r="P588" t="s">
        <v>374</v>
      </c>
      <c r="Q588">
        <v>1</v>
      </c>
      <c r="R588" s="9">
        <v>148135</v>
      </c>
      <c r="S588" t="str">
        <f>IF(OR(Sheet1[[#This Row],[Salary_USD]]&lt;$V$13,Sheet1[[#This Row],[Salary_USD]]&gt;$V$12),"Outlier","Normal")</f>
        <v>Normal</v>
      </c>
    </row>
    <row r="589" spans="1:19" x14ac:dyDescent="0.25">
      <c r="A589" t="s">
        <v>20</v>
      </c>
      <c r="B589" t="s">
        <v>35</v>
      </c>
      <c r="C589" t="s">
        <v>40</v>
      </c>
      <c r="D589" t="s">
        <v>58</v>
      </c>
      <c r="E589" s="2">
        <v>65728</v>
      </c>
      <c r="F589" s="2">
        <v>858</v>
      </c>
      <c r="G589" t="s">
        <v>63</v>
      </c>
      <c r="H589" t="s">
        <v>451</v>
      </c>
      <c r="I589" t="s">
        <v>77</v>
      </c>
      <c r="J589" t="s">
        <v>87</v>
      </c>
      <c r="K589" t="s">
        <v>143</v>
      </c>
      <c r="L589">
        <v>7</v>
      </c>
      <c r="M589">
        <v>6</v>
      </c>
      <c r="N589" t="s">
        <v>151</v>
      </c>
      <c r="O589" t="s">
        <v>157</v>
      </c>
      <c r="P589" t="s">
        <v>275</v>
      </c>
      <c r="Q589">
        <v>1.1000000000000001</v>
      </c>
      <c r="R589" s="9">
        <v>72300.800000000003</v>
      </c>
      <c r="S589" t="str">
        <f>IF(OR(Sheet1[[#This Row],[Salary_USD]]&lt;$V$13,Sheet1[[#This Row],[Salary_USD]]&gt;$V$12),"Outlier","Normal")</f>
        <v>Normal</v>
      </c>
    </row>
    <row r="590" spans="1:19" x14ac:dyDescent="0.25">
      <c r="A590" t="s">
        <v>20</v>
      </c>
      <c r="B590" t="s">
        <v>28</v>
      </c>
      <c r="C590" t="s">
        <v>52</v>
      </c>
      <c r="D590" t="s">
        <v>62</v>
      </c>
      <c r="E590" s="2">
        <v>73463</v>
      </c>
      <c r="F590" s="2">
        <v>0</v>
      </c>
      <c r="G590" t="s">
        <v>64</v>
      </c>
      <c r="H590" t="s">
        <v>56</v>
      </c>
      <c r="I590" t="s">
        <v>78</v>
      </c>
      <c r="J590" t="s">
        <v>105</v>
      </c>
      <c r="K590" t="s">
        <v>142</v>
      </c>
      <c r="L590">
        <v>2</v>
      </c>
      <c r="M590">
        <v>2</v>
      </c>
      <c r="N590" t="s">
        <v>151</v>
      </c>
      <c r="O590" t="s">
        <v>155</v>
      </c>
      <c r="P590" t="s">
        <v>375</v>
      </c>
      <c r="Q590">
        <v>0.65</v>
      </c>
      <c r="R590" s="9">
        <v>47750.950000000004</v>
      </c>
      <c r="S590" t="str">
        <f>IF(OR(Sheet1[[#This Row],[Salary_USD]]&lt;$V$13,Sheet1[[#This Row],[Salary_USD]]&gt;$V$12),"Outlier","Normal")</f>
        <v>Normal</v>
      </c>
    </row>
    <row r="591" spans="1:19" x14ac:dyDescent="0.25">
      <c r="A591" t="s">
        <v>17</v>
      </c>
      <c r="B591" t="s">
        <v>35</v>
      </c>
      <c r="C591" t="s">
        <v>47</v>
      </c>
      <c r="D591" t="s">
        <v>54</v>
      </c>
      <c r="E591" s="2">
        <v>15354</v>
      </c>
      <c r="F591" s="2">
        <v>264</v>
      </c>
      <c r="G591" t="s">
        <v>68</v>
      </c>
      <c r="H591" t="s">
        <v>56</v>
      </c>
      <c r="I591" t="s">
        <v>75</v>
      </c>
      <c r="J591" t="s">
        <v>96</v>
      </c>
      <c r="K591" t="s">
        <v>121</v>
      </c>
      <c r="L591">
        <v>15</v>
      </c>
      <c r="M591">
        <v>14</v>
      </c>
      <c r="N591" t="s">
        <v>150</v>
      </c>
      <c r="O591" t="s">
        <v>154</v>
      </c>
      <c r="P591" t="s">
        <v>175</v>
      </c>
      <c r="Q591">
        <v>1.25</v>
      </c>
      <c r="R591" s="9">
        <v>19192.5</v>
      </c>
      <c r="S591" t="str">
        <f>IF(OR(Sheet1[[#This Row],[Salary_USD]]&lt;$V$13,Sheet1[[#This Row],[Salary_USD]]&gt;$V$12),"Outlier","Normal")</f>
        <v>Normal</v>
      </c>
    </row>
    <row r="592" spans="1:19" x14ac:dyDescent="0.25">
      <c r="A592" t="s">
        <v>21</v>
      </c>
      <c r="B592" t="s">
        <v>35</v>
      </c>
      <c r="C592" t="s">
        <v>48</v>
      </c>
      <c r="D592" t="s">
        <v>55</v>
      </c>
      <c r="E592" s="2">
        <v>30154</v>
      </c>
      <c r="F592" s="2">
        <v>685</v>
      </c>
      <c r="G592" t="s">
        <v>63</v>
      </c>
      <c r="H592" t="s">
        <v>70</v>
      </c>
      <c r="I592" t="s">
        <v>81</v>
      </c>
      <c r="J592" t="s">
        <v>98</v>
      </c>
      <c r="K592" t="s">
        <v>123</v>
      </c>
      <c r="L592">
        <v>10</v>
      </c>
      <c r="M592">
        <v>9</v>
      </c>
      <c r="N592" t="s">
        <v>148</v>
      </c>
      <c r="O592" t="s">
        <v>154</v>
      </c>
      <c r="P592" t="s">
        <v>169</v>
      </c>
      <c r="Q592">
        <v>1.1000000000000001</v>
      </c>
      <c r="R592" s="9">
        <v>33169.4</v>
      </c>
      <c r="S592" t="str">
        <f>IF(OR(Sheet1[[#This Row],[Salary_USD]]&lt;$V$13,Sheet1[[#This Row],[Salary_USD]]&gt;$V$12),"Outlier","Normal")</f>
        <v>Normal</v>
      </c>
    </row>
    <row r="593" spans="1:19" x14ac:dyDescent="0.25">
      <c r="A593" t="s">
        <v>19</v>
      </c>
      <c r="B593" t="s">
        <v>28</v>
      </c>
      <c r="C593" t="s">
        <v>53</v>
      </c>
      <c r="D593" t="s">
        <v>60</v>
      </c>
      <c r="E593" s="2">
        <v>109815</v>
      </c>
      <c r="F593" s="2">
        <v>591</v>
      </c>
      <c r="G593" t="s">
        <v>64</v>
      </c>
      <c r="H593" t="s">
        <v>70</v>
      </c>
      <c r="I593" t="s">
        <v>73</v>
      </c>
      <c r="J593" t="s">
        <v>99</v>
      </c>
      <c r="K593" t="s">
        <v>125</v>
      </c>
      <c r="L593">
        <v>20</v>
      </c>
      <c r="M593">
        <v>17</v>
      </c>
      <c r="N593" t="s">
        <v>148</v>
      </c>
      <c r="O593" t="s">
        <v>154</v>
      </c>
      <c r="P593" t="s">
        <v>167</v>
      </c>
      <c r="Q593">
        <v>0.65</v>
      </c>
      <c r="R593" s="9">
        <v>71379.75</v>
      </c>
      <c r="S593" t="str">
        <f>IF(OR(Sheet1[[#This Row],[Salary_USD]]&lt;$V$13,Sheet1[[#This Row],[Salary_USD]]&gt;$V$12),"Outlier","Normal")</f>
        <v>Normal</v>
      </c>
    </row>
    <row r="594" spans="1:19" x14ac:dyDescent="0.25">
      <c r="A594" t="s">
        <v>19</v>
      </c>
      <c r="B594" t="s">
        <v>22</v>
      </c>
      <c r="C594" t="s">
        <v>41</v>
      </c>
      <c r="D594" t="s">
        <v>56</v>
      </c>
      <c r="E594" s="2">
        <v>74964</v>
      </c>
      <c r="F594" s="2">
        <v>12358</v>
      </c>
      <c r="G594" t="s">
        <v>64</v>
      </c>
      <c r="H594" t="s">
        <v>71</v>
      </c>
      <c r="I594" t="s">
        <v>73</v>
      </c>
      <c r="J594" t="s">
        <v>102</v>
      </c>
      <c r="K594" t="s">
        <v>102</v>
      </c>
      <c r="L594">
        <v>15</v>
      </c>
      <c r="M594">
        <v>13</v>
      </c>
      <c r="N594" t="s">
        <v>153</v>
      </c>
      <c r="O594" t="s">
        <v>154</v>
      </c>
      <c r="P594" t="s">
        <v>196</v>
      </c>
      <c r="Q594">
        <v>0.65</v>
      </c>
      <c r="R594" s="9">
        <v>48726.6</v>
      </c>
      <c r="S594" t="str">
        <f>IF(OR(Sheet1[[#This Row],[Salary_USD]]&lt;$V$13,Sheet1[[#This Row],[Salary_USD]]&gt;$V$12),"Outlier","Normal")</f>
        <v>Normal</v>
      </c>
    </row>
    <row r="595" spans="1:19" x14ac:dyDescent="0.25">
      <c r="A595" t="s">
        <v>19</v>
      </c>
      <c r="B595" t="s">
        <v>29</v>
      </c>
      <c r="C595" t="s">
        <v>39</v>
      </c>
      <c r="D595" t="s">
        <v>54</v>
      </c>
      <c r="E595" s="2">
        <v>99773</v>
      </c>
      <c r="F595" s="2">
        <v>9039</v>
      </c>
      <c r="G595" t="s">
        <v>64</v>
      </c>
      <c r="H595" t="s">
        <v>70</v>
      </c>
      <c r="I595" t="s">
        <v>80</v>
      </c>
      <c r="J595" t="s">
        <v>93</v>
      </c>
      <c r="K595" t="s">
        <v>93</v>
      </c>
      <c r="L595">
        <v>15</v>
      </c>
      <c r="M595">
        <v>15</v>
      </c>
      <c r="N595" t="s">
        <v>149</v>
      </c>
      <c r="O595" t="s">
        <v>154</v>
      </c>
      <c r="P595" t="s">
        <v>169</v>
      </c>
      <c r="Q595">
        <v>0.65</v>
      </c>
      <c r="R595" s="9">
        <v>64852.450000000004</v>
      </c>
      <c r="S595" t="str">
        <f>IF(OR(Sheet1[[#This Row],[Salary_USD]]&lt;$V$13,Sheet1[[#This Row],[Salary_USD]]&gt;$V$12),"Outlier","Normal")</f>
        <v>Normal</v>
      </c>
    </row>
    <row r="596" spans="1:19" x14ac:dyDescent="0.25">
      <c r="A596" t="s">
        <v>19</v>
      </c>
      <c r="B596" t="s">
        <v>35</v>
      </c>
      <c r="C596" t="s">
        <v>37</v>
      </c>
      <c r="D596" t="s">
        <v>58</v>
      </c>
      <c r="E596" s="2">
        <v>64264</v>
      </c>
      <c r="F596" s="2">
        <v>0</v>
      </c>
      <c r="G596" t="s">
        <v>65</v>
      </c>
      <c r="H596" t="s">
        <v>69</v>
      </c>
      <c r="I596" t="s">
        <v>79</v>
      </c>
      <c r="J596" t="s">
        <v>107</v>
      </c>
      <c r="K596" t="s">
        <v>134</v>
      </c>
      <c r="L596">
        <v>4</v>
      </c>
      <c r="M596">
        <v>1</v>
      </c>
      <c r="N596" t="s">
        <v>153</v>
      </c>
      <c r="O596" t="s">
        <v>157</v>
      </c>
      <c r="P596" t="s">
        <v>171</v>
      </c>
      <c r="Q596">
        <v>0.73</v>
      </c>
      <c r="R596" s="9">
        <v>46912.72</v>
      </c>
      <c r="S596" t="str">
        <f>IF(OR(Sheet1[[#This Row],[Salary_USD]]&lt;$V$13,Sheet1[[#This Row],[Salary_USD]]&gt;$V$12),"Outlier","Normal")</f>
        <v>Normal</v>
      </c>
    </row>
    <row r="597" spans="1:19" x14ac:dyDescent="0.25">
      <c r="A597" t="s">
        <v>17</v>
      </c>
      <c r="B597" t="s">
        <v>35</v>
      </c>
      <c r="C597" t="s">
        <v>48</v>
      </c>
      <c r="D597" t="s">
        <v>56</v>
      </c>
      <c r="E597" s="2">
        <v>118310</v>
      </c>
      <c r="F597" s="2">
        <v>4562</v>
      </c>
      <c r="G597" t="s">
        <v>67</v>
      </c>
      <c r="H597" t="s">
        <v>71</v>
      </c>
      <c r="I597" t="s">
        <v>72</v>
      </c>
      <c r="J597" t="s">
        <v>95</v>
      </c>
      <c r="K597" t="s">
        <v>120</v>
      </c>
      <c r="L597">
        <v>9</v>
      </c>
      <c r="M597">
        <v>9</v>
      </c>
      <c r="N597" t="s">
        <v>148</v>
      </c>
      <c r="O597" t="s">
        <v>157</v>
      </c>
      <c r="P597" t="s">
        <v>262</v>
      </c>
      <c r="Q597">
        <v>1</v>
      </c>
      <c r="R597" s="9">
        <v>118310</v>
      </c>
      <c r="S597" t="str">
        <f>IF(OR(Sheet1[[#This Row],[Salary_USD]]&lt;$V$13,Sheet1[[#This Row],[Salary_USD]]&gt;$V$12),"Outlier","Normal")</f>
        <v>Normal</v>
      </c>
    </row>
    <row r="598" spans="1:19" x14ac:dyDescent="0.25">
      <c r="A598" t="s">
        <v>21</v>
      </c>
      <c r="B598" t="s">
        <v>32</v>
      </c>
      <c r="C598" t="s">
        <v>51</v>
      </c>
      <c r="D598" t="s">
        <v>60</v>
      </c>
      <c r="E598" s="2">
        <v>63795</v>
      </c>
      <c r="F598" s="2">
        <v>16000</v>
      </c>
      <c r="G598" t="s">
        <v>68</v>
      </c>
      <c r="H598" t="s">
        <v>70</v>
      </c>
      <c r="I598" t="s">
        <v>76</v>
      </c>
      <c r="J598" t="s">
        <v>100</v>
      </c>
      <c r="K598" t="s">
        <v>126</v>
      </c>
      <c r="L598">
        <v>9</v>
      </c>
      <c r="M598">
        <v>7</v>
      </c>
      <c r="N598" t="s">
        <v>151</v>
      </c>
      <c r="O598" t="s">
        <v>154</v>
      </c>
      <c r="P598" t="s">
        <v>166</v>
      </c>
      <c r="Q598">
        <v>1.25</v>
      </c>
      <c r="R598" s="9">
        <v>79743.75</v>
      </c>
      <c r="S598" t="str">
        <f>IF(OR(Sheet1[[#This Row],[Salary_USD]]&lt;$V$13,Sheet1[[#This Row],[Salary_USD]]&gt;$V$12),"Outlier","Normal")</f>
        <v>Normal</v>
      </c>
    </row>
    <row r="599" spans="1:19" x14ac:dyDescent="0.25">
      <c r="A599" t="s">
        <v>19</v>
      </c>
      <c r="B599" t="s">
        <v>31</v>
      </c>
      <c r="C599" t="s">
        <v>40</v>
      </c>
      <c r="D599" t="s">
        <v>56</v>
      </c>
      <c r="E599" s="2">
        <v>73792</v>
      </c>
      <c r="F599" s="2">
        <v>2783</v>
      </c>
      <c r="G599" t="s">
        <v>68</v>
      </c>
      <c r="H599" t="s">
        <v>451</v>
      </c>
      <c r="I599" t="s">
        <v>79</v>
      </c>
      <c r="J599" t="s">
        <v>91</v>
      </c>
      <c r="K599" t="s">
        <v>118</v>
      </c>
      <c r="L599">
        <v>25</v>
      </c>
      <c r="M599">
        <v>25</v>
      </c>
      <c r="N599" t="s">
        <v>152</v>
      </c>
      <c r="O599" t="s">
        <v>155</v>
      </c>
      <c r="P599" t="s">
        <v>229</v>
      </c>
      <c r="Q599">
        <v>1.25</v>
      </c>
      <c r="R599" s="9">
        <v>92240</v>
      </c>
      <c r="S599" t="str">
        <f>IF(OR(Sheet1[[#This Row],[Salary_USD]]&lt;$V$13,Sheet1[[#This Row],[Salary_USD]]&gt;$V$12),"Outlier","Normal")</f>
        <v>Normal</v>
      </c>
    </row>
    <row r="600" spans="1:19" x14ac:dyDescent="0.25">
      <c r="A600" t="s">
        <v>21</v>
      </c>
      <c r="B600" t="s">
        <v>29</v>
      </c>
      <c r="C600" t="s">
        <v>53</v>
      </c>
      <c r="D600" t="s">
        <v>57</v>
      </c>
      <c r="E600" s="2">
        <v>87649</v>
      </c>
      <c r="F600" s="2">
        <v>3279</v>
      </c>
      <c r="G600" t="s">
        <v>63</v>
      </c>
      <c r="H600" t="s">
        <v>69</v>
      </c>
      <c r="I600" t="s">
        <v>77</v>
      </c>
      <c r="J600" t="s">
        <v>97</v>
      </c>
      <c r="K600" t="s">
        <v>122</v>
      </c>
      <c r="L600">
        <v>12</v>
      </c>
      <c r="M600">
        <v>12</v>
      </c>
      <c r="N600" t="s">
        <v>149</v>
      </c>
      <c r="O600" t="s">
        <v>155</v>
      </c>
      <c r="P600" t="s">
        <v>188</v>
      </c>
      <c r="Q600">
        <v>1.1000000000000001</v>
      </c>
      <c r="R600" s="9">
        <v>96413.900000000009</v>
      </c>
      <c r="S600" t="str">
        <f>IF(OR(Sheet1[[#This Row],[Salary_USD]]&lt;$V$13,Sheet1[[#This Row],[Salary_USD]]&gt;$V$12),"Outlier","Normal")</f>
        <v>Normal</v>
      </c>
    </row>
    <row r="601" spans="1:19" x14ac:dyDescent="0.25">
      <c r="A601" t="s">
        <v>19</v>
      </c>
      <c r="B601" t="s">
        <v>35</v>
      </c>
      <c r="C601" t="s">
        <v>53</v>
      </c>
      <c r="D601" t="s">
        <v>61</v>
      </c>
      <c r="E601" s="2">
        <v>86772</v>
      </c>
      <c r="F601" s="2">
        <v>4160</v>
      </c>
      <c r="G601" t="s">
        <v>68</v>
      </c>
      <c r="H601" t="s">
        <v>70</v>
      </c>
      <c r="I601" t="s">
        <v>79</v>
      </c>
      <c r="J601" t="s">
        <v>107</v>
      </c>
      <c r="K601" t="s">
        <v>134</v>
      </c>
      <c r="L601">
        <v>12</v>
      </c>
      <c r="M601">
        <v>9</v>
      </c>
      <c r="N601" t="s">
        <v>151</v>
      </c>
      <c r="O601" t="s">
        <v>155</v>
      </c>
      <c r="P601" t="s">
        <v>178</v>
      </c>
      <c r="Q601">
        <v>1.25</v>
      </c>
      <c r="R601" s="9">
        <v>108465</v>
      </c>
      <c r="S601" t="str">
        <f>IF(OR(Sheet1[[#This Row],[Salary_USD]]&lt;$V$13,Sheet1[[#This Row],[Salary_USD]]&gt;$V$12),"Outlier","Normal")</f>
        <v>Normal</v>
      </c>
    </row>
    <row r="602" spans="1:19" x14ac:dyDescent="0.25">
      <c r="A602" t="s">
        <v>19</v>
      </c>
      <c r="B602" t="s">
        <v>22</v>
      </c>
      <c r="C602" t="s">
        <v>41</v>
      </c>
      <c r="D602" t="s">
        <v>61</v>
      </c>
      <c r="E602" s="2">
        <v>54454</v>
      </c>
      <c r="F602" s="2">
        <v>833</v>
      </c>
      <c r="G602" t="s">
        <v>68</v>
      </c>
      <c r="H602" t="s">
        <v>69</v>
      </c>
      <c r="I602" t="s">
        <v>77</v>
      </c>
      <c r="J602" t="s">
        <v>111</v>
      </c>
      <c r="K602" t="s">
        <v>141</v>
      </c>
      <c r="L602">
        <v>15</v>
      </c>
      <c r="M602">
        <v>13</v>
      </c>
      <c r="N602" t="s">
        <v>152</v>
      </c>
      <c r="O602" t="s">
        <v>154</v>
      </c>
      <c r="P602" t="s">
        <v>169</v>
      </c>
      <c r="Q602">
        <v>1.25</v>
      </c>
      <c r="R602" s="9">
        <v>68067.5</v>
      </c>
      <c r="S602" t="str">
        <f>IF(OR(Sheet1[[#This Row],[Salary_USD]]&lt;$V$13,Sheet1[[#This Row],[Salary_USD]]&gt;$V$12),"Outlier","Normal")</f>
        <v>Normal</v>
      </c>
    </row>
    <row r="603" spans="1:19" x14ac:dyDescent="0.25">
      <c r="A603" t="s">
        <v>21</v>
      </c>
      <c r="B603" t="s">
        <v>35</v>
      </c>
      <c r="C603" t="s">
        <v>44</v>
      </c>
      <c r="D603" t="s">
        <v>59</v>
      </c>
      <c r="E603" s="2">
        <v>106009</v>
      </c>
      <c r="F603" s="2">
        <v>19704</v>
      </c>
      <c r="G603" t="s">
        <v>64</v>
      </c>
      <c r="H603" t="s">
        <v>451</v>
      </c>
      <c r="I603" t="s">
        <v>80</v>
      </c>
      <c r="J603" t="s">
        <v>93</v>
      </c>
      <c r="K603" t="s">
        <v>93</v>
      </c>
      <c r="L603">
        <v>25</v>
      </c>
      <c r="M603">
        <v>25</v>
      </c>
      <c r="N603" t="s">
        <v>149</v>
      </c>
      <c r="O603" t="s">
        <v>157</v>
      </c>
      <c r="P603" t="s">
        <v>178</v>
      </c>
      <c r="Q603">
        <v>0.65</v>
      </c>
      <c r="R603" s="9">
        <v>68905.850000000006</v>
      </c>
      <c r="S603" t="str">
        <f>IF(OR(Sheet1[[#This Row],[Salary_USD]]&lt;$V$13,Sheet1[[#This Row],[Salary_USD]]&gt;$V$12),"Outlier","Normal")</f>
        <v>Normal</v>
      </c>
    </row>
    <row r="604" spans="1:19" x14ac:dyDescent="0.25">
      <c r="A604" t="s">
        <v>20</v>
      </c>
      <c r="B604" t="s">
        <v>29</v>
      </c>
      <c r="C604" t="s">
        <v>39</v>
      </c>
      <c r="D604" t="s">
        <v>60</v>
      </c>
      <c r="E604" s="2">
        <v>102569</v>
      </c>
      <c r="F604" s="2">
        <v>1394</v>
      </c>
      <c r="G604" t="s">
        <v>67</v>
      </c>
      <c r="H604" t="s">
        <v>56</v>
      </c>
      <c r="I604" t="s">
        <v>74</v>
      </c>
      <c r="J604" t="s">
        <v>84</v>
      </c>
      <c r="K604" t="s">
        <v>74</v>
      </c>
      <c r="L604">
        <v>7</v>
      </c>
      <c r="M604">
        <v>6</v>
      </c>
      <c r="N604" t="s">
        <v>151</v>
      </c>
      <c r="O604" t="s">
        <v>155</v>
      </c>
      <c r="P604" t="s">
        <v>180</v>
      </c>
      <c r="Q604">
        <v>1</v>
      </c>
      <c r="R604" s="9">
        <v>102569</v>
      </c>
      <c r="S604" t="str">
        <f>IF(OR(Sheet1[[#This Row],[Salary_USD]]&lt;$V$13,Sheet1[[#This Row],[Salary_USD]]&gt;$V$12),"Outlier","Normal")</f>
        <v>Normal</v>
      </c>
    </row>
    <row r="605" spans="1:19" x14ac:dyDescent="0.25">
      <c r="A605" t="s">
        <v>17</v>
      </c>
      <c r="B605" t="s">
        <v>35</v>
      </c>
      <c r="C605" t="s">
        <v>45</v>
      </c>
      <c r="D605" t="s">
        <v>56</v>
      </c>
      <c r="E605" s="2">
        <v>48011</v>
      </c>
      <c r="F605" s="2">
        <v>8472</v>
      </c>
      <c r="G605" t="s">
        <v>68</v>
      </c>
      <c r="H605" t="s">
        <v>69</v>
      </c>
      <c r="I605" t="s">
        <v>76</v>
      </c>
      <c r="J605" t="s">
        <v>100</v>
      </c>
      <c r="K605" t="s">
        <v>126</v>
      </c>
      <c r="L605">
        <v>25</v>
      </c>
      <c r="M605">
        <v>25</v>
      </c>
      <c r="N605" t="s">
        <v>153</v>
      </c>
      <c r="O605" t="s">
        <v>157</v>
      </c>
      <c r="P605" t="s">
        <v>164</v>
      </c>
      <c r="Q605">
        <v>1.25</v>
      </c>
      <c r="R605" s="9">
        <v>60013.75</v>
      </c>
      <c r="S605" t="str">
        <f>IF(OR(Sheet1[[#This Row],[Salary_USD]]&lt;$V$13,Sheet1[[#This Row],[Salary_USD]]&gt;$V$12),"Outlier","Normal")</f>
        <v>Normal</v>
      </c>
    </row>
    <row r="606" spans="1:19" x14ac:dyDescent="0.25">
      <c r="A606" t="s">
        <v>21</v>
      </c>
      <c r="B606" t="s">
        <v>33</v>
      </c>
      <c r="C606" t="s">
        <v>48</v>
      </c>
      <c r="D606" t="s">
        <v>58</v>
      </c>
      <c r="E606" s="2">
        <v>60453</v>
      </c>
      <c r="F606" s="2">
        <v>0</v>
      </c>
      <c r="G606" t="s">
        <v>64</v>
      </c>
      <c r="H606" t="s">
        <v>451</v>
      </c>
      <c r="I606" t="s">
        <v>81</v>
      </c>
      <c r="J606" t="s">
        <v>103</v>
      </c>
      <c r="K606" t="s">
        <v>140</v>
      </c>
      <c r="L606">
        <v>10</v>
      </c>
      <c r="M606">
        <v>10</v>
      </c>
      <c r="N606" t="s">
        <v>152</v>
      </c>
      <c r="O606" t="s">
        <v>154</v>
      </c>
      <c r="P606" t="s">
        <v>241</v>
      </c>
      <c r="Q606">
        <v>0.65</v>
      </c>
      <c r="R606" s="9">
        <v>39294.450000000004</v>
      </c>
      <c r="S606" t="str">
        <f>IF(OR(Sheet1[[#This Row],[Salary_USD]]&lt;$V$13,Sheet1[[#This Row],[Salary_USD]]&gt;$V$12),"Outlier","Normal")</f>
        <v>Normal</v>
      </c>
    </row>
    <row r="607" spans="1:19" x14ac:dyDescent="0.25">
      <c r="A607" t="s">
        <v>18</v>
      </c>
      <c r="B607" t="s">
        <v>35</v>
      </c>
      <c r="C607" t="s">
        <v>51</v>
      </c>
      <c r="D607" t="s">
        <v>61</v>
      </c>
      <c r="E607" s="2">
        <v>70472</v>
      </c>
      <c r="F607" s="2">
        <v>744</v>
      </c>
      <c r="G607" t="s">
        <v>64</v>
      </c>
      <c r="H607" t="s">
        <v>70</v>
      </c>
      <c r="I607" t="s">
        <v>76</v>
      </c>
      <c r="J607" t="s">
        <v>100</v>
      </c>
      <c r="K607" t="s">
        <v>126</v>
      </c>
      <c r="L607">
        <v>0</v>
      </c>
      <c r="M607">
        <v>0</v>
      </c>
      <c r="N607" t="s">
        <v>153</v>
      </c>
      <c r="O607" t="s">
        <v>154</v>
      </c>
      <c r="P607" t="s">
        <v>180</v>
      </c>
      <c r="Q607">
        <v>0.65</v>
      </c>
      <c r="R607" s="9">
        <v>45806.8</v>
      </c>
      <c r="S607" t="str">
        <f>IF(OR(Sheet1[[#This Row],[Salary_USD]]&lt;$V$13,Sheet1[[#This Row],[Salary_USD]]&gt;$V$12),"Outlier","Normal")</f>
        <v>Normal</v>
      </c>
    </row>
    <row r="608" spans="1:19" x14ac:dyDescent="0.25">
      <c r="A608" t="s">
        <v>17</v>
      </c>
      <c r="B608" t="s">
        <v>22</v>
      </c>
      <c r="C608" t="s">
        <v>37</v>
      </c>
      <c r="D608" t="s">
        <v>58</v>
      </c>
      <c r="E608" s="2">
        <v>106328</v>
      </c>
      <c r="F608" s="2">
        <v>0</v>
      </c>
      <c r="G608" t="s">
        <v>64</v>
      </c>
      <c r="H608" t="s">
        <v>69</v>
      </c>
      <c r="I608" t="s">
        <v>81</v>
      </c>
      <c r="J608" t="s">
        <v>98</v>
      </c>
      <c r="K608" t="s">
        <v>123</v>
      </c>
      <c r="L608">
        <v>20</v>
      </c>
      <c r="M608">
        <v>17</v>
      </c>
      <c r="N608" t="s">
        <v>148</v>
      </c>
      <c r="O608" t="s">
        <v>157</v>
      </c>
      <c r="P608" t="s">
        <v>169</v>
      </c>
      <c r="Q608">
        <v>0.65</v>
      </c>
      <c r="R608" s="9">
        <v>69113.2</v>
      </c>
      <c r="S608" t="str">
        <f>IF(OR(Sheet1[[#This Row],[Salary_USD]]&lt;$V$13,Sheet1[[#This Row],[Salary_USD]]&gt;$V$12),"Outlier","Normal")</f>
        <v>Normal</v>
      </c>
    </row>
    <row r="609" spans="1:19" x14ac:dyDescent="0.25">
      <c r="A609" t="s">
        <v>19</v>
      </c>
      <c r="B609" t="s">
        <v>24</v>
      </c>
      <c r="C609" t="s">
        <v>37</v>
      </c>
      <c r="D609" t="s">
        <v>62</v>
      </c>
      <c r="E609" s="2">
        <v>89855</v>
      </c>
      <c r="F609" s="2">
        <v>11706</v>
      </c>
      <c r="G609" t="s">
        <v>67</v>
      </c>
      <c r="H609" t="s">
        <v>71</v>
      </c>
      <c r="I609" t="s">
        <v>72</v>
      </c>
      <c r="J609" t="s">
        <v>82</v>
      </c>
      <c r="K609" t="s">
        <v>112</v>
      </c>
      <c r="L609">
        <v>10</v>
      </c>
      <c r="M609">
        <v>9</v>
      </c>
      <c r="N609" t="s">
        <v>152</v>
      </c>
      <c r="O609" t="s">
        <v>157</v>
      </c>
      <c r="P609" t="s">
        <v>261</v>
      </c>
      <c r="Q609">
        <v>1</v>
      </c>
      <c r="R609" s="9">
        <v>89855</v>
      </c>
      <c r="S609" t="str">
        <f>IF(OR(Sheet1[[#This Row],[Salary_USD]]&lt;$V$13,Sheet1[[#This Row],[Salary_USD]]&gt;$V$12),"Outlier","Normal")</f>
        <v>Normal</v>
      </c>
    </row>
    <row r="610" spans="1:19" x14ac:dyDescent="0.25">
      <c r="A610" t="s">
        <v>19</v>
      </c>
      <c r="B610" t="s">
        <v>32</v>
      </c>
      <c r="C610" t="s">
        <v>45</v>
      </c>
      <c r="D610" t="s">
        <v>59</v>
      </c>
      <c r="E610" s="2">
        <v>56604</v>
      </c>
      <c r="F610" s="2">
        <v>3182</v>
      </c>
      <c r="G610" t="s">
        <v>63</v>
      </c>
      <c r="H610" t="s">
        <v>451</v>
      </c>
      <c r="I610" t="s">
        <v>81</v>
      </c>
      <c r="J610" t="s">
        <v>94</v>
      </c>
      <c r="K610" t="s">
        <v>129</v>
      </c>
      <c r="L610">
        <v>5</v>
      </c>
      <c r="M610">
        <v>5</v>
      </c>
      <c r="N610" t="s">
        <v>152</v>
      </c>
      <c r="O610" t="s">
        <v>154</v>
      </c>
      <c r="P610" t="s">
        <v>187</v>
      </c>
      <c r="Q610">
        <v>1.1000000000000001</v>
      </c>
      <c r="R610" s="9">
        <v>62264.4</v>
      </c>
      <c r="S610" t="str">
        <f>IF(OR(Sheet1[[#This Row],[Salary_USD]]&lt;$V$13,Sheet1[[#This Row],[Salary_USD]]&gt;$V$12),"Outlier","Normal")</f>
        <v>Normal</v>
      </c>
    </row>
    <row r="611" spans="1:19" x14ac:dyDescent="0.25">
      <c r="A611" t="s">
        <v>21</v>
      </c>
      <c r="B611" t="s">
        <v>28</v>
      </c>
      <c r="C611" t="s">
        <v>45</v>
      </c>
      <c r="D611" t="s">
        <v>59</v>
      </c>
      <c r="E611" s="2">
        <v>920618</v>
      </c>
      <c r="F611" s="2">
        <v>124262</v>
      </c>
      <c r="G611" t="s">
        <v>66</v>
      </c>
      <c r="H611" t="s">
        <v>71</v>
      </c>
      <c r="I611" t="s">
        <v>73</v>
      </c>
      <c r="J611" t="s">
        <v>102</v>
      </c>
      <c r="K611" t="s">
        <v>102</v>
      </c>
      <c r="L611">
        <v>12</v>
      </c>
      <c r="M611">
        <v>12</v>
      </c>
      <c r="N611" t="s">
        <v>153</v>
      </c>
      <c r="O611" t="s">
        <v>155</v>
      </c>
      <c r="P611" t="s">
        <v>190</v>
      </c>
      <c r="Q611">
        <v>1.2E-2</v>
      </c>
      <c r="R611" s="9">
        <v>11047.416000000001</v>
      </c>
      <c r="S611" t="str">
        <f>IF(OR(Sheet1[[#This Row],[Salary_USD]]&lt;$V$13,Sheet1[[#This Row],[Salary_USD]]&gt;$V$12),"Outlier","Normal")</f>
        <v>Normal</v>
      </c>
    </row>
    <row r="612" spans="1:19" x14ac:dyDescent="0.25">
      <c r="A612" t="s">
        <v>19</v>
      </c>
      <c r="B612" t="s">
        <v>23</v>
      </c>
      <c r="C612" t="s">
        <v>47</v>
      </c>
      <c r="D612" t="s">
        <v>55</v>
      </c>
      <c r="E612" s="2">
        <v>110886</v>
      </c>
      <c r="F612" s="2">
        <v>0</v>
      </c>
      <c r="G612" t="s">
        <v>68</v>
      </c>
      <c r="H612" t="s">
        <v>71</v>
      </c>
      <c r="I612" t="s">
        <v>75</v>
      </c>
      <c r="J612" t="s">
        <v>108</v>
      </c>
      <c r="K612" t="s">
        <v>135</v>
      </c>
      <c r="L612">
        <v>18</v>
      </c>
      <c r="M612">
        <v>15</v>
      </c>
      <c r="N612" t="s">
        <v>151</v>
      </c>
      <c r="O612" t="s">
        <v>155</v>
      </c>
      <c r="P612" t="s">
        <v>167</v>
      </c>
      <c r="Q612">
        <v>1.25</v>
      </c>
      <c r="R612" s="9">
        <v>138607.5</v>
      </c>
      <c r="S612" t="str">
        <f>IF(OR(Sheet1[[#This Row],[Salary_USD]]&lt;$V$13,Sheet1[[#This Row],[Salary_USD]]&gt;$V$12),"Outlier","Normal")</f>
        <v>Normal</v>
      </c>
    </row>
    <row r="613" spans="1:19" x14ac:dyDescent="0.25">
      <c r="A613" t="s">
        <v>17</v>
      </c>
      <c r="B613" t="s">
        <v>35</v>
      </c>
      <c r="C613" t="s">
        <v>47</v>
      </c>
      <c r="D613" t="s">
        <v>54</v>
      </c>
      <c r="E613" s="2">
        <v>490484</v>
      </c>
      <c r="F613" s="2">
        <v>19766</v>
      </c>
      <c r="G613" t="s">
        <v>66</v>
      </c>
      <c r="H613" t="s">
        <v>69</v>
      </c>
      <c r="I613" t="s">
        <v>79</v>
      </c>
      <c r="J613" t="s">
        <v>91</v>
      </c>
      <c r="K613" t="s">
        <v>118</v>
      </c>
      <c r="L613">
        <v>25</v>
      </c>
      <c r="M613">
        <v>25</v>
      </c>
      <c r="N613" t="s">
        <v>153</v>
      </c>
      <c r="O613" t="s">
        <v>156</v>
      </c>
      <c r="P613" t="s">
        <v>166</v>
      </c>
      <c r="Q613">
        <v>1.2E-2</v>
      </c>
      <c r="R613" s="9">
        <v>5885.808</v>
      </c>
      <c r="S613" t="str">
        <f>IF(OR(Sheet1[[#This Row],[Salary_USD]]&lt;$V$13,Sheet1[[#This Row],[Salary_USD]]&gt;$V$12),"Outlier","Normal")</f>
        <v>Normal</v>
      </c>
    </row>
    <row r="614" spans="1:19" x14ac:dyDescent="0.25">
      <c r="A614" t="s">
        <v>19</v>
      </c>
      <c r="B614" t="s">
        <v>35</v>
      </c>
      <c r="C614" t="s">
        <v>41</v>
      </c>
      <c r="D614" t="s">
        <v>58</v>
      </c>
      <c r="E614" s="2">
        <v>88770</v>
      </c>
      <c r="F614" s="2">
        <v>0</v>
      </c>
      <c r="G614" t="s">
        <v>63</v>
      </c>
      <c r="H614" t="s">
        <v>69</v>
      </c>
      <c r="I614" t="s">
        <v>72</v>
      </c>
      <c r="J614" t="s">
        <v>82</v>
      </c>
      <c r="K614" t="s">
        <v>112</v>
      </c>
      <c r="L614">
        <v>3</v>
      </c>
      <c r="M614">
        <v>3</v>
      </c>
      <c r="N614" t="s">
        <v>149</v>
      </c>
      <c r="O614" t="s">
        <v>157</v>
      </c>
      <c r="P614" t="s">
        <v>188</v>
      </c>
      <c r="Q614">
        <v>1.1000000000000001</v>
      </c>
      <c r="R614" s="9">
        <v>97647.000000000015</v>
      </c>
      <c r="S614" t="str">
        <f>IF(OR(Sheet1[[#This Row],[Salary_USD]]&lt;$V$13,Sheet1[[#This Row],[Salary_USD]]&gt;$V$12),"Outlier","Normal")</f>
        <v>Normal</v>
      </c>
    </row>
    <row r="615" spans="1:19" x14ac:dyDescent="0.25">
      <c r="A615" t="s">
        <v>19</v>
      </c>
      <c r="B615" t="s">
        <v>34</v>
      </c>
      <c r="C615" t="s">
        <v>46</v>
      </c>
      <c r="D615" t="s">
        <v>58</v>
      </c>
      <c r="E615" s="2">
        <v>63194</v>
      </c>
      <c r="F615" s="2">
        <v>870</v>
      </c>
      <c r="G615" t="s">
        <v>65</v>
      </c>
      <c r="H615" t="s">
        <v>56</v>
      </c>
      <c r="I615" t="s">
        <v>81</v>
      </c>
      <c r="J615" t="s">
        <v>101</v>
      </c>
      <c r="K615" t="s">
        <v>127</v>
      </c>
      <c r="L615">
        <v>15</v>
      </c>
      <c r="M615">
        <v>14</v>
      </c>
      <c r="N615" t="s">
        <v>153</v>
      </c>
      <c r="O615" t="s">
        <v>157</v>
      </c>
      <c r="P615" t="s">
        <v>212</v>
      </c>
      <c r="Q615">
        <v>0.73</v>
      </c>
      <c r="R615" s="9">
        <v>46131.619999999995</v>
      </c>
      <c r="S615" t="str">
        <f>IF(OR(Sheet1[[#This Row],[Salary_USD]]&lt;$V$13,Sheet1[[#This Row],[Salary_USD]]&gt;$V$12),"Outlier","Normal")</f>
        <v>Normal</v>
      </c>
    </row>
    <row r="616" spans="1:19" x14ac:dyDescent="0.25">
      <c r="A616" t="s">
        <v>19</v>
      </c>
      <c r="B616" t="s">
        <v>31</v>
      </c>
      <c r="C616" t="s">
        <v>38</v>
      </c>
      <c r="D616" t="s">
        <v>55</v>
      </c>
      <c r="E616" s="2">
        <v>26590</v>
      </c>
      <c r="F616" s="2">
        <v>1109</v>
      </c>
      <c r="G616" t="s">
        <v>68</v>
      </c>
      <c r="H616" t="s">
        <v>451</v>
      </c>
      <c r="I616" t="s">
        <v>75</v>
      </c>
      <c r="J616" t="s">
        <v>85</v>
      </c>
      <c r="K616" t="s">
        <v>114</v>
      </c>
      <c r="L616">
        <v>6</v>
      </c>
      <c r="M616">
        <v>5</v>
      </c>
      <c r="N616" t="s">
        <v>151</v>
      </c>
      <c r="O616" t="s">
        <v>157</v>
      </c>
      <c r="P616" t="s">
        <v>305</v>
      </c>
      <c r="Q616">
        <v>1.25</v>
      </c>
      <c r="R616" s="9">
        <v>33237.5</v>
      </c>
      <c r="S616" t="str">
        <f>IF(OR(Sheet1[[#This Row],[Salary_USD]]&lt;$V$13,Sheet1[[#This Row],[Salary_USD]]&gt;$V$12),"Outlier","Normal")</f>
        <v>Normal</v>
      </c>
    </row>
    <row r="617" spans="1:19" x14ac:dyDescent="0.25">
      <c r="A617" t="s">
        <v>19</v>
      </c>
      <c r="B617" t="s">
        <v>35</v>
      </c>
      <c r="C617" t="s">
        <v>43</v>
      </c>
      <c r="D617" t="s">
        <v>54</v>
      </c>
      <c r="E617" s="2">
        <v>68807</v>
      </c>
      <c r="F617" s="2">
        <v>4856</v>
      </c>
      <c r="G617" t="s">
        <v>64</v>
      </c>
      <c r="H617" t="s">
        <v>56</v>
      </c>
      <c r="I617" t="s">
        <v>75</v>
      </c>
      <c r="J617" t="s">
        <v>108</v>
      </c>
      <c r="K617" t="s">
        <v>135</v>
      </c>
      <c r="L617">
        <v>9</v>
      </c>
      <c r="M617">
        <v>6</v>
      </c>
      <c r="N617" t="s">
        <v>153</v>
      </c>
      <c r="O617" t="s">
        <v>155</v>
      </c>
      <c r="P617" t="s">
        <v>376</v>
      </c>
      <c r="Q617">
        <v>0.65</v>
      </c>
      <c r="R617" s="9">
        <v>44724.55</v>
      </c>
      <c r="S617" t="str">
        <f>IF(OR(Sheet1[[#This Row],[Salary_USD]]&lt;$V$13,Sheet1[[#This Row],[Salary_USD]]&gt;$V$12),"Outlier","Normal")</f>
        <v>Normal</v>
      </c>
    </row>
    <row r="618" spans="1:19" x14ac:dyDescent="0.25">
      <c r="A618" t="s">
        <v>19</v>
      </c>
      <c r="B618" t="s">
        <v>32</v>
      </c>
      <c r="C618" t="s">
        <v>40</v>
      </c>
      <c r="D618" t="s">
        <v>61</v>
      </c>
      <c r="E618" s="2">
        <v>100431</v>
      </c>
      <c r="F618" s="2">
        <v>2090</v>
      </c>
      <c r="G618" t="s">
        <v>63</v>
      </c>
      <c r="H618" t="s">
        <v>56</v>
      </c>
      <c r="I618" t="s">
        <v>80</v>
      </c>
      <c r="J618" t="s">
        <v>106</v>
      </c>
      <c r="K618" t="s">
        <v>106</v>
      </c>
      <c r="L618">
        <v>6</v>
      </c>
      <c r="M618">
        <v>6</v>
      </c>
      <c r="N618" t="s">
        <v>153</v>
      </c>
      <c r="O618" t="s">
        <v>154</v>
      </c>
      <c r="P618" t="s">
        <v>377</v>
      </c>
      <c r="Q618">
        <v>1.1000000000000001</v>
      </c>
      <c r="R618" s="9">
        <v>110474.1</v>
      </c>
      <c r="S618" t="str">
        <f>IF(OR(Sheet1[[#This Row],[Salary_USD]]&lt;$V$13,Sheet1[[#This Row],[Salary_USD]]&gt;$V$12),"Outlier","Normal")</f>
        <v>Normal</v>
      </c>
    </row>
    <row r="619" spans="1:19" x14ac:dyDescent="0.25">
      <c r="A619" t="s">
        <v>19</v>
      </c>
      <c r="B619" t="s">
        <v>22</v>
      </c>
      <c r="C619" t="s">
        <v>47</v>
      </c>
      <c r="D619" t="s">
        <v>56</v>
      </c>
      <c r="E619" s="2">
        <v>83775</v>
      </c>
      <c r="F619" s="2">
        <v>12624</v>
      </c>
      <c r="G619" t="s">
        <v>63</v>
      </c>
      <c r="H619" t="s">
        <v>56</v>
      </c>
      <c r="I619" t="s">
        <v>75</v>
      </c>
      <c r="J619" t="s">
        <v>108</v>
      </c>
      <c r="K619" t="s">
        <v>135</v>
      </c>
      <c r="L619">
        <v>7</v>
      </c>
      <c r="M619">
        <v>4</v>
      </c>
      <c r="N619" t="s">
        <v>150</v>
      </c>
      <c r="O619" t="s">
        <v>157</v>
      </c>
      <c r="P619" t="s">
        <v>166</v>
      </c>
      <c r="Q619">
        <v>1.1000000000000001</v>
      </c>
      <c r="R619" s="9">
        <v>92152.500000000015</v>
      </c>
      <c r="S619" t="str">
        <f>IF(OR(Sheet1[[#This Row],[Salary_USD]]&lt;$V$13,Sheet1[[#This Row],[Salary_USD]]&gt;$V$12),"Outlier","Normal")</f>
        <v>Normal</v>
      </c>
    </row>
    <row r="620" spans="1:19" x14ac:dyDescent="0.25">
      <c r="A620" t="s">
        <v>17</v>
      </c>
      <c r="B620" t="s">
        <v>35</v>
      </c>
      <c r="C620" t="s">
        <v>47</v>
      </c>
      <c r="D620" t="s">
        <v>56</v>
      </c>
      <c r="E620" s="2">
        <v>55673</v>
      </c>
      <c r="F620" s="2">
        <v>1306</v>
      </c>
      <c r="G620" t="s">
        <v>64</v>
      </c>
      <c r="H620" t="s">
        <v>69</v>
      </c>
      <c r="I620" t="s">
        <v>73</v>
      </c>
      <c r="J620" t="s">
        <v>102</v>
      </c>
      <c r="K620" t="s">
        <v>102</v>
      </c>
      <c r="L620">
        <v>20</v>
      </c>
      <c r="M620">
        <v>20</v>
      </c>
      <c r="N620" t="s">
        <v>150</v>
      </c>
      <c r="O620" t="s">
        <v>154</v>
      </c>
      <c r="P620" t="s">
        <v>235</v>
      </c>
      <c r="Q620">
        <v>0.65</v>
      </c>
      <c r="R620" s="9">
        <v>36187.450000000004</v>
      </c>
      <c r="S620" t="str">
        <f>IF(OR(Sheet1[[#This Row],[Salary_USD]]&lt;$V$13,Sheet1[[#This Row],[Salary_USD]]&gt;$V$12),"Outlier","Normal")</f>
        <v>Normal</v>
      </c>
    </row>
    <row r="621" spans="1:19" x14ac:dyDescent="0.25">
      <c r="A621" t="s">
        <v>20</v>
      </c>
      <c r="B621" t="s">
        <v>34</v>
      </c>
      <c r="C621" t="s">
        <v>36</v>
      </c>
      <c r="D621" t="s">
        <v>58</v>
      </c>
      <c r="E621" s="2">
        <v>43404</v>
      </c>
      <c r="F621" s="2">
        <v>0</v>
      </c>
      <c r="G621" t="s">
        <v>68</v>
      </c>
      <c r="H621" t="s">
        <v>56</v>
      </c>
      <c r="I621" t="s">
        <v>79</v>
      </c>
      <c r="J621" t="s">
        <v>91</v>
      </c>
      <c r="K621" t="s">
        <v>118</v>
      </c>
      <c r="L621">
        <v>7</v>
      </c>
      <c r="M621">
        <v>6</v>
      </c>
      <c r="N621" t="s">
        <v>152</v>
      </c>
      <c r="O621" t="s">
        <v>154</v>
      </c>
      <c r="P621" t="s">
        <v>324</v>
      </c>
      <c r="Q621">
        <v>1.25</v>
      </c>
      <c r="R621" s="9">
        <v>54255</v>
      </c>
      <c r="S621" t="str">
        <f>IF(OR(Sheet1[[#This Row],[Salary_USD]]&lt;$V$13,Sheet1[[#This Row],[Salary_USD]]&gt;$V$12),"Outlier","Normal")</f>
        <v>Normal</v>
      </c>
    </row>
    <row r="622" spans="1:19" x14ac:dyDescent="0.25">
      <c r="A622" t="s">
        <v>20</v>
      </c>
      <c r="B622" t="s">
        <v>28</v>
      </c>
      <c r="C622" t="s">
        <v>45</v>
      </c>
      <c r="D622" t="s">
        <v>54</v>
      </c>
      <c r="E622" s="2">
        <v>63232</v>
      </c>
      <c r="F622" s="2">
        <v>0</v>
      </c>
      <c r="G622" t="s">
        <v>65</v>
      </c>
      <c r="H622" t="s">
        <v>69</v>
      </c>
      <c r="I622" t="s">
        <v>80</v>
      </c>
      <c r="J622" t="s">
        <v>106</v>
      </c>
      <c r="K622" t="s">
        <v>106</v>
      </c>
      <c r="L622">
        <v>2</v>
      </c>
      <c r="M622">
        <v>0</v>
      </c>
      <c r="N622" t="s">
        <v>151</v>
      </c>
      <c r="O622" t="s">
        <v>156</v>
      </c>
      <c r="P622" t="s">
        <v>188</v>
      </c>
      <c r="Q622">
        <v>0.73</v>
      </c>
      <c r="R622" s="9">
        <v>46159.360000000001</v>
      </c>
      <c r="S622" t="str">
        <f>IF(OR(Sheet1[[#This Row],[Salary_USD]]&lt;$V$13,Sheet1[[#This Row],[Salary_USD]]&gt;$V$12),"Outlier","Normal")</f>
        <v>Normal</v>
      </c>
    </row>
    <row r="623" spans="1:19" x14ac:dyDescent="0.25">
      <c r="A623" t="s">
        <v>17</v>
      </c>
      <c r="B623" t="s">
        <v>34</v>
      </c>
      <c r="C623" t="s">
        <v>36</v>
      </c>
      <c r="D623" t="s">
        <v>61</v>
      </c>
      <c r="E623" s="2">
        <v>99214</v>
      </c>
      <c r="F623" s="2">
        <v>13964</v>
      </c>
      <c r="G623" t="s">
        <v>64</v>
      </c>
      <c r="H623" t="s">
        <v>70</v>
      </c>
      <c r="I623" t="s">
        <v>76</v>
      </c>
      <c r="J623" t="s">
        <v>92</v>
      </c>
      <c r="K623" t="s">
        <v>119</v>
      </c>
      <c r="L623">
        <v>15</v>
      </c>
      <c r="M623">
        <v>15</v>
      </c>
      <c r="N623" t="s">
        <v>152</v>
      </c>
      <c r="O623" t="s">
        <v>154</v>
      </c>
      <c r="P623" t="s">
        <v>229</v>
      </c>
      <c r="Q623">
        <v>0.65</v>
      </c>
      <c r="R623" s="9">
        <v>64489.100000000006</v>
      </c>
      <c r="S623" t="str">
        <f>IF(OR(Sheet1[[#This Row],[Salary_USD]]&lt;$V$13,Sheet1[[#This Row],[Salary_USD]]&gt;$V$12),"Outlier","Normal")</f>
        <v>Normal</v>
      </c>
    </row>
    <row r="624" spans="1:19" x14ac:dyDescent="0.25">
      <c r="A624" t="s">
        <v>20</v>
      </c>
      <c r="B624" t="s">
        <v>31</v>
      </c>
      <c r="C624" t="s">
        <v>36</v>
      </c>
      <c r="D624" t="s">
        <v>56</v>
      </c>
      <c r="E624" s="2">
        <v>569744</v>
      </c>
      <c r="F624" s="2">
        <v>0</v>
      </c>
      <c r="G624" t="s">
        <v>66</v>
      </c>
      <c r="H624" t="s">
        <v>451</v>
      </c>
      <c r="I624" t="s">
        <v>72</v>
      </c>
      <c r="J624" t="s">
        <v>95</v>
      </c>
      <c r="K624" t="s">
        <v>120</v>
      </c>
      <c r="L624">
        <v>0</v>
      </c>
      <c r="M624">
        <v>0</v>
      </c>
      <c r="N624" t="s">
        <v>149</v>
      </c>
      <c r="O624" t="s">
        <v>157</v>
      </c>
      <c r="P624" t="s">
        <v>216</v>
      </c>
      <c r="Q624">
        <v>1.2E-2</v>
      </c>
      <c r="R624" s="9">
        <v>6836.9279999999999</v>
      </c>
      <c r="S624" t="str">
        <f>IF(OR(Sheet1[[#This Row],[Salary_USD]]&lt;$V$13,Sheet1[[#This Row],[Salary_USD]]&gt;$V$12),"Outlier","Normal")</f>
        <v>Normal</v>
      </c>
    </row>
    <row r="625" spans="1:19" x14ac:dyDescent="0.25">
      <c r="A625" t="s">
        <v>19</v>
      </c>
      <c r="B625" t="s">
        <v>32</v>
      </c>
      <c r="C625" t="s">
        <v>39</v>
      </c>
      <c r="D625" t="s">
        <v>62</v>
      </c>
      <c r="E625" s="2">
        <v>473675</v>
      </c>
      <c r="F625" s="2">
        <v>49366</v>
      </c>
      <c r="G625" t="s">
        <v>66</v>
      </c>
      <c r="H625" t="s">
        <v>70</v>
      </c>
      <c r="I625" t="s">
        <v>75</v>
      </c>
      <c r="J625" t="s">
        <v>108</v>
      </c>
      <c r="K625" t="s">
        <v>135</v>
      </c>
      <c r="L625">
        <v>15</v>
      </c>
      <c r="M625">
        <v>15</v>
      </c>
      <c r="N625" t="s">
        <v>152</v>
      </c>
      <c r="O625" t="s">
        <v>154</v>
      </c>
      <c r="P625" t="s">
        <v>297</v>
      </c>
      <c r="Q625">
        <v>1.2E-2</v>
      </c>
      <c r="R625" s="9">
        <v>5684.1</v>
      </c>
      <c r="S625" t="str">
        <f>IF(OR(Sheet1[[#This Row],[Salary_USD]]&lt;$V$13,Sheet1[[#This Row],[Salary_USD]]&gt;$V$12),"Outlier","Normal")</f>
        <v>Normal</v>
      </c>
    </row>
    <row r="626" spans="1:19" x14ac:dyDescent="0.25">
      <c r="A626" t="s">
        <v>20</v>
      </c>
      <c r="B626" t="s">
        <v>35</v>
      </c>
      <c r="C626" t="s">
        <v>43</v>
      </c>
      <c r="D626" t="s">
        <v>56</v>
      </c>
      <c r="E626" s="2">
        <v>394867</v>
      </c>
      <c r="F626" s="2">
        <v>0</v>
      </c>
      <c r="G626" t="s">
        <v>66</v>
      </c>
      <c r="H626" t="s">
        <v>56</v>
      </c>
      <c r="I626" t="s">
        <v>75</v>
      </c>
      <c r="J626" t="s">
        <v>108</v>
      </c>
      <c r="K626" t="s">
        <v>135</v>
      </c>
      <c r="L626">
        <v>1</v>
      </c>
      <c r="M626">
        <v>0</v>
      </c>
      <c r="N626" t="s">
        <v>153</v>
      </c>
      <c r="O626" t="s">
        <v>157</v>
      </c>
      <c r="P626" t="s">
        <v>378</v>
      </c>
      <c r="Q626">
        <v>1.2E-2</v>
      </c>
      <c r="R626" s="9">
        <v>4738.4040000000005</v>
      </c>
      <c r="S626" t="str">
        <f>IF(OR(Sheet1[[#This Row],[Salary_USD]]&lt;$V$13,Sheet1[[#This Row],[Salary_USD]]&gt;$V$12),"Outlier","Normal")</f>
        <v>Normal</v>
      </c>
    </row>
    <row r="627" spans="1:19" x14ac:dyDescent="0.25">
      <c r="A627" t="s">
        <v>20</v>
      </c>
      <c r="B627" t="s">
        <v>22</v>
      </c>
      <c r="C627" t="s">
        <v>47</v>
      </c>
      <c r="D627" t="s">
        <v>57</v>
      </c>
      <c r="E627" s="2">
        <v>83492</v>
      </c>
      <c r="F627" s="2">
        <v>4330</v>
      </c>
      <c r="G627" t="s">
        <v>64</v>
      </c>
      <c r="H627" t="s">
        <v>451</v>
      </c>
      <c r="I627" t="s">
        <v>75</v>
      </c>
      <c r="J627" t="s">
        <v>108</v>
      </c>
      <c r="K627" t="s">
        <v>135</v>
      </c>
      <c r="L627">
        <v>3</v>
      </c>
      <c r="M627">
        <v>2</v>
      </c>
      <c r="N627" t="s">
        <v>153</v>
      </c>
      <c r="O627" t="s">
        <v>156</v>
      </c>
      <c r="P627" t="s">
        <v>189</v>
      </c>
      <c r="Q627">
        <v>0.65</v>
      </c>
      <c r="R627" s="9">
        <v>54269.8</v>
      </c>
      <c r="S627" t="str">
        <f>IF(OR(Sheet1[[#This Row],[Salary_USD]]&lt;$V$13,Sheet1[[#This Row],[Salary_USD]]&gt;$V$12),"Outlier","Normal")</f>
        <v>Normal</v>
      </c>
    </row>
    <row r="628" spans="1:19" x14ac:dyDescent="0.25">
      <c r="A628" t="s">
        <v>19</v>
      </c>
      <c r="B628" t="s">
        <v>26</v>
      </c>
      <c r="C628" t="s">
        <v>45</v>
      </c>
      <c r="D628" t="s">
        <v>451</v>
      </c>
      <c r="E628" s="2">
        <v>90308</v>
      </c>
      <c r="F628" s="2">
        <v>6298</v>
      </c>
      <c r="G628" t="s">
        <v>65</v>
      </c>
      <c r="H628" t="s">
        <v>70</v>
      </c>
      <c r="I628" t="s">
        <v>75</v>
      </c>
      <c r="J628" t="s">
        <v>85</v>
      </c>
      <c r="K628" t="s">
        <v>114</v>
      </c>
      <c r="L628">
        <v>4</v>
      </c>
      <c r="M628">
        <v>1</v>
      </c>
      <c r="N628" t="s">
        <v>153</v>
      </c>
      <c r="O628" t="s">
        <v>157</v>
      </c>
      <c r="P628" t="s">
        <v>379</v>
      </c>
      <c r="Q628">
        <v>0.73</v>
      </c>
      <c r="R628" s="9">
        <v>65924.84</v>
      </c>
      <c r="S628" t="str">
        <f>IF(OR(Sheet1[[#This Row],[Salary_USD]]&lt;$V$13,Sheet1[[#This Row],[Salary_USD]]&gt;$V$12),"Outlier","Normal")</f>
        <v>Normal</v>
      </c>
    </row>
    <row r="629" spans="1:19" x14ac:dyDescent="0.25">
      <c r="A629" t="s">
        <v>19</v>
      </c>
      <c r="B629" t="s">
        <v>35</v>
      </c>
      <c r="C629" t="s">
        <v>52</v>
      </c>
      <c r="D629" t="s">
        <v>58</v>
      </c>
      <c r="E629" s="2">
        <v>8330</v>
      </c>
      <c r="F629" s="2">
        <v>753</v>
      </c>
      <c r="G629" t="s">
        <v>67</v>
      </c>
      <c r="H629" t="s">
        <v>451</v>
      </c>
      <c r="I629" t="s">
        <v>73</v>
      </c>
      <c r="J629" t="s">
        <v>102</v>
      </c>
      <c r="K629" t="s">
        <v>102</v>
      </c>
      <c r="L629">
        <v>15</v>
      </c>
      <c r="M629">
        <v>15</v>
      </c>
      <c r="N629" t="s">
        <v>153</v>
      </c>
      <c r="O629" t="s">
        <v>157</v>
      </c>
      <c r="P629" t="s">
        <v>277</v>
      </c>
      <c r="Q629">
        <v>1</v>
      </c>
      <c r="R629" s="9">
        <v>8330</v>
      </c>
      <c r="S629" t="str">
        <f>IF(OR(Sheet1[[#This Row],[Salary_USD]]&lt;$V$13,Sheet1[[#This Row],[Salary_USD]]&gt;$V$12),"Outlier","Normal")</f>
        <v>Normal</v>
      </c>
    </row>
    <row r="630" spans="1:19" x14ac:dyDescent="0.25">
      <c r="A630" t="s">
        <v>19</v>
      </c>
      <c r="B630" t="s">
        <v>26</v>
      </c>
      <c r="C630" t="s">
        <v>39</v>
      </c>
      <c r="D630" t="s">
        <v>451</v>
      </c>
      <c r="E630" s="2">
        <v>988566</v>
      </c>
      <c r="F630" s="2">
        <v>91181</v>
      </c>
      <c r="G630" t="s">
        <v>66</v>
      </c>
      <c r="H630" t="s">
        <v>56</v>
      </c>
      <c r="I630" t="s">
        <v>76</v>
      </c>
      <c r="J630" t="s">
        <v>86</v>
      </c>
      <c r="K630" t="s">
        <v>115</v>
      </c>
      <c r="L630">
        <v>7</v>
      </c>
      <c r="M630">
        <v>4</v>
      </c>
      <c r="N630" t="s">
        <v>150</v>
      </c>
      <c r="O630" t="s">
        <v>155</v>
      </c>
      <c r="P630" t="s">
        <v>165</v>
      </c>
      <c r="Q630">
        <v>1.2E-2</v>
      </c>
      <c r="R630" s="9">
        <v>11862.791999999999</v>
      </c>
      <c r="S630" t="str">
        <f>IF(OR(Sheet1[[#This Row],[Salary_USD]]&lt;$V$13,Sheet1[[#This Row],[Salary_USD]]&gt;$V$12),"Outlier","Normal")</f>
        <v>Normal</v>
      </c>
    </row>
    <row r="631" spans="1:19" x14ac:dyDescent="0.25">
      <c r="A631" t="s">
        <v>21</v>
      </c>
      <c r="B631" t="s">
        <v>26</v>
      </c>
      <c r="C631" t="s">
        <v>37</v>
      </c>
      <c r="D631" t="s">
        <v>451</v>
      </c>
      <c r="E631" s="2">
        <v>92661</v>
      </c>
      <c r="F631" s="2">
        <v>0</v>
      </c>
      <c r="G631" t="s">
        <v>63</v>
      </c>
      <c r="H631" t="s">
        <v>70</v>
      </c>
      <c r="I631" t="s">
        <v>80</v>
      </c>
      <c r="J631" t="s">
        <v>93</v>
      </c>
      <c r="K631" t="s">
        <v>93</v>
      </c>
      <c r="L631">
        <v>18</v>
      </c>
      <c r="M631">
        <v>17</v>
      </c>
      <c r="N631" t="s">
        <v>149</v>
      </c>
      <c r="O631" t="s">
        <v>154</v>
      </c>
      <c r="P631" t="s">
        <v>180</v>
      </c>
      <c r="Q631">
        <v>1.1000000000000001</v>
      </c>
      <c r="R631" s="9">
        <v>101927.1</v>
      </c>
      <c r="S631" t="str">
        <f>IF(OR(Sheet1[[#This Row],[Salary_USD]]&lt;$V$13,Sheet1[[#This Row],[Salary_USD]]&gt;$V$12),"Outlier","Normal")</f>
        <v>Normal</v>
      </c>
    </row>
    <row r="632" spans="1:19" x14ac:dyDescent="0.25">
      <c r="A632" t="s">
        <v>17</v>
      </c>
      <c r="B632" t="s">
        <v>35</v>
      </c>
      <c r="C632" t="s">
        <v>38</v>
      </c>
      <c r="D632" t="s">
        <v>57</v>
      </c>
      <c r="E632" s="2">
        <v>91574</v>
      </c>
      <c r="F632" s="2">
        <v>3334</v>
      </c>
      <c r="G632" t="s">
        <v>64</v>
      </c>
      <c r="H632" t="s">
        <v>70</v>
      </c>
      <c r="I632" t="s">
        <v>79</v>
      </c>
      <c r="J632" t="s">
        <v>91</v>
      </c>
      <c r="K632" t="s">
        <v>118</v>
      </c>
      <c r="L632">
        <v>25</v>
      </c>
      <c r="M632">
        <v>25</v>
      </c>
      <c r="N632" t="s">
        <v>148</v>
      </c>
      <c r="O632" t="s">
        <v>154</v>
      </c>
      <c r="P632" t="s">
        <v>178</v>
      </c>
      <c r="Q632">
        <v>0.65</v>
      </c>
      <c r="R632" s="9">
        <v>59523.1</v>
      </c>
      <c r="S632" t="str">
        <f>IF(OR(Sheet1[[#This Row],[Salary_USD]]&lt;$V$13,Sheet1[[#This Row],[Salary_USD]]&gt;$V$12),"Outlier","Normal")</f>
        <v>Normal</v>
      </c>
    </row>
    <row r="633" spans="1:19" x14ac:dyDescent="0.25">
      <c r="A633" t="s">
        <v>21</v>
      </c>
      <c r="B633" t="s">
        <v>29</v>
      </c>
      <c r="C633" t="s">
        <v>43</v>
      </c>
      <c r="D633" t="s">
        <v>54</v>
      </c>
      <c r="E633" s="2">
        <v>61162</v>
      </c>
      <c r="F633" s="2">
        <v>735</v>
      </c>
      <c r="G633" t="s">
        <v>68</v>
      </c>
      <c r="H633" t="s">
        <v>70</v>
      </c>
      <c r="I633" t="s">
        <v>80</v>
      </c>
      <c r="J633" t="s">
        <v>106</v>
      </c>
      <c r="K633" t="s">
        <v>106</v>
      </c>
      <c r="L633">
        <v>9</v>
      </c>
      <c r="M633">
        <v>8</v>
      </c>
      <c r="N633" t="s">
        <v>152</v>
      </c>
      <c r="O633" t="s">
        <v>157</v>
      </c>
      <c r="P633" t="s">
        <v>166</v>
      </c>
      <c r="Q633">
        <v>1.25</v>
      </c>
      <c r="R633" s="9">
        <v>76452.5</v>
      </c>
      <c r="S633" t="str">
        <f>IF(OR(Sheet1[[#This Row],[Salary_USD]]&lt;$V$13,Sheet1[[#This Row],[Salary_USD]]&gt;$V$12),"Outlier","Normal")</f>
        <v>Normal</v>
      </c>
    </row>
    <row r="634" spans="1:19" x14ac:dyDescent="0.25">
      <c r="A634" t="s">
        <v>20</v>
      </c>
      <c r="B634" t="s">
        <v>34</v>
      </c>
      <c r="C634" t="s">
        <v>40</v>
      </c>
      <c r="D634" t="s">
        <v>451</v>
      </c>
      <c r="E634" s="2">
        <v>27865</v>
      </c>
      <c r="F634" s="2">
        <v>2772</v>
      </c>
      <c r="G634" t="s">
        <v>68</v>
      </c>
      <c r="H634" t="s">
        <v>56</v>
      </c>
      <c r="I634" t="s">
        <v>74</v>
      </c>
      <c r="J634" t="s">
        <v>84</v>
      </c>
      <c r="K634" t="s">
        <v>74</v>
      </c>
      <c r="L634">
        <v>2</v>
      </c>
      <c r="M634">
        <v>2</v>
      </c>
      <c r="N634" t="s">
        <v>150</v>
      </c>
      <c r="O634" t="s">
        <v>154</v>
      </c>
      <c r="P634" t="s">
        <v>167</v>
      </c>
      <c r="Q634">
        <v>1.25</v>
      </c>
      <c r="R634" s="9">
        <v>34831.25</v>
      </c>
      <c r="S634" t="str">
        <f>IF(OR(Sheet1[[#This Row],[Salary_USD]]&lt;$V$13,Sheet1[[#This Row],[Salary_USD]]&gt;$V$12),"Outlier","Normal")</f>
        <v>Normal</v>
      </c>
    </row>
    <row r="635" spans="1:19" x14ac:dyDescent="0.25">
      <c r="A635" t="s">
        <v>21</v>
      </c>
      <c r="B635" t="s">
        <v>29</v>
      </c>
      <c r="C635" t="s">
        <v>47</v>
      </c>
      <c r="D635" t="s">
        <v>56</v>
      </c>
      <c r="E635" s="2">
        <v>115874</v>
      </c>
      <c r="F635" s="2">
        <v>10289</v>
      </c>
      <c r="G635" t="s">
        <v>64</v>
      </c>
      <c r="H635" t="s">
        <v>451</v>
      </c>
      <c r="I635" t="s">
        <v>78</v>
      </c>
      <c r="J635" t="s">
        <v>90</v>
      </c>
      <c r="K635" t="s">
        <v>138</v>
      </c>
      <c r="L635">
        <v>15</v>
      </c>
      <c r="M635">
        <v>13</v>
      </c>
      <c r="N635" t="s">
        <v>152</v>
      </c>
      <c r="O635" t="s">
        <v>154</v>
      </c>
      <c r="P635" t="s">
        <v>212</v>
      </c>
      <c r="Q635">
        <v>0.65</v>
      </c>
      <c r="R635" s="9">
        <v>75318.100000000006</v>
      </c>
      <c r="S635" t="str">
        <f>IF(OR(Sheet1[[#This Row],[Salary_USD]]&lt;$V$13,Sheet1[[#This Row],[Salary_USD]]&gt;$V$12),"Outlier","Normal")</f>
        <v>Normal</v>
      </c>
    </row>
    <row r="636" spans="1:19" x14ac:dyDescent="0.25">
      <c r="A636" t="s">
        <v>19</v>
      </c>
      <c r="B636" t="s">
        <v>24</v>
      </c>
      <c r="C636" t="s">
        <v>49</v>
      </c>
      <c r="D636" t="s">
        <v>56</v>
      </c>
      <c r="E636" s="2">
        <v>97745</v>
      </c>
      <c r="F636" s="2">
        <v>10823</v>
      </c>
      <c r="G636" t="s">
        <v>68</v>
      </c>
      <c r="H636" t="s">
        <v>71</v>
      </c>
      <c r="I636" t="s">
        <v>75</v>
      </c>
      <c r="J636" t="s">
        <v>96</v>
      </c>
      <c r="K636" t="s">
        <v>121</v>
      </c>
      <c r="L636">
        <v>8</v>
      </c>
      <c r="M636">
        <v>5</v>
      </c>
      <c r="N636" t="s">
        <v>153</v>
      </c>
      <c r="O636" t="s">
        <v>155</v>
      </c>
      <c r="P636" t="s">
        <v>165</v>
      </c>
      <c r="Q636">
        <v>1.25</v>
      </c>
      <c r="R636" s="9">
        <v>122181.25</v>
      </c>
      <c r="S636" t="str">
        <f>IF(OR(Sheet1[[#This Row],[Salary_USD]]&lt;$V$13,Sheet1[[#This Row],[Salary_USD]]&gt;$V$12),"Outlier","Normal")</f>
        <v>Normal</v>
      </c>
    </row>
    <row r="637" spans="1:19" x14ac:dyDescent="0.25">
      <c r="A637" t="s">
        <v>20</v>
      </c>
      <c r="B637" t="s">
        <v>23</v>
      </c>
      <c r="C637" t="s">
        <v>47</v>
      </c>
      <c r="D637" t="s">
        <v>55</v>
      </c>
      <c r="E637" s="2">
        <v>102668</v>
      </c>
      <c r="F637" s="2">
        <v>21206</v>
      </c>
      <c r="G637" t="s">
        <v>63</v>
      </c>
      <c r="H637" t="s">
        <v>69</v>
      </c>
      <c r="I637" t="s">
        <v>74</v>
      </c>
      <c r="J637" t="s">
        <v>84</v>
      </c>
      <c r="K637" t="s">
        <v>74</v>
      </c>
      <c r="L637">
        <v>4</v>
      </c>
      <c r="M637">
        <v>4</v>
      </c>
      <c r="N637" t="s">
        <v>149</v>
      </c>
      <c r="O637" t="s">
        <v>156</v>
      </c>
      <c r="P637" t="s">
        <v>180</v>
      </c>
      <c r="Q637">
        <v>1.1000000000000001</v>
      </c>
      <c r="R637" s="9">
        <v>112934.8</v>
      </c>
      <c r="S637" t="str">
        <f>IF(OR(Sheet1[[#This Row],[Salary_USD]]&lt;$V$13,Sheet1[[#This Row],[Salary_USD]]&gt;$V$12),"Outlier","Normal")</f>
        <v>Normal</v>
      </c>
    </row>
    <row r="638" spans="1:19" x14ac:dyDescent="0.25">
      <c r="A638" t="s">
        <v>20</v>
      </c>
      <c r="B638" t="s">
        <v>24</v>
      </c>
      <c r="C638" t="s">
        <v>50</v>
      </c>
      <c r="D638" t="s">
        <v>55</v>
      </c>
      <c r="E638" s="2">
        <v>50470</v>
      </c>
      <c r="F638" s="2">
        <v>3342</v>
      </c>
      <c r="G638" t="s">
        <v>64</v>
      </c>
      <c r="H638" t="s">
        <v>451</v>
      </c>
      <c r="I638" t="s">
        <v>75</v>
      </c>
      <c r="J638" t="s">
        <v>85</v>
      </c>
      <c r="K638" t="s">
        <v>114</v>
      </c>
      <c r="L638">
        <v>0</v>
      </c>
      <c r="M638">
        <v>0</v>
      </c>
      <c r="N638" t="s">
        <v>150</v>
      </c>
      <c r="O638" t="s">
        <v>154</v>
      </c>
      <c r="P638" t="s">
        <v>180</v>
      </c>
      <c r="Q638">
        <v>0.65</v>
      </c>
      <c r="R638" s="9">
        <v>32805.5</v>
      </c>
      <c r="S638" t="str">
        <f>IF(OR(Sheet1[[#This Row],[Salary_USD]]&lt;$V$13,Sheet1[[#This Row],[Salary_USD]]&gt;$V$12),"Outlier","Normal")</f>
        <v>Normal</v>
      </c>
    </row>
    <row r="639" spans="1:19" x14ac:dyDescent="0.25">
      <c r="A639" t="s">
        <v>19</v>
      </c>
      <c r="B639" t="s">
        <v>32</v>
      </c>
      <c r="C639" t="s">
        <v>53</v>
      </c>
      <c r="D639" t="s">
        <v>57</v>
      </c>
      <c r="E639" s="2">
        <v>85849</v>
      </c>
      <c r="F639" s="2">
        <v>0</v>
      </c>
      <c r="G639" t="s">
        <v>64</v>
      </c>
      <c r="H639" t="s">
        <v>71</v>
      </c>
      <c r="I639" t="s">
        <v>78</v>
      </c>
      <c r="J639" t="s">
        <v>90</v>
      </c>
      <c r="K639" t="s">
        <v>138</v>
      </c>
      <c r="L639">
        <v>12</v>
      </c>
      <c r="M639">
        <v>10</v>
      </c>
      <c r="N639" t="s">
        <v>150</v>
      </c>
      <c r="O639" t="s">
        <v>156</v>
      </c>
      <c r="P639" t="s">
        <v>171</v>
      </c>
      <c r="Q639">
        <v>0.65</v>
      </c>
      <c r="R639" s="9">
        <v>55801.85</v>
      </c>
      <c r="S639" t="str">
        <f>IF(OR(Sheet1[[#This Row],[Salary_USD]]&lt;$V$13,Sheet1[[#This Row],[Salary_USD]]&gt;$V$12),"Outlier","Normal")</f>
        <v>Normal</v>
      </c>
    </row>
    <row r="640" spans="1:19" x14ac:dyDescent="0.25">
      <c r="A640" t="s">
        <v>20</v>
      </c>
      <c r="B640" t="s">
        <v>29</v>
      </c>
      <c r="C640" t="s">
        <v>42</v>
      </c>
      <c r="D640" t="s">
        <v>451</v>
      </c>
      <c r="E640" s="2">
        <v>34795</v>
      </c>
      <c r="F640" s="2">
        <v>1908</v>
      </c>
      <c r="G640" t="s">
        <v>67</v>
      </c>
      <c r="H640" t="s">
        <v>69</v>
      </c>
      <c r="I640" t="s">
        <v>73</v>
      </c>
      <c r="J640" t="s">
        <v>83</v>
      </c>
      <c r="K640" t="s">
        <v>113</v>
      </c>
      <c r="L640">
        <v>1</v>
      </c>
      <c r="M640">
        <v>1</v>
      </c>
      <c r="N640" t="s">
        <v>150</v>
      </c>
      <c r="O640" t="s">
        <v>157</v>
      </c>
      <c r="P640" t="s">
        <v>166</v>
      </c>
      <c r="Q640">
        <v>1</v>
      </c>
      <c r="R640" s="9">
        <v>34795</v>
      </c>
      <c r="S640" t="str">
        <f>IF(OR(Sheet1[[#This Row],[Salary_USD]]&lt;$V$13,Sheet1[[#This Row],[Salary_USD]]&gt;$V$12),"Outlier","Normal")</f>
        <v>Normal</v>
      </c>
    </row>
    <row r="641" spans="1:19" x14ac:dyDescent="0.25">
      <c r="A641" t="s">
        <v>19</v>
      </c>
      <c r="B641" t="s">
        <v>29</v>
      </c>
      <c r="C641" t="s">
        <v>38</v>
      </c>
      <c r="D641" t="s">
        <v>56</v>
      </c>
      <c r="E641" s="2">
        <v>27076</v>
      </c>
      <c r="F641" s="2">
        <v>87</v>
      </c>
      <c r="G641" t="s">
        <v>63</v>
      </c>
      <c r="H641" t="s">
        <v>451</v>
      </c>
      <c r="I641" t="s">
        <v>75</v>
      </c>
      <c r="J641" t="s">
        <v>108</v>
      </c>
      <c r="K641" t="s">
        <v>135</v>
      </c>
      <c r="L641">
        <v>2</v>
      </c>
      <c r="M641">
        <v>1</v>
      </c>
      <c r="N641" t="s">
        <v>149</v>
      </c>
      <c r="O641" t="s">
        <v>157</v>
      </c>
      <c r="P641" t="s">
        <v>297</v>
      </c>
      <c r="Q641">
        <v>1.1000000000000001</v>
      </c>
      <c r="R641" s="9">
        <v>29783.600000000002</v>
      </c>
      <c r="S641" t="str">
        <f>IF(OR(Sheet1[[#This Row],[Salary_USD]]&lt;$V$13,Sheet1[[#This Row],[Salary_USD]]&gt;$V$12),"Outlier","Normal")</f>
        <v>Normal</v>
      </c>
    </row>
    <row r="642" spans="1:19" x14ac:dyDescent="0.25">
      <c r="A642" t="s">
        <v>20</v>
      </c>
      <c r="B642" t="s">
        <v>22</v>
      </c>
      <c r="C642" t="s">
        <v>40</v>
      </c>
      <c r="D642" t="s">
        <v>55</v>
      </c>
      <c r="E642" s="2">
        <v>90704</v>
      </c>
      <c r="F642" s="2">
        <v>5973</v>
      </c>
      <c r="G642" t="s">
        <v>63</v>
      </c>
      <c r="H642" t="s">
        <v>71</v>
      </c>
      <c r="I642" t="s">
        <v>79</v>
      </c>
      <c r="J642" t="s">
        <v>107</v>
      </c>
      <c r="K642" t="s">
        <v>134</v>
      </c>
      <c r="L642">
        <v>4</v>
      </c>
      <c r="M642">
        <v>4</v>
      </c>
      <c r="N642" t="s">
        <v>151</v>
      </c>
      <c r="O642" t="s">
        <v>155</v>
      </c>
      <c r="P642" t="s">
        <v>162</v>
      </c>
      <c r="Q642">
        <v>1.1000000000000001</v>
      </c>
      <c r="R642" s="9">
        <v>99774.400000000009</v>
      </c>
      <c r="S642" t="str">
        <f>IF(OR(Sheet1[[#This Row],[Salary_USD]]&lt;$V$13,Sheet1[[#This Row],[Salary_USD]]&gt;$V$12),"Outlier","Normal")</f>
        <v>Normal</v>
      </c>
    </row>
    <row r="643" spans="1:19" x14ac:dyDescent="0.25">
      <c r="A643" t="s">
        <v>19</v>
      </c>
      <c r="B643" t="s">
        <v>35</v>
      </c>
      <c r="C643" t="s">
        <v>46</v>
      </c>
      <c r="D643" t="s">
        <v>60</v>
      </c>
      <c r="E643" s="2">
        <v>85387</v>
      </c>
      <c r="F643" s="2">
        <v>3125</v>
      </c>
      <c r="G643" t="s">
        <v>68</v>
      </c>
      <c r="H643" t="s">
        <v>69</v>
      </c>
      <c r="I643" t="s">
        <v>73</v>
      </c>
      <c r="J643" t="s">
        <v>102</v>
      </c>
      <c r="K643" t="s">
        <v>102</v>
      </c>
      <c r="L643">
        <v>2</v>
      </c>
      <c r="M643">
        <v>2</v>
      </c>
      <c r="N643" t="s">
        <v>149</v>
      </c>
      <c r="O643" t="s">
        <v>157</v>
      </c>
      <c r="P643" t="s">
        <v>229</v>
      </c>
      <c r="Q643">
        <v>1.25</v>
      </c>
      <c r="R643" s="9">
        <v>106733.75</v>
      </c>
      <c r="S643" t="str">
        <f>IF(OR(Sheet1[[#This Row],[Salary_USD]]&lt;$V$13,Sheet1[[#This Row],[Salary_USD]]&gt;$V$12),"Outlier","Normal")</f>
        <v>Normal</v>
      </c>
    </row>
    <row r="644" spans="1:19" x14ac:dyDescent="0.25">
      <c r="A644" t="s">
        <v>17</v>
      </c>
      <c r="B644" t="s">
        <v>34</v>
      </c>
      <c r="C644" t="s">
        <v>47</v>
      </c>
      <c r="D644" t="s">
        <v>58</v>
      </c>
      <c r="E644" s="2">
        <v>16131</v>
      </c>
      <c r="F644" s="2">
        <v>1723</v>
      </c>
      <c r="G644" t="s">
        <v>66</v>
      </c>
      <c r="H644" t="s">
        <v>70</v>
      </c>
      <c r="I644" t="s">
        <v>79</v>
      </c>
      <c r="J644" t="s">
        <v>91</v>
      </c>
      <c r="K644" t="s">
        <v>118</v>
      </c>
      <c r="L644">
        <v>15</v>
      </c>
      <c r="M644">
        <v>13</v>
      </c>
      <c r="N644" t="s">
        <v>149</v>
      </c>
      <c r="O644" t="s">
        <v>157</v>
      </c>
      <c r="P644" t="s">
        <v>169</v>
      </c>
      <c r="Q644">
        <v>1.2E-2</v>
      </c>
      <c r="R644" s="9">
        <v>193.572</v>
      </c>
      <c r="S644" t="str">
        <f>IF(OR(Sheet1[[#This Row],[Salary_USD]]&lt;$V$13,Sheet1[[#This Row],[Salary_USD]]&gt;$V$12),"Outlier","Normal")</f>
        <v>Normal</v>
      </c>
    </row>
    <row r="645" spans="1:19" x14ac:dyDescent="0.25">
      <c r="A645" t="s">
        <v>20</v>
      </c>
      <c r="B645" t="s">
        <v>34</v>
      </c>
      <c r="C645" t="s">
        <v>40</v>
      </c>
      <c r="D645" t="s">
        <v>58</v>
      </c>
      <c r="E645" s="2">
        <v>43665</v>
      </c>
      <c r="F645" s="2">
        <v>0</v>
      </c>
      <c r="G645" t="s">
        <v>67</v>
      </c>
      <c r="H645" t="s">
        <v>71</v>
      </c>
      <c r="I645" t="s">
        <v>80</v>
      </c>
      <c r="J645" t="s">
        <v>93</v>
      </c>
      <c r="K645" t="s">
        <v>93</v>
      </c>
      <c r="L645">
        <v>3</v>
      </c>
      <c r="M645">
        <v>1</v>
      </c>
      <c r="N645" t="s">
        <v>149</v>
      </c>
      <c r="O645" t="s">
        <v>155</v>
      </c>
      <c r="P645" t="s">
        <v>169</v>
      </c>
      <c r="Q645">
        <v>1</v>
      </c>
      <c r="R645" s="9">
        <v>43665</v>
      </c>
      <c r="S645" t="str">
        <f>IF(OR(Sheet1[[#This Row],[Salary_USD]]&lt;$V$13,Sheet1[[#This Row],[Salary_USD]]&gt;$V$12),"Outlier","Normal")</f>
        <v>Normal</v>
      </c>
    </row>
    <row r="646" spans="1:19" x14ac:dyDescent="0.25">
      <c r="A646" t="s">
        <v>17</v>
      </c>
      <c r="B646" t="s">
        <v>35</v>
      </c>
      <c r="C646" t="s">
        <v>45</v>
      </c>
      <c r="D646" t="s">
        <v>55</v>
      </c>
      <c r="E646" s="2">
        <v>134595</v>
      </c>
      <c r="F646" s="2">
        <v>9827</v>
      </c>
      <c r="G646" t="s">
        <v>63</v>
      </c>
      <c r="H646" t="s">
        <v>69</v>
      </c>
      <c r="I646" t="s">
        <v>81</v>
      </c>
      <c r="J646" t="s">
        <v>94</v>
      </c>
      <c r="K646" t="s">
        <v>129</v>
      </c>
      <c r="L646">
        <v>20</v>
      </c>
      <c r="M646">
        <v>20</v>
      </c>
      <c r="N646" t="s">
        <v>150</v>
      </c>
      <c r="O646" t="s">
        <v>157</v>
      </c>
      <c r="P646" t="s">
        <v>162</v>
      </c>
      <c r="Q646">
        <v>1.1000000000000001</v>
      </c>
      <c r="R646" s="9">
        <v>148054.5</v>
      </c>
      <c r="S646" t="str">
        <f>IF(OR(Sheet1[[#This Row],[Salary_USD]]&lt;$V$13,Sheet1[[#This Row],[Salary_USD]]&gt;$V$12),"Outlier","Normal")</f>
        <v>Normal</v>
      </c>
    </row>
    <row r="647" spans="1:19" x14ac:dyDescent="0.25">
      <c r="A647" t="s">
        <v>19</v>
      </c>
      <c r="B647" t="s">
        <v>31</v>
      </c>
      <c r="C647" t="s">
        <v>46</v>
      </c>
      <c r="D647" t="s">
        <v>60</v>
      </c>
      <c r="E647" s="2">
        <v>52725</v>
      </c>
      <c r="F647" s="2">
        <v>6571</v>
      </c>
      <c r="G647" t="s">
        <v>63</v>
      </c>
      <c r="H647" t="s">
        <v>70</v>
      </c>
      <c r="I647" t="s">
        <v>72</v>
      </c>
      <c r="J647" t="s">
        <v>95</v>
      </c>
      <c r="K647" t="s">
        <v>120</v>
      </c>
      <c r="L647">
        <v>2</v>
      </c>
      <c r="M647">
        <v>0</v>
      </c>
      <c r="N647" t="s">
        <v>148</v>
      </c>
      <c r="O647" t="s">
        <v>155</v>
      </c>
      <c r="P647" t="s">
        <v>380</v>
      </c>
      <c r="Q647">
        <v>1.1000000000000001</v>
      </c>
      <c r="R647" s="9">
        <v>57997.500000000007</v>
      </c>
      <c r="S647" t="str">
        <f>IF(OR(Sheet1[[#This Row],[Salary_USD]]&lt;$V$13,Sheet1[[#This Row],[Salary_USD]]&gt;$V$12),"Outlier","Normal")</f>
        <v>Normal</v>
      </c>
    </row>
    <row r="648" spans="1:19" x14ac:dyDescent="0.25">
      <c r="A648" t="s">
        <v>18</v>
      </c>
      <c r="B648" t="s">
        <v>32</v>
      </c>
      <c r="C648" t="s">
        <v>48</v>
      </c>
      <c r="D648" t="s">
        <v>61</v>
      </c>
      <c r="E648" s="2">
        <v>1150944</v>
      </c>
      <c r="F648" s="2">
        <v>0</v>
      </c>
      <c r="G648" t="s">
        <v>66</v>
      </c>
      <c r="H648" t="s">
        <v>69</v>
      </c>
      <c r="I648" t="s">
        <v>72</v>
      </c>
      <c r="J648" t="s">
        <v>95</v>
      </c>
      <c r="K648" t="s">
        <v>120</v>
      </c>
      <c r="L648">
        <v>0</v>
      </c>
      <c r="M648">
        <v>0</v>
      </c>
      <c r="N648" t="s">
        <v>148</v>
      </c>
      <c r="O648" t="s">
        <v>157</v>
      </c>
      <c r="P648" t="s">
        <v>180</v>
      </c>
      <c r="Q648">
        <v>1.2E-2</v>
      </c>
      <c r="R648" s="9">
        <v>13811.328</v>
      </c>
      <c r="S648" t="str">
        <f>IF(OR(Sheet1[[#This Row],[Salary_USD]]&lt;$V$13,Sheet1[[#This Row],[Salary_USD]]&gt;$V$12),"Outlier","Normal")</f>
        <v>Normal</v>
      </c>
    </row>
    <row r="649" spans="1:19" x14ac:dyDescent="0.25">
      <c r="A649" t="s">
        <v>20</v>
      </c>
      <c r="B649" t="s">
        <v>34</v>
      </c>
      <c r="C649" t="s">
        <v>43</v>
      </c>
      <c r="D649" t="s">
        <v>54</v>
      </c>
      <c r="E649" s="2">
        <v>95033</v>
      </c>
      <c r="F649" s="2">
        <v>0</v>
      </c>
      <c r="G649" t="s">
        <v>64</v>
      </c>
      <c r="H649" t="s">
        <v>70</v>
      </c>
      <c r="I649" t="s">
        <v>77</v>
      </c>
      <c r="J649" t="s">
        <v>97</v>
      </c>
      <c r="K649" t="s">
        <v>122</v>
      </c>
      <c r="L649">
        <v>3</v>
      </c>
      <c r="M649">
        <v>3</v>
      </c>
      <c r="N649" t="s">
        <v>152</v>
      </c>
      <c r="O649" t="s">
        <v>157</v>
      </c>
      <c r="P649" t="s">
        <v>173</v>
      </c>
      <c r="Q649">
        <v>0.65</v>
      </c>
      <c r="R649" s="9">
        <v>61771.450000000004</v>
      </c>
      <c r="S649" t="str">
        <f>IF(OR(Sheet1[[#This Row],[Salary_USD]]&lt;$V$13,Sheet1[[#This Row],[Salary_USD]]&gt;$V$12),"Outlier","Normal")</f>
        <v>Normal</v>
      </c>
    </row>
    <row r="650" spans="1:19" x14ac:dyDescent="0.25">
      <c r="A650" t="s">
        <v>17</v>
      </c>
      <c r="B650" t="s">
        <v>29</v>
      </c>
      <c r="C650" t="s">
        <v>49</v>
      </c>
      <c r="D650" t="s">
        <v>59</v>
      </c>
      <c r="E650" s="2">
        <v>84364</v>
      </c>
      <c r="F650" s="2">
        <v>2785</v>
      </c>
      <c r="G650" t="s">
        <v>68</v>
      </c>
      <c r="H650" t="s">
        <v>451</v>
      </c>
      <c r="I650" t="s">
        <v>78</v>
      </c>
      <c r="J650" t="s">
        <v>104</v>
      </c>
      <c r="K650" t="s">
        <v>131</v>
      </c>
      <c r="L650">
        <v>9</v>
      </c>
      <c r="M650">
        <v>9</v>
      </c>
      <c r="N650" t="s">
        <v>149</v>
      </c>
      <c r="O650" t="s">
        <v>156</v>
      </c>
      <c r="P650" t="s">
        <v>165</v>
      </c>
      <c r="Q650">
        <v>1.25</v>
      </c>
      <c r="R650" s="9">
        <v>105455</v>
      </c>
      <c r="S650" t="str">
        <f>IF(OR(Sheet1[[#This Row],[Salary_USD]]&lt;$V$13,Sheet1[[#This Row],[Salary_USD]]&gt;$V$12),"Outlier","Normal")</f>
        <v>Normal</v>
      </c>
    </row>
    <row r="651" spans="1:19" x14ac:dyDescent="0.25">
      <c r="A651" t="s">
        <v>19</v>
      </c>
      <c r="B651" t="s">
        <v>32</v>
      </c>
      <c r="C651" t="s">
        <v>44</v>
      </c>
      <c r="D651" t="s">
        <v>57</v>
      </c>
      <c r="E651" s="2">
        <v>288169</v>
      </c>
      <c r="F651" s="2">
        <v>52265</v>
      </c>
      <c r="G651" t="s">
        <v>66</v>
      </c>
      <c r="H651" t="s">
        <v>70</v>
      </c>
      <c r="I651" t="s">
        <v>72</v>
      </c>
      <c r="J651" t="s">
        <v>95</v>
      </c>
      <c r="K651" t="s">
        <v>120</v>
      </c>
      <c r="L651">
        <v>7</v>
      </c>
      <c r="M651">
        <v>5</v>
      </c>
      <c r="N651" t="s">
        <v>150</v>
      </c>
      <c r="O651" t="s">
        <v>154</v>
      </c>
      <c r="P651" t="s">
        <v>173</v>
      </c>
      <c r="Q651">
        <v>1.2E-2</v>
      </c>
      <c r="R651" s="9">
        <v>3458.0280000000002</v>
      </c>
      <c r="S651" t="str">
        <f>IF(OR(Sheet1[[#This Row],[Salary_USD]]&lt;$V$13,Sheet1[[#This Row],[Salary_USD]]&gt;$V$12),"Outlier","Normal")</f>
        <v>Normal</v>
      </c>
    </row>
    <row r="652" spans="1:19" x14ac:dyDescent="0.25">
      <c r="A652" t="s">
        <v>18</v>
      </c>
      <c r="B652" t="s">
        <v>23</v>
      </c>
      <c r="C652" t="s">
        <v>41</v>
      </c>
      <c r="D652" t="s">
        <v>451</v>
      </c>
      <c r="E652" s="2">
        <v>96927</v>
      </c>
      <c r="F652" s="2">
        <v>2138</v>
      </c>
      <c r="G652" t="s">
        <v>67</v>
      </c>
      <c r="H652" t="s">
        <v>69</v>
      </c>
      <c r="I652" t="s">
        <v>77</v>
      </c>
      <c r="J652" t="s">
        <v>87</v>
      </c>
      <c r="K652" t="s">
        <v>144</v>
      </c>
      <c r="L652">
        <v>0</v>
      </c>
      <c r="M652">
        <v>0</v>
      </c>
      <c r="N652" t="s">
        <v>149</v>
      </c>
      <c r="O652" t="s">
        <v>155</v>
      </c>
      <c r="P652" t="s">
        <v>196</v>
      </c>
      <c r="Q652">
        <v>1</v>
      </c>
      <c r="R652" s="9">
        <v>96927</v>
      </c>
      <c r="S652" t="str">
        <f>IF(OR(Sheet1[[#This Row],[Salary_USD]]&lt;$V$13,Sheet1[[#This Row],[Salary_USD]]&gt;$V$12),"Outlier","Normal")</f>
        <v>Normal</v>
      </c>
    </row>
    <row r="653" spans="1:19" x14ac:dyDescent="0.25">
      <c r="A653" t="s">
        <v>17</v>
      </c>
      <c r="B653" t="s">
        <v>23</v>
      </c>
      <c r="C653" t="s">
        <v>46</v>
      </c>
      <c r="D653" t="s">
        <v>62</v>
      </c>
      <c r="E653" s="2">
        <v>93200</v>
      </c>
      <c r="F653" s="2">
        <v>13089</v>
      </c>
      <c r="G653" t="s">
        <v>65</v>
      </c>
      <c r="H653" t="s">
        <v>69</v>
      </c>
      <c r="I653" t="s">
        <v>72</v>
      </c>
      <c r="J653" t="s">
        <v>95</v>
      </c>
      <c r="K653" t="s">
        <v>120</v>
      </c>
      <c r="L653">
        <v>15</v>
      </c>
      <c r="M653">
        <v>13</v>
      </c>
      <c r="N653" t="s">
        <v>150</v>
      </c>
      <c r="O653" t="s">
        <v>154</v>
      </c>
      <c r="P653" t="s">
        <v>211</v>
      </c>
      <c r="Q653">
        <v>0.73</v>
      </c>
      <c r="R653" s="9">
        <v>68036</v>
      </c>
      <c r="S653" t="str">
        <f>IF(OR(Sheet1[[#This Row],[Salary_USD]]&lt;$V$13,Sheet1[[#This Row],[Salary_USD]]&gt;$V$12),"Outlier","Normal")</f>
        <v>Normal</v>
      </c>
    </row>
    <row r="654" spans="1:19" x14ac:dyDescent="0.25">
      <c r="A654" t="s">
        <v>19</v>
      </c>
      <c r="B654" t="s">
        <v>34</v>
      </c>
      <c r="C654" t="s">
        <v>43</v>
      </c>
      <c r="D654" t="s">
        <v>60</v>
      </c>
      <c r="E654" s="2">
        <v>54073</v>
      </c>
      <c r="F654" s="2">
        <v>1846</v>
      </c>
      <c r="G654" t="s">
        <v>63</v>
      </c>
      <c r="H654" t="s">
        <v>56</v>
      </c>
      <c r="I654" t="s">
        <v>73</v>
      </c>
      <c r="J654" t="s">
        <v>102</v>
      </c>
      <c r="K654" t="s">
        <v>102</v>
      </c>
      <c r="L654">
        <v>12</v>
      </c>
      <c r="M654">
        <v>12</v>
      </c>
      <c r="N654" t="s">
        <v>149</v>
      </c>
      <c r="O654" t="s">
        <v>154</v>
      </c>
      <c r="P654" t="s">
        <v>209</v>
      </c>
      <c r="Q654">
        <v>1.1000000000000001</v>
      </c>
      <c r="R654" s="9">
        <v>59480.3</v>
      </c>
      <c r="S654" t="str">
        <f>IF(OR(Sheet1[[#This Row],[Salary_USD]]&lt;$V$13,Sheet1[[#This Row],[Salary_USD]]&gt;$V$12),"Outlier","Normal")</f>
        <v>Normal</v>
      </c>
    </row>
    <row r="655" spans="1:19" x14ac:dyDescent="0.25">
      <c r="A655" t="s">
        <v>18</v>
      </c>
      <c r="B655" t="s">
        <v>29</v>
      </c>
      <c r="C655" t="s">
        <v>36</v>
      </c>
      <c r="D655" t="s">
        <v>58</v>
      </c>
      <c r="E655" s="2">
        <v>101889</v>
      </c>
      <c r="F655" s="2">
        <v>6054</v>
      </c>
      <c r="G655" t="s">
        <v>64</v>
      </c>
      <c r="H655" t="s">
        <v>56</v>
      </c>
      <c r="I655" t="s">
        <v>81</v>
      </c>
      <c r="J655" t="s">
        <v>103</v>
      </c>
      <c r="K655" t="s">
        <v>140</v>
      </c>
      <c r="L655">
        <v>0</v>
      </c>
      <c r="M655">
        <v>0</v>
      </c>
      <c r="N655" t="s">
        <v>149</v>
      </c>
      <c r="O655" t="s">
        <v>156</v>
      </c>
      <c r="P655" t="s">
        <v>381</v>
      </c>
      <c r="Q655">
        <v>0.65</v>
      </c>
      <c r="R655" s="9">
        <v>66227.850000000006</v>
      </c>
      <c r="S655" t="str">
        <f>IF(OR(Sheet1[[#This Row],[Salary_USD]]&lt;$V$13,Sheet1[[#This Row],[Salary_USD]]&gt;$V$12),"Outlier","Normal")</f>
        <v>Normal</v>
      </c>
    </row>
    <row r="656" spans="1:19" x14ac:dyDescent="0.25">
      <c r="A656" t="s">
        <v>19</v>
      </c>
      <c r="B656" t="s">
        <v>28</v>
      </c>
      <c r="C656" t="s">
        <v>45</v>
      </c>
      <c r="D656" t="s">
        <v>61</v>
      </c>
      <c r="E656" s="2">
        <v>810754</v>
      </c>
      <c r="F656" s="2">
        <v>79691</v>
      </c>
      <c r="G656" t="s">
        <v>66</v>
      </c>
      <c r="H656" t="s">
        <v>69</v>
      </c>
      <c r="I656" t="s">
        <v>78</v>
      </c>
      <c r="J656" t="s">
        <v>88</v>
      </c>
      <c r="K656" t="s">
        <v>128</v>
      </c>
      <c r="L656">
        <v>12</v>
      </c>
      <c r="M656">
        <v>9</v>
      </c>
      <c r="N656" t="s">
        <v>151</v>
      </c>
      <c r="O656" t="s">
        <v>154</v>
      </c>
      <c r="P656" t="s">
        <v>243</v>
      </c>
      <c r="Q656">
        <v>1.2E-2</v>
      </c>
      <c r="R656" s="9">
        <v>9729.0480000000007</v>
      </c>
      <c r="S656" t="str">
        <f>IF(OR(Sheet1[[#This Row],[Salary_USD]]&lt;$V$13,Sheet1[[#This Row],[Salary_USD]]&gt;$V$12),"Outlier","Normal")</f>
        <v>Normal</v>
      </c>
    </row>
    <row r="657" spans="1:19" x14ac:dyDescent="0.25">
      <c r="A657" t="s">
        <v>19</v>
      </c>
      <c r="B657" t="s">
        <v>28</v>
      </c>
      <c r="C657" t="s">
        <v>37</v>
      </c>
      <c r="D657" t="s">
        <v>60</v>
      </c>
      <c r="E657" s="2">
        <v>158659</v>
      </c>
      <c r="F657" s="2">
        <v>4326</v>
      </c>
      <c r="G657" t="s">
        <v>64</v>
      </c>
      <c r="H657" t="s">
        <v>71</v>
      </c>
      <c r="I657" t="s">
        <v>75</v>
      </c>
      <c r="J657" t="s">
        <v>96</v>
      </c>
      <c r="K657" t="s">
        <v>121</v>
      </c>
      <c r="L657">
        <v>18</v>
      </c>
      <c r="M657">
        <v>18</v>
      </c>
      <c r="N657" t="s">
        <v>148</v>
      </c>
      <c r="O657" t="s">
        <v>155</v>
      </c>
      <c r="P657" t="s">
        <v>238</v>
      </c>
      <c r="Q657">
        <v>0.65</v>
      </c>
      <c r="R657" s="9">
        <v>103128.35</v>
      </c>
      <c r="S657" t="str">
        <f>IF(OR(Sheet1[[#This Row],[Salary_USD]]&lt;$V$13,Sheet1[[#This Row],[Salary_USD]]&gt;$V$12),"Outlier","Normal")</f>
        <v>Normal</v>
      </c>
    </row>
    <row r="658" spans="1:19" x14ac:dyDescent="0.25">
      <c r="A658" t="s">
        <v>17</v>
      </c>
      <c r="B658" t="s">
        <v>34</v>
      </c>
      <c r="C658" t="s">
        <v>39</v>
      </c>
      <c r="D658" t="s">
        <v>55</v>
      </c>
      <c r="E658" s="2">
        <v>1257501</v>
      </c>
      <c r="F658" s="2">
        <v>54729</v>
      </c>
      <c r="G658" t="s">
        <v>66</v>
      </c>
      <c r="H658" t="s">
        <v>56</v>
      </c>
      <c r="I658" t="s">
        <v>81</v>
      </c>
      <c r="J658" t="s">
        <v>98</v>
      </c>
      <c r="K658" t="s">
        <v>123</v>
      </c>
      <c r="L658">
        <v>9</v>
      </c>
      <c r="M658">
        <v>8</v>
      </c>
      <c r="N658" t="s">
        <v>149</v>
      </c>
      <c r="O658" t="s">
        <v>156</v>
      </c>
      <c r="P658" t="s">
        <v>188</v>
      </c>
      <c r="Q658">
        <v>1.2E-2</v>
      </c>
      <c r="R658" s="9">
        <v>15090.012000000001</v>
      </c>
      <c r="S658" t="str">
        <f>IF(OR(Sheet1[[#This Row],[Salary_USD]]&lt;$V$13,Sheet1[[#This Row],[Salary_USD]]&gt;$V$12),"Outlier","Normal")</f>
        <v>Normal</v>
      </c>
    </row>
    <row r="659" spans="1:19" x14ac:dyDescent="0.25">
      <c r="A659" t="s">
        <v>20</v>
      </c>
      <c r="B659" t="s">
        <v>29</v>
      </c>
      <c r="C659" t="s">
        <v>46</v>
      </c>
      <c r="D659" t="s">
        <v>54</v>
      </c>
      <c r="E659" s="2">
        <v>58371</v>
      </c>
      <c r="F659" s="2">
        <v>11737</v>
      </c>
      <c r="G659" t="s">
        <v>68</v>
      </c>
      <c r="H659" t="s">
        <v>56</v>
      </c>
      <c r="I659" t="s">
        <v>76</v>
      </c>
      <c r="J659" t="s">
        <v>100</v>
      </c>
      <c r="K659" t="s">
        <v>132</v>
      </c>
      <c r="L659">
        <v>0</v>
      </c>
      <c r="M659">
        <v>0</v>
      </c>
      <c r="N659" t="s">
        <v>148</v>
      </c>
      <c r="O659" t="s">
        <v>157</v>
      </c>
      <c r="P659" t="s">
        <v>298</v>
      </c>
      <c r="Q659">
        <v>1.25</v>
      </c>
      <c r="R659" s="9">
        <v>72963.75</v>
      </c>
      <c r="S659" t="str">
        <f>IF(OR(Sheet1[[#This Row],[Salary_USD]]&lt;$V$13,Sheet1[[#This Row],[Salary_USD]]&gt;$V$12),"Outlier","Normal")</f>
        <v>Normal</v>
      </c>
    </row>
    <row r="660" spans="1:19" x14ac:dyDescent="0.25">
      <c r="A660" t="s">
        <v>20</v>
      </c>
      <c r="B660" t="s">
        <v>23</v>
      </c>
      <c r="C660" t="s">
        <v>36</v>
      </c>
      <c r="D660" t="s">
        <v>451</v>
      </c>
      <c r="E660" s="2">
        <v>136343</v>
      </c>
      <c r="F660" s="2">
        <v>15042</v>
      </c>
      <c r="G660" t="s">
        <v>67</v>
      </c>
      <c r="H660" t="s">
        <v>56</v>
      </c>
      <c r="I660" t="s">
        <v>73</v>
      </c>
      <c r="J660" t="s">
        <v>99</v>
      </c>
      <c r="K660" t="s">
        <v>125</v>
      </c>
      <c r="L660">
        <v>0</v>
      </c>
      <c r="M660">
        <v>0</v>
      </c>
      <c r="N660" t="s">
        <v>151</v>
      </c>
      <c r="O660" t="s">
        <v>154</v>
      </c>
      <c r="P660" t="s">
        <v>174</v>
      </c>
      <c r="Q660">
        <v>1</v>
      </c>
      <c r="R660" s="9">
        <v>136343</v>
      </c>
      <c r="S660" t="str">
        <f>IF(OR(Sheet1[[#This Row],[Salary_USD]]&lt;$V$13,Sheet1[[#This Row],[Salary_USD]]&gt;$V$12),"Outlier","Normal")</f>
        <v>Normal</v>
      </c>
    </row>
    <row r="661" spans="1:19" x14ac:dyDescent="0.25">
      <c r="A661" t="s">
        <v>19</v>
      </c>
      <c r="B661" t="s">
        <v>29</v>
      </c>
      <c r="C661" t="s">
        <v>45</v>
      </c>
      <c r="D661" t="s">
        <v>55</v>
      </c>
      <c r="E661" s="2">
        <v>74509</v>
      </c>
      <c r="F661" s="2">
        <v>21994</v>
      </c>
      <c r="G661" t="s">
        <v>63</v>
      </c>
      <c r="H661" t="s">
        <v>69</v>
      </c>
      <c r="I661" t="s">
        <v>78</v>
      </c>
      <c r="J661" t="s">
        <v>104</v>
      </c>
      <c r="K661" t="s">
        <v>131</v>
      </c>
      <c r="L661">
        <v>25</v>
      </c>
      <c r="M661">
        <v>22</v>
      </c>
      <c r="N661" t="s">
        <v>152</v>
      </c>
      <c r="O661" t="s">
        <v>157</v>
      </c>
      <c r="P661" t="s">
        <v>174</v>
      </c>
      <c r="Q661">
        <v>1.1000000000000001</v>
      </c>
      <c r="R661" s="9">
        <v>81959.900000000009</v>
      </c>
      <c r="S661" t="str">
        <f>IF(OR(Sheet1[[#This Row],[Salary_USD]]&lt;$V$13,Sheet1[[#This Row],[Salary_USD]]&gt;$V$12),"Outlier","Normal")</f>
        <v>Normal</v>
      </c>
    </row>
    <row r="662" spans="1:19" x14ac:dyDescent="0.25">
      <c r="A662" t="s">
        <v>20</v>
      </c>
      <c r="B662" t="s">
        <v>34</v>
      </c>
      <c r="C662" t="s">
        <v>45</v>
      </c>
      <c r="D662" t="s">
        <v>55</v>
      </c>
      <c r="E662" s="2">
        <v>44599</v>
      </c>
      <c r="F662" s="2">
        <v>1203</v>
      </c>
      <c r="G662" t="s">
        <v>68</v>
      </c>
      <c r="H662" t="s">
        <v>69</v>
      </c>
      <c r="I662" t="s">
        <v>80</v>
      </c>
      <c r="J662" t="s">
        <v>93</v>
      </c>
      <c r="K662" t="s">
        <v>93</v>
      </c>
      <c r="L662">
        <v>1</v>
      </c>
      <c r="M662">
        <v>1</v>
      </c>
      <c r="N662" t="s">
        <v>150</v>
      </c>
      <c r="O662" t="s">
        <v>154</v>
      </c>
      <c r="P662" t="s">
        <v>382</v>
      </c>
      <c r="Q662">
        <v>1.25</v>
      </c>
      <c r="R662" s="9">
        <v>55748.75</v>
      </c>
      <c r="S662" t="str">
        <f>IF(OR(Sheet1[[#This Row],[Salary_USD]]&lt;$V$13,Sheet1[[#This Row],[Salary_USD]]&gt;$V$12),"Outlier","Normal")</f>
        <v>Normal</v>
      </c>
    </row>
    <row r="663" spans="1:19" x14ac:dyDescent="0.25">
      <c r="A663" t="s">
        <v>19</v>
      </c>
      <c r="B663" t="s">
        <v>31</v>
      </c>
      <c r="C663" t="s">
        <v>44</v>
      </c>
      <c r="D663" t="s">
        <v>54</v>
      </c>
      <c r="E663" s="2">
        <v>79783</v>
      </c>
      <c r="F663" s="2">
        <v>6795</v>
      </c>
      <c r="G663" t="s">
        <v>63</v>
      </c>
      <c r="H663" t="s">
        <v>69</v>
      </c>
      <c r="I663" t="s">
        <v>78</v>
      </c>
      <c r="J663" t="s">
        <v>109</v>
      </c>
      <c r="K663" t="s">
        <v>137</v>
      </c>
      <c r="L663">
        <v>10</v>
      </c>
      <c r="M663">
        <v>10</v>
      </c>
      <c r="N663" t="s">
        <v>148</v>
      </c>
      <c r="O663" t="s">
        <v>156</v>
      </c>
      <c r="P663" t="s">
        <v>383</v>
      </c>
      <c r="Q663">
        <v>1.1000000000000001</v>
      </c>
      <c r="R663" s="9">
        <v>87761.3</v>
      </c>
      <c r="S663" t="str">
        <f>IF(OR(Sheet1[[#This Row],[Salary_USD]]&lt;$V$13,Sheet1[[#This Row],[Salary_USD]]&gt;$V$12),"Outlier","Normal")</f>
        <v>Normal</v>
      </c>
    </row>
    <row r="664" spans="1:19" x14ac:dyDescent="0.25">
      <c r="A664" t="s">
        <v>20</v>
      </c>
      <c r="B664" t="s">
        <v>22</v>
      </c>
      <c r="C664" t="s">
        <v>38</v>
      </c>
      <c r="D664" t="s">
        <v>56</v>
      </c>
      <c r="E664" s="2">
        <v>134132</v>
      </c>
      <c r="F664" s="2">
        <v>31519</v>
      </c>
      <c r="G664" t="s">
        <v>67</v>
      </c>
      <c r="H664" t="s">
        <v>56</v>
      </c>
      <c r="I664" t="s">
        <v>81</v>
      </c>
      <c r="J664" t="s">
        <v>101</v>
      </c>
      <c r="K664" t="s">
        <v>127</v>
      </c>
      <c r="L664">
        <v>0</v>
      </c>
      <c r="M664">
        <v>0</v>
      </c>
      <c r="N664" t="s">
        <v>150</v>
      </c>
      <c r="O664" t="s">
        <v>156</v>
      </c>
      <c r="P664" t="s">
        <v>180</v>
      </c>
      <c r="Q664">
        <v>1</v>
      </c>
      <c r="R664" s="9">
        <v>134132</v>
      </c>
      <c r="S664" t="str">
        <f>IF(OR(Sheet1[[#This Row],[Salary_USD]]&lt;$V$13,Sheet1[[#This Row],[Salary_USD]]&gt;$V$12),"Outlier","Normal")</f>
        <v>Normal</v>
      </c>
    </row>
    <row r="665" spans="1:19" x14ac:dyDescent="0.25">
      <c r="A665" t="s">
        <v>19</v>
      </c>
      <c r="B665" t="s">
        <v>35</v>
      </c>
      <c r="C665" t="s">
        <v>49</v>
      </c>
      <c r="D665" t="s">
        <v>56</v>
      </c>
      <c r="E665" s="2">
        <v>116965</v>
      </c>
      <c r="F665" s="2">
        <v>4136</v>
      </c>
      <c r="G665" t="s">
        <v>63</v>
      </c>
      <c r="H665" t="s">
        <v>69</v>
      </c>
      <c r="I665" t="s">
        <v>72</v>
      </c>
      <c r="J665" t="s">
        <v>95</v>
      </c>
      <c r="K665" t="s">
        <v>120</v>
      </c>
      <c r="L665">
        <v>8</v>
      </c>
      <c r="M665">
        <v>7</v>
      </c>
      <c r="N665" t="s">
        <v>150</v>
      </c>
      <c r="O665" t="s">
        <v>154</v>
      </c>
      <c r="P665" t="s">
        <v>384</v>
      </c>
      <c r="Q665">
        <v>1.1000000000000001</v>
      </c>
      <c r="R665" s="9">
        <v>128661.50000000001</v>
      </c>
      <c r="S665" t="str">
        <f>IF(OR(Sheet1[[#This Row],[Salary_USD]]&lt;$V$13,Sheet1[[#This Row],[Salary_USD]]&gt;$V$12),"Outlier","Normal")</f>
        <v>Normal</v>
      </c>
    </row>
    <row r="666" spans="1:19" x14ac:dyDescent="0.25">
      <c r="A666" t="s">
        <v>21</v>
      </c>
      <c r="B666" t="s">
        <v>26</v>
      </c>
      <c r="C666" t="s">
        <v>42</v>
      </c>
      <c r="D666" t="s">
        <v>451</v>
      </c>
      <c r="E666" s="2">
        <v>84204</v>
      </c>
      <c r="F666" s="2">
        <v>2300</v>
      </c>
      <c r="G666" t="s">
        <v>64</v>
      </c>
      <c r="H666" t="s">
        <v>71</v>
      </c>
      <c r="I666" t="s">
        <v>75</v>
      </c>
      <c r="J666" t="s">
        <v>85</v>
      </c>
      <c r="K666" t="s">
        <v>114</v>
      </c>
      <c r="L666">
        <v>12</v>
      </c>
      <c r="M666">
        <v>11</v>
      </c>
      <c r="N666" t="s">
        <v>149</v>
      </c>
      <c r="O666" t="s">
        <v>156</v>
      </c>
      <c r="P666" t="s">
        <v>198</v>
      </c>
      <c r="Q666">
        <v>0.65</v>
      </c>
      <c r="R666" s="9">
        <v>54732.6</v>
      </c>
      <c r="S666" t="str">
        <f>IF(OR(Sheet1[[#This Row],[Salary_USD]]&lt;$V$13,Sheet1[[#This Row],[Salary_USD]]&gt;$V$12),"Outlier","Normal")</f>
        <v>Normal</v>
      </c>
    </row>
    <row r="667" spans="1:19" x14ac:dyDescent="0.25">
      <c r="A667" t="s">
        <v>19</v>
      </c>
      <c r="B667" t="s">
        <v>23</v>
      </c>
      <c r="C667" t="s">
        <v>49</v>
      </c>
      <c r="D667" t="s">
        <v>58</v>
      </c>
      <c r="E667" s="2">
        <v>825712</v>
      </c>
      <c r="F667" s="2">
        <v>61543</v>
      </c>
      <c r="G667" t="s">
        <v>66</v>
      </c>
      <c r="H667" t="s">
        <v>70</v>
      </c>
      <c r="I667" t="s">
        <v>80</v>
      </c>
      <c r="J667" t="s">
        <v>106</v>
      </c>
      <c r="K667" t="s">
        <v>106</v>
      </c>
      <c r="L667">
        <v>7</v>
      </c>
      <c r="M667">
        <v>7</v>
      </c>
      <c r="N667" t="s">
        <v>150</v>
      </c>
      <c r="O667" t="s">
        <v>157</v>
      </c>
      <c r="P667" t="s">
        <v>172</v>
      </c>
      <c r="Q667">
        <v>1.2E-2</v>
      </c>
      <c r="R667" s="9">
        <v>9908.5439999999999</v>
      </c>
      <c r="S667" t="str">
        <f>IF(OR(Sheet1[[#This Row],[Salary_USD]]&lt;$V$13,Sheet1[[#This Row],[Salary_USD]]&gt;$V$12),"Outlier","Normal")</f>
        <v>Normal</v>
      </c>
    </row>
    <row r="668" spans="1:19" x14ac:dyDescent="0.25">
      <c r="A668" t="s">
        <v>17</v>
      </c>
      <c r="B668" t="s">
        <v>28</v>
      </c>
      <c r="C668" t="s">
        <v>37</v>
      </c>
      <c r="D668" t="s">
        <v>451</v>
      </c>
      <c r="E668" s="2">
        <v>42746</v>
      </c>
      <c r="F668" s="2">
        <v>1674</v>
      </c>
      <c r="G668" t="s">
        <v>64</v>
      </c>
      <c r="H668" t="s">
        <v>69</v>
      </c>
      <c r="I668" t="s">
        <v>81</v>
      </c>
      <c r="J668" t="s">
        <v>103</v>
      </c>
      <c r="K668" t="s">
        <v>140</v>
      </c>
      <c r="L668">
        <v>20</v>
      </c>
      <c r="M668">
        <v>17</v>
      </c>
      <c r="N668" t="s">
        <v>152</v>
      </c>
      <c r="O668" t="s">
        <v>155</v>
      </c>
      <c r="P668" t="s">
        <v>385</v>
      </c>
      <c r="Q668">
        <v>0.65</v>
      </c>
      <c r="R668" s="9">
        <v>27784.9</v>
      </c>
      <c r="S668" t="str">
        <f>IF(OR(Sheet1[[#This Row],[Salary_USD]]&lt;$V$13,Sheet1[[#This Row],[Salary_USD]]&gt;$V$12),"Outlier","Normal")</f>
        <v>Normal</v>
      </c>
    </row>
    <row r="669" spans="1:19" x14ac:dyDescent="0.25">
      <c r="A669" t="s">
        <v>20</v>
      </c>
      <c r="B669" t="s">
        <v>35</v>
      </c>
      <c r="C669" t="s">
        <v>36</v>
      </c>
      <c r="D669" t="s">
        <v>54</v>
      </c>
      <c r="E669" s="2">
        <v>55931</v>
      </c>
      <c r="F669" s="2">
        <v>0</v>
      </c>
      <c r="G669" t="s">
        <v>65</v>
      </c>
      <c r="H669" t="s">
        <v>56</v>
      </c>
      <c r="I669" t="s">
        <v>80</v>
      </c>
      <c r="J669" t="s">
        <v>93</v>
      </c>
      <c r="K669" t="s">
        <v>93</v>
      </c>
      <c r="L669">
        <v>3</v>
      </c>
      <c r="M669">
        <v>3</v>
      </c>
      <c r="N669" t="s">
        <v>150</v>
      </c>
      <c r="O669" t="s">
        <v>154</v>
      </c>
      <c r="P669" t="s">
        <v>386</v>
      </c>
      <c r="Q669">
        <v>0.73</v>
      </c>
      <c r="R669" s="9">
        <v>40829.629999999997</v>
      </c>
      <c r="S669" t="str">
        <f>IF(OR(Sheet1[[#This Row],[Salary_USD]]&lt;$V$13,Sheet1[[#This Row],[Salary_USD]]&gt;$V$12),"Outlier","Normal")</f>
        <v>Normal</v>
      </c>
    </row>
    <row r="670" spans="1:19" x14ac:dyDescent="0.25">
      <c r="A670" t="s">
        <v>18</v>
      </c>
      <c r="B670" t="s">
        <v>35</v>
      </c>
      <c r="C670" t="s">
        <v>45</v>
      </c>
      <c r="D670" t="s">
        <v>60</v>
      </c>
      <c r="E670" s="2">
        <v>117660</v>
      </c>
      <c r="F670" s="2">
        <v>672</v>
      </c>
      <c r="G670" t="s">
        <v>68</v>
      </c>
      <c r="H670" t="s">
        <v>71</v>
      </c>
      <c r="I670" t="s">
        <v>72</v>
      </c>
      <c r="J670" t="s">
        <v>95</v>
      </c>
      <c r="K670" t="s">
        <v>120</v>
      </c>
      <c r="L670">
        <v>1</v>
      </c>
      <c r="M670">
        <v>1</v>
      </c>
      <c r="N670" t="s">
        <v>153</v>
      </c>
      <c r="O670" t="s">
        <v>155</v>
      </c>
      <c r="P670" t="s">
        <v>173</v>
      </c>
      <c r="Q670">
        <v>1.25</v>
      </c>
      <c r="R670" s="9">
        <v>147075</v>
      </c>
      <c r="S670" t="str">
        <f>IF(OR(Sheet1[[#This Row],[Salary_USD]]&lt;$V$13,Sheet1[[#This Row],[Salary_USD]]&gt;$V$12),"Outlier","Normal")</f>
        <v>Normal</v>
      </c>
    </row>
    <row r="671" spans="1:19" x14ac:dyDescent="0.25">
      <c r="A671" t="s">
        <v>17</v>
      </c>
      <c r="B671" t="s">
        <v>22</v>
      </c>
      <c r="C671" t="s">
        <v>51</v>
      </c>
      <c r="D671" t="s">
        <v>451</v>
      </c>
      <c r="E671" s="2">
        <v>65867</v>
      </c>
      <c r="F671" s="2">
        <v>1456</v>
      </c>
      <c r="G671" t="s">
        <v>64</v>
      </c>
      <c r="H671" t="s">
        <v>56</v>
      </c>
      <c r="I671" t="s">
        <v>72</v>
      </c>
      <c r="J671" t="s">
        <v>82</v>
      </c>
      <c r="K671" t="s">
        <v>112</v>
      </c>
      <c r="L671">
        <v>9</v>
      </c>
      <c r="M671">
        <v>6</v>
      </c>
      <c r="N671" t="s">
        <v>151</v>
      </c>
      <c r="O671" t="s">
        <v>156</v>
      </c>
      <c r="P671" t="s">
        <v>387</v>
      </c>
      <c r="Q671">
        <v>0.65</v>
      </c>
      <c r="R671" s="9">
        <v>42813.55</v>
      </c>
      <c r="S671" t="str">
        <f>IF(OR(Sheet1[[#This Row],[Salary_USD]]&lt;$V$13,Sheet1[[#This Row],[Salary_USD]]&gt;$V$12),"Outlier","Normal")</f>
        <v>Normal</v>
      </c>
    </row>
    <row r="672" spans="1:19" x14ac:dyDescent="0.25">
      <c r="A672" t="s">
        <v>19</v>
      </c>
      <c r="B672" t="s">
        <v>35</v>
      </c>
      <c r="C672" t="s">
        <v>38</v>
      </c>
      <c r="D672" t="s">
        <v>59</v>
      </c>
      <c r="E672" s="2">
        <v>71625</v>
      </c>
      <c r="F672" s="2">
        <v>1053</v>
      </c>
      <c r="G672" t="s">
        <v>67</v>
      </c>
      <c r="H672" t="s">
        <v>69</v>
      </c>
      <c r="I672" t="s">
        <v>72</v>
      </c>
      <c r="J672" t="s">
        <v>82</v>
      </c>
      <c r="K672" t="s">
        <v>112</v>
      </c>
      <c r="L672">
        <v>15</v>
      </c>
      <c r="M672">
        <v>15</v>
      </c>
      <c r="N672" t="s">
        <v>149</v>
      </c>
      <c r="O672" t="s">
        <v>157</v>
      </c>
      <c r="P672" t="s">
        <v>388</v>
      </c>
      <c r="Q672">
        <v>1</v>
      </c>
      <c r="R672" s="9">
        <v>71625</v>
      </c>
      <c r="S672" t="str">
        <f>IF(OR(Sheet1[[#This Row],[Salary_USD]]&lt;$V$13,Sheet1[[#This Row],[Salary_USD]]&gt;$V$12),"Outlier","Normal")</f>
        <v>Normal</v>
      </c>
    </row>
    <row r="673" spans="1:19" x14ac:dyDescent="0.25">
      <c r="A673" t="s">
        <v>20</v>
      </c>
      <c r="B673" t="s">
        <v>31</v>
      </c>
      <c r="C673" t="s">
        <v>37</v>
      </c>
      <c r="D673" t="s">
        <v>58</v>
      </c>
      <c r="E673" s="2">
        <v>63813</v>
      </c>
      <c r="F673" s="2">
        <v>2495</v>
      </c>
      <c r="G673" t="s">
        <v>68</v>
      </c>
      <c r="H673" t="s">
        <v>451</v>
      </c>
      <c r="I673" t="s">
        <v>73</v>
      </c>
      <c r="J673" t="s">
        <v>102</v>
      </c>
      <c r="K673" t="s">
        <v>102</v>
      </c>
      <c r="L673">
        <v>1</v>
      </c>
      <c r="M673">
        <v>1</v>
      </c>
      <c r="N673" t="s">
        <v>149</v>
      </c>
      <c r="O673" t="s">
        <v>155</v>
      </c>
      <c r="P673" t="s">
        <v>207</v>
      </c>
      <c r="Q673">
        <v>1.25</v>
      </c>
      <c r="R673" s="9">
        <v>79766.25</v>
      </c>
      <c r="S673" t="str">
        <f>IF(OR(Sheet1[[#This Row],[Salary_USD]]&lt;$V$13,Sheet1[[#This Row],[Salary_USD]]&gt;$V$12),"Outlier","Normal")</f>
        <v>Normal</v>
      </c>
    </row>
    <row r="674" spans="1:19" x14ac:dyDescent="0.25">
      <c r="A674" t="s">
        <v>20</v>
      </c>
      <c r="B674" t="s">
        <v>35</v>
      </c>
      <c r="C674" t="s">
        <v>44</v>
      </c>
      <c r="D674" t="s">
        <v>62</v>
      </c>
      <c r="E674" s="2">
        <v>69719</v>
      </c>
      <c r="F674" s="2">
        <v>16968</v>
      </c>
      <c r="G674" t="s">
        <v>65</v>
      </c>
      <c r="H674" t="s">
        <v>69</v>
      </c>
      <c r="I674" t="s">
        <v>72</v>
      </c>
      <c r="J674" t="s">
        <v>95</v>
      </c>
      <c r="K674" t="s">
        <v>120</v>
      </c>
      <c r="L674">
        <v>7</v>
      </c>
      <c r="M674">
        <v>4</v>
      </c>
      <c r="N674" t="s">
        <v>150</v>
      </c>
      <c r="O674" t="s">
        <v>154</v>
      </c>
      <c r="P674" t="s">
        <v>175</v>
      </c>
      <c r="Q674">
        <v>0.73</v>
      </c>
      <c r="R674" s="9">
        <v>50894.869999999995</v>
      </c>
      <c r="S674" t="str">
        <f>IF(OR(Sheet1[[#This Row],[Salary_USD]]&lt;$V$13,Sheet1[[#This Row],[Salary_USD]]&gt;$V$12),"Outlier","Normal")</f>
        <v>Normal</v>
      </c>
    </row>
    <row r="675" spans="1:19" x14ac:dyDescent="0.25">
      <c r="A675" t="s">
        <v>17</v>
      </c>
      <c r="B675" t="s">
        <v>32</v>
      </c>
      <c r="C675" t="s">
        <v>53</v>
      </c>
      <c r="D675" t="s">
        <v>60</v>
      </c>
      <c r="E675" s="2">
        <v>102557</v>
      </c>
      <c r="F675" s="2">
        <v>0</v>
      </c>
      <c r="G675" t="s">
        <v>65</v>
      </c>
      <c r="H675" t="s">
        <v>56</v>
      </c>
      <c r="I675" t="s">
        <v>80</v>
      </c>
      <c r="J675" t="s">
        <v>106</v>
      </c>
      <c r="K675" t="s">
        <v>106</v>
      </c>
      <c r="L675">
        <v>15</v>
      </c>
      <c r="M675">
        <v>12</v>
      </c>
      <c r="N675" t="s">
        <v>148</v>
      </c>
      <c r="O675" t="s">
        <v>156</v>
      </c>
      <c r="P675" t="s">
        <v>216</v>
      </c>
      <c r="Q675">
        <v>0.73</v>
      </c>
      <c r="R675" s="9">
        <v>74866.61</v>
      </c>
      <c r="S675" t="str">
        <f>IF(OR(Sheet1[[#This Row],[Salary_USD]]&lt;$V$13,Sheet1[[#This Row],[Salary_USD]]&gt;$V$12),"Outlier","Normal")</f>
        <v>Normal</v>
      </c>
    </row>
    <row r="676" spans="1:19" x14ac:dyDescent="0.25">
      <c r="A676" t="s">
        <v>17</v>
      </c>
      <c r="B676" t="s">
        <v>23</v>
      </c>
      <c r="C676" t="s">
        <v>40</v>
      </c>
      <c r="D676" t="s">
        <v>56</v>
      </c>
      <c r="E676" s="2">
        <v>1044670</v>
      </c>
      <c r="F676" s="2">
        <v>0</v>
      </c>
      <c r="G676" t="s">
        <v>66</v>
      </c>
      <c r="H676" t="s">
        <v>451</v>
      </c>
      <c r="I676" t="s">
        <v>78</v>
      </c>
      <c r="J676" t="s">
        <v>104</v>
      </c>
      <c r="K676" t="s">
        <v>131</v>
      </c>
      <c r="L676">
        <v>9</v>
      </c>
      <c r="M676">
        <v>7</v>
      </c>
      <c r="N676" t="s">
        <v>151</v>
      </c>
      <c r="O676" t="s">
        <v>154</v>
      </c>
      <c r="P676" t="s">
        <v>327</v>
      </c>
      <c r="Q676">
        <v>1.2E-2</v>
      </c>
      <c r="R676" s="9">
        <v>12536.04</v>
      </c>
      <c r="S676" t="str">
        <f>IF(OR(Sheet1[[#This Row],[Salary_USD]]&lt;$V$13,Sheet1[[#This Row],[Salary_USD]]&gt;$V$12),"Outlier","Normal")</f>
        <v>Normal</v>
      </c>
    </row>
    <row r="677" spans="1:19" x14ac:dyDescent="0.25">
      <c r="A677" t="s">
        <v>18</v>
      </c>
      <c r="B677" t="s">
        <v>34</v>
      </c>
      <c r="C677" t="s">
        <v>49</v>
      </c>
      <c r="D677" t="s">
        <v>451</v>
      </c>
      <c r="E677" s="2">
        <v>95393</v>
      </c>
      <c r="F677" s="2">
        <v>8798</v>
      </c>
      <c r="G677" t="s">
        <v>64</v>
      </c>
      <c r="H677" t="s">
        <v>70</v>
      </c>
      <c r="I677" t="s">
        <v>81</v>
      </c>
      <c r="J677" t="s">
        <v>101</v>
      </c>
      <c r="K677" t="s">
        <v>127</v>
      </c>
      <c r="L677">
        <v>0</v>
      </c>
      <c r="M677">
        <v>0</v>
      </c>
      <c r="N677" t="s">
        <v>153</v>
      </c>
      <c r="O677" t="s">
        <v>157</v>
      </c>
      <c r="P677" t="s">
        <v>180</v>
      </c>
      <c r="Q677">
        <v>0.65</v>
      </c>
      <c r="R677" s="9">
        <v>62005.450000000004</v>
      </c>
      <c r="S677" t="str">
        <f>IF(OR(Sheet1[[#This Row],[Salary_USD]]&lt;$V$13,Sheet1[[#This Row],[Salary_USD]]&gt;$V$12),"Outlier","Normal")</f>
        <v>Normal</v>
      </c>
    </row>
    <row r="678" spans="1:19" x14ac:dyDescent="0.25">
      <c r="A678" t="s">
        <v>19</v>
      </c>
      <c r="B678" t="s">
        <v>35</v>
      </c>
      <c r="C678" t="s">
        <v>36</v>
      </c>
      <c r="D678" t="s">
        <v>54</v>
      </c>
      <c r="E678" s="2">
        <v>91879</v>
      </c>
      <c r="F678" s="2">
        <v>8848</v>
      </c>
      <c r="G678" t="s">
        <v>67</v>
      </c>
      <c r="H678" t="s">
        <v>56</v>
      </c>
      <c r="I678" t="s">
        <v>80</v>
      </c>
      <c r="J678" t="s">
        <v>106</v>
      </c>
      <c r="K678" t="s">
        <v>106</v>
      </c>
      <c r="L678">
        <v>2</v>
      </c>
      <c r="M678">
        <v>2</v>
      </c>
      <c r="N678" t="s">
        <v>148</v>
      </c>
      <c r="O678" t="s">
        <v>157</v>
      </c>
      <c r="P678" t="s">
        <v>193</v>
      </c>
      <c r="Q678">
        <v>1</v>
      </c>
      <c r="R678" s="9">
        <v>91879</v>
      </c>
      <c r="S678" t="str">
        <f>IF(OR(Sheet1[[#This Row],[Salary_USD]]&lt;$V$13,Sheet1[[#This Row],[Salary_USD]]&gt;$V$12),"Outlier","Normal")</f>
        <v>Normal</v>
      </c>
    </row>
    <row r="679" spans="1:19" x14ac:dyDescent="0.25">
      <c r="A679" t="s">
        <v>20</v>
      </c>
      <c r="B679" t="s">
        <v>24</v>
      </c>
      <c r="C679" t="s">
        <v>48</v>
      </c>
      <c r="D679" t="s">
        <v>62</v>
      </c>
      <c r="E679" s="2">
        <v>1083601</v>
      </c>
      <c r="F679" s="2">
        <v>45777</v>
      </c>
      <c r="G679" t="s">
        <v>66</v>
      </c>
      <c r="H679" t="s">
        <v>451</v>
      </c>
      <c r="I679" t="s">
        <v>79</v>
      </c>
      <c r="J679" t="s">
        <v>91</v>
      </c>
      <c r="K679" t="s">
        <v>118</v>
      </c>
      <c r="L679">
        <v>2</v>
      </c>
      <c r="M679">
        <v>1</v>
      </c>
      <c r="N679" t="s">
        <v>149</v>
      </c>
      <c r="O679" t="s">
        <v>154</v>
      </c>
      <c r="P679" t="s">
        <v>389</v>
      </c>
      <c r="Q679">
        <v>1.2E-2</v>
      </c>
      <c r="R679" s="9">
        <v>13003.212</v>
      </c>
      <c r="S679" t="str">
        <f>IF(OR(Sheet1[[#This Row],[Salary_USD]]&lt;$V$13,Sheet1[[#This Row],[Salary_USD]]&gt;$V$12),"Outlier","Normal")</f>
        <v>Normal</v>
      </c>
    </row>
    <row r="680" spans="1:19" x14ac:dyDescent="0.25">
      <c r="A680" t="s">
        <v>21</v>
      </c>
      <c r="B680" t="s">
        <v>35</v>
      </c>
      <c r="C680" t="s">
        <v>47</v>
      </c>
      <c r="D680" t="s">
        <v>451</v>
      </c>
      <c r="E680" s="2">
        <v>95413</v>
      </c>
      <c r="F680" s="2">
        <v>21200</v>
      </c>
      <c r="G680" t="s">
        <v>65</v>
      </c>
      <c r="H680" t="s">
        <v>71</v>
      </c>
      <c r="I680" t="s">
        <v>72</v>
      </c>
      <c r="J680" t="s">
        <v>82</v>
      </c>
      <c r="K680" t="s">
        <v>112</v>
      </c>
      <c r="L680">
        <v>18</v>
      </c>
      <c r="M680">
        <v>18</v>
      </c>
      <c r="N680" t="s">
        <v>150</v>
      </c>
      <c r="O680" t="s">
        <v>156</v>
      </c>
      <c r="P680" t="s">
        <v>216</v>
      </c>
      <c r="Q680">
        <v>0.73</v>
      </c>
      <c r="R680" s="9">
        <v>69651.490000000005</v>
      </c>
      <c r="S680" t="str">
        <f>IF(OR(Sheet1[[#This Row],[Salary_USD]]&lt;$V$13,Sheet1[[#This Row],[Salary_USD]]&gt;$V$12),"Outlier","Normal")</f>
        <v>Normal</v>
      </c>
    </row>
    <row r="681" spans="1:19" x14ac:dyDescent="0.25">
      <c r="A681" t="s">
        <v>17</v>
      </c>
      <c r="B681" t="s">
        <v>29</v>
      </c>
      <c r="C681" t="s">
        <v>49</v>
      </c>
      <c r="D681" t="s">
        <v>60</v>
      </c>
      <c r="E681" s="2">
        <v>879233</v>
      </c>
      <c r="F681" s="2">
        <v>0</v>
      </c>
      <c r="G681" t="s">
        <v>66</v>
      </c>
      <c r="H681" t="s">
        <v>71</v>
      </c>
      <c r="I681" t="s">
        <v>75</v>
      </c>
      <c r="J681" t="s">
        <v>96</v>
      </c>
      <c r="K681" t="s">
        <v>121</v>
      </c>
      <c r="L681">
        <v>9</v>
      </c>
      <c r="M681">
        <v>9</v>
      </c>
      <c r="N681" t="s">
        <v>150</v>
      </c>
      <c r="O681" t="s">
        <v>154</v>
      </c>
      <c r="P681" t="s">
        <v>162</v>
      </c>
      <c r="Q681">
        <v>1.2E-2</v>
      </c>
      <c r="R681" s="9">
        <v>10550.796</v>
      </c>
      <c r="S681" t="str">
        <f>IF(OR(Sheet1[[#This Row],[Salary_USD]]&lt;$V$13,Sheet1[[#This Row],[Salary_USD]]&gt;$V$12),"Outlier","Normal")</f>
        <v>Normal</v>
      </c>
    </row>
    <row r="682" spans="1:19" x14ac:dyDescent="0.25">
      <c r="A682" t="s">
        <v>21</v>
      </c>
      <c r="B682" t="s">
        <v>29</v>
      </c>
      <c r="C682" t="s">
        <v>49</v>
      </c>
      <c r="D682" t="s">
        <v>62</v>
      </c>
      <c r="E682" s="2">
        <v>87022</v>
      </c>
      <c r="F682" s="2">
        <v>8220</v>
      </c>
      <c r="G682" t="s">
        <v>67</v>
      </c>
      <c r="H682" t="s">
        <v>71</v>
      </c>
      <c r="I682" t="s">
        <v>78</v>
      </c>
      <c r="J682" t="s">
        <v>105</v>
      </c>
      <c r="K682" t="s">
        <v>133</v>
      </c>
      <c r="L682">
        <v>20</v>
      </c>
      <c r="M682">
        <v>20</v>
      </c>
      <c r="N682" t="s">
        <v>150</v>
      </c>
      <c r="O682" t="s">
        <v>154</v>
      </c>
      <c r="P682" t="s">
        <v>176</v>
      </c>
      <c r="Q682">
        <v>1</v>
      </c>
      <c r="R682" s="9">
        <v>87022</v>
      </c>
      <c r="S682" t="str">
        <f>IF(OR(Sheet1[[#This Row],[Salary_USD]]&lt;$V$13,Sheet1[[#This Row],[Salary_USD]]&gt;$V$12),"Outlier","Normal")</f>
        <v>Normal</v>
      </c>
    </row>
    <row r="683" spans="1:19" x14ac:dyDescent="0.25">
      <c r="A683" t="s">
        <v>19</v>
      </c>
      <c r="B683" t="s">
        <v>35</v>
      </c>
      <c r="C683" t="s">
        <v>52</v>
      </c>
      <c r="D683" t="s">
        <v>55</v>
      </c>
      <c r="E683" s="2">
        <v>612210</v>
      </c>
      <c r="F683" s="2">
        <v>298</v>
      </c>
      <c r="G683" t="s">
        <v>66</v>
      </c>
      <c r="H683" t="s">
        <v>56</v>
      </c>
      <c r="I683" t="s">
        <v>75</v>
      </c>
      <c r="J683" t="s">
        <v>96</v>
      </c>
      <c r="K683" t="s">
        <v>121</v>
      </c>
      <c r="L683">
        <v>8</v>
      </c>
      <c r="M683">
        <v>6</v>
      </c>
      <c r="N683" t="s">
        <v>151</v>
      </c>
      <c r="O683" t="s">
        <v>157</v>
      </c>
      <c r="P683" t="s">
        <v>170</v>
      </c>
      <c r="Q683">
        <v>1.2E-2</v>
      </c>
      <c r="R683" s="9">
        <v>7346.52</v>
      </c>
      <c r="S683" t="str">
        <f>IF(OR(Sheet1[[#This Row],[Salary_USD]]&lt;$V$13,Sheet1[[#This Row],[Salary_USD]]&gt;$V$12),"Outlier","Normal")</f>
        <v>Normal</v>
      </c>
    </row>
    <row r="684" spans="1:19" x14ac:dyDescent="0.25">
      <c r="A684" t="s">
        <v>18</v>
      </c>
      <c r="B684" t="s">
        <v>34</v>
      </c>
      <c r="C684" t="s">
        <v>39</v>
      </c>
      <c r="D684" t="s">
        <v>60</v>
      </c>
      <c r="E684" s="2">
        <v>56634</v>
      </c>
      <c r="F684" s="2">
        <v>7097</v>
      </c>
      <c r="G684" t="s">
        <v>63</v>
      </c>
      <c r="H684" t="s">
        <v>451</v>
      </c>
      <c r="I684" t="s">
        <v>78</v>
      </c>
      <c r="J684" t="s">
        <v>88</v>
      </c>
      <c r="K684" t="s">
        <v>128</v>
      </c>
      <c r="L684">
        <v>0</v>
      </c>
      <c r="M684">
        <v>0</v>
      </c>
      <c r="N684" t="s">
        <v>150</v>
      </c>
      <c r="O684" t="s">
        <v>154</v>
      </c>
      <c r="P684" t="s">
        <v>161</v>
      </c>
      <c r="Q684">
        <v>1.1000000000000001</v>
      </c>
      <c r="R684" s="9">
        <v>62297.4</v>
      </c>
      <c r="S684" t="str">
        <f>IF(OR(Sheet1[[#This Row],[Salary_USD]]&lt;$V$13,Sheet1[[#This Row],[Salary_USD]]&gt;$V$12),"Outlier","Normal")</f>
        <v>Normal</v>
      </c>
    </row>
    <row r="685" spans="1:19" x14ac:dyDescent="0.25">
      <c r="A685" t="s">
        <v>20</v>
      </c>
      <c r="B685" t="s">
        <v>32</v>
      </c>
      <c r="C685" t="s">
        <v>37</v>
      </c>
      <c r="D685" t="s">
        <v>55</v>
      </c>
      <c r="E685" s="2">
        <v>86265</v>
      </c>
      <c r="F685" s="2">
        <v>19011</v>
      </c>
      <c r="G685" t="s">
        <v>65</v>
      </c>
      <c r="H685" t="s">
        <v>451</v>
      </c>
      <c r="I685" t="s">
        <v>77</v>
      </c>
      <c r="J685" t="s">
        <v>110</v>
      </c>
      <c r="K685" t="s">
        <v>145</v>
      </c>
      <c r="L685">
        <v>7</v>
      </c>
      <c r="M685">
        <v>6</v>
      </c>
      <c r="N685" t="s">
        <v>152</v>
      </c>
      <c r="O685" t="s">
        <v>156</v>
      </c>
      <c r="P685" t="s">
        <v>372</v>
      </c>
      <c r="Q685">
        <v>0.73</v>
      </c>
      <c r="R685" s="9">
        <v>62973.45</v>
      </c>
      <c r="S685" t="str">
        <f>IF(OR(Sheet1[[#This Row],[Salary_USD]]&lt;$V$13,Sheet1[[#This Row],[Salary_USD]]&gt;$V$12),"Outlier","Normal")</f>
        <v>Normal</v>
      </c>
    </row>
    <row r="686" spans="1:19" x14ac:dyDescent="0.25">
      <c r="A686" t="s">
        <v>17</v>
      </c>
      <c r="B686" t="s">
        <v>22</v>
      </c>
      <c r="C686" t="s">
        <v>38</v>
      </c>
      <c r="D686" t="s">
        <v>451</v>
      </c>
      <c r="E686" s="2">
        <v>405709</v>
      </c>
      <c r="F686" s="2">
        <v>12178</v>
      </c>
      <c r="G686" t="s">
        <v>66</v>
      </c>
      <c r="H686" t="s">
        <v>69</v>
      </c>
      <c r="I686" t="s">
        <v>75</v>
      </c>
      <c r="J686" t="s">
        <v>108</v>
      </c>
      <c r="K686" t="s">
        <v>135</v>
      </c>
      <c r="L686">
        <v>25</v>
      </c>
      <c r="M686">
        <v>25</v>
      </c>
      <c r="N686" t="s">
        <v>149</v>
      </c>
      <c r="O686" t="s">
        <v>154</v>
      </c>
      <c r="P686" t="s">
        <v>195</v>
      </c>
      <c r="Q686">
        <v>1.2E-2</v>
      </c>
      <c r="R686" s="9">
        <v>4868.5079999999998</v>
      </c>
      <c r="S686" t="str">
        <f>IF(OR(Sheet1[[#This Row],[Salary_USD]]&lt;$V$13,Sheet1[[#This Row],[Salary_USD]]&gt;$V$12),"Outlier","Normal")</f>
        <v>Normal</v>
      </c>
    </row>
    <row r="687" spans="1:19" x14ac:dyDescent="0.25">
      <c r="A687" t="s">
        <v>20</v>
      </c>
      <c r="B687" t="s">
        <v>24</v>
      </c>
      <c r="C687" t="s">
        <v>44</v>
      </c>
      <c r="D687" t="s">
        <v>61</v>
      </c>
      <c r="E687" s="2">
        <v>103796</v>
      </c>
      <c r="F687" s="2">
        <v>0</v>
      </c>
      <c r="G687" t="s">
        <v>63</v>
      </c>
      <c r="H687" t="s">
        <v>71</v>
      </c>
      <c r="I687" t="s">
        <v>75</v>
      </c>
      <c r="J687" t="s">
        <v>108</v>
      </c>
      <c r="K687" t="s">
        <v>135</v>
      </c>
      <c r="L687">
        <v>0</v>
      </c>
      <c r="M687">
        <v>0</v>
      </c>
      <c r="N687" t="s">
        <v>150</v>
      </c>
      <c r="O687" t="s">
        <v>154</v>
      </c>
      <c r="P687" t="s">
        <v>290</v>
      </c>
      <c r="Q687">
        <v>1.1000000000000001</v>
      </c>
      <c r="R687" s="9">
        <v>114175.6</v>
      </c>
      <c r="S687" t="str">
        <f>IF(OR(Sheet1[[#This Row],[Salary_USD]]&lt;$V$13,Sheet1[[#This Row],[Salary_USD]]&gt;$V$12),"Outlier","Normal")</f>
        <v>Normal</v>
      </c>
    </row>
    <row r="688" spans="1:19" x14ac:dyDescent="0.25">
      <c r="A688" t="s">
        <v>19</v>
      </c>
      <c r="B688" t="s">
        <v>35</v>
      </c>
      <c r="C688" t="s">
        <v>46</v>
      </c>
      <c r="D688" t="s">
        <v>62</v>
      </c>
      <c r="E688" s="2">
        <v>1212986</v>
      </c>
      <c r="F688" s="2">
        <v>0</v>
      </c>
      <c r="G688" t="s">
        <v>66</v>
      </c>
      <c r="H688" t="s">
        <v>70</v>
      </c>
      <c r="I688" t="s">
        <v>76</v>
      </c>
      <c r="J688" t="s">
        <v>92</v>
      </c>
      <c r="K688" t="s">
        <v>119</v>
      </c>
      <c r="L688">
        <v>7</v>
      </c>
      <c r="M688">
        <v>7</v>
      </c>
      <c r="N688" t="s">
        <v>152</v>
      </c>
      <c r="O688" t="s">
        <v>155</v>
      </c>
      <c r="P688" t="s">
        <v>178</v>
      </c>
      <c r="Q688">
        <v>1.2E-2</v>
      </c>
      <c r="R688" s="9">
        <v>14555.832</v>
      </c>
      <c r="S688" t="str">
        <f>IF(OR(Sheet1[[#This Row],[Salary_USD]]&lt;$V$13,Sheet1[[#This Row],[Salary_USD]]&gt;$V$12),"Outlier","Normal")</f>
        <v>Normal</v>
      </c>
    </row>
    <row r="689" spans="1:19" x14ac:dyDescent="0.25">
      <c r="A689" t="s">
        <v>21</v>
      </c>
      <c r="B689" t="s">
        <v>33</v>
      </c>
      <c r="C689" t="s">
        <v>45</v>
      </c>
      <c r="D689" t="s">
        <v>62</v>
      </c>
      <c r="E689" s="2">
        <v>83311</v>
      </c>
      <c r="F689" s="2">
        <v>3909</v>
      </c>
      <c r="G689" t="s">
        <v>68</v>
      </c>
      <c r="H689" t="s">
        <v>69</v>
      </c>
      <c r="I689" t="s">
        <v>79</v>
      </c>
      <c r="J689" t="s">
        <v>91</v>
      </c>
      <c r="K689" t="s">
        <v>118</v>
      </c>
      <c r="L689">
        <v>25</v>
      </c>
      <c r="M689">
        <v>24</v>
      </c>
      <c r="N689" t="s">
        <v>151</v>
      </c>
      <c r="O689" t="s">
        <v>157</v>
      </c>
      <c r="P689" t="s">
        <v>390</v>
      </c>
      <c r="Q689">
        <v>1.25</v>
      </c>
      <c r="R689" s="9">
        <v>104138.75</v>
      </c>
      <c r="S689" t="str">
        <f>IF(OR(Sheet1[[#This Row],[Salary_USD]]&lt;$V$13,Sheet1[[#This Row],[Salary_USD]]&gt;$V$12),"Outlier","Normal")</f>
        <v>Normal</v>
      </c>
    </row>
    <row r="690" spans="1:19" x14ac:dyDescent="0.25">
      <c r="A690" t="s">
        <v>18</v>
      </c>
      <c r="B690" t="s">
        <v>22</v>
      </c>
      <c r="C690" t="s">
        <v>44</v>
      </c>
      <c r="D690" t="s">
        <v>62</v>
      </c>
      <c r="E690" s="2">
        <v>156802</v>
      </c>
      <c r="F690" s="2">
        <v>0</v>
      </c>
      <c r="G690" t="s">
        <v>65</v>
      </c>
      <c r="H690" t="s">
        <v>69</v>
      </c>
      <c r="I690" t="s">
        <v>76</v>
      </c>
      <c r="J690" t="s">
        <v>100</v>
      </c>
      <c r="K690" t="s">
        <v>132</v>
      </c>
      <c r="L690">
        <v>0</v>
      </c>
      <c r="M690">
        <v>0</v>
      </c>
      <c r="N690" t="s">
        <v>153</v>
      </c>
      <c r="O690" t="s">
        <v>157</v>
      </c>
      <c r="P690" t="s">
        <v>173</v>
      </c>
      <c r="Q690">
        <v>0.73</v>
      </c>
      <c r="R690" s="9">
        <v>114465.45999999999</v>
      </c>
      <c r="S690" t="str">
        <f>IF(OR(Sheet1[[#This Row],[Salary_USD]]&lt;$V$13,Sheet1[[#This Row],[Salary_USD]]&gt;$V$12),"Outlier","Normal")</f>
        <v>Normal</v>
      </c>
    </row>
    <row r="691" spans="1:19" x14ac:dyDescent="0.25">
      <c r="A691" t="s">
        <v>20</v>
      </c>
      <c r="B691" t="s">
        <v>31</v>
      </c>
      <c r="C691" t="s">
        <v>38</v>
      </c>
      <c r="D691" t="s">
        <v>60</v>
      </c>
      <c r="E691" s="2">
        <v>115293</v>
      </c>
      <c r="F691" s="2">
        <v>1531</v>
      </c>
      <c r="G691" t="s">
        <v>68</v>
      </c>
      <c r="H691" t="s">
        <v>69</v>
      </c>
      <c r="I691" t="s">
        <v>72</v>
      </c>
      <c r="J691" t="s">
        <v>82</v>
      </c>
      <c r="K691" t="s">
        <v>112</v>
      </c>
      <c r="L691">
        <v>2</v>
      </c>
      <c r="M691">
        <v>2</v>
      </c>
      <c r="N691" t="s">
        <v>152</v>
      </c>
      <c r="O691" t="s">
        <v>157</v>
      </c>
      <c r="P691" t="s">
        <v>391</v>
      </c>
      <c r="Q691">
        <v>1.25</v>
      </c>
      <c r="R691" s="9">
        <v>144116.25</v>
      </c>
      <c r="S691" t="str">
        <f>IF(OR(Sheet1[[#This Row],[Salary_USD]]&lt;$V$13,Sheet1[[#This Row],[Salary_USD]]&gt;$V$12),"Outlier","Normal")</f>
        <v>Normal</v>
      </c>
    </row>
    <row r="692" spans="1:19" x14ac:dyDescent="0.25">
      <c r="A692" t="s">
        <v>17</v>
      </c>
      <c r="B692" t="s">
        <v>35</v>
      </c>
      <c r="C692" t="s">
        <v>45</v>
      </c>
      <c r="D692" t="s">
        <v>57</v>
      </c>
      <c r="E692" s="2">
        <v>120362</v>
      </c>
      <c r="F692" s="2">
        <v>12222</v>
      </c>
      <c r="G692" t="s">
        <v>65</v>
      </c>
      <c r="H692" t="s">
        <v>451</v>
      </c>
      <c r="I692" t="s">
        <v>78</v>
      </c>
      <c r="J692" t="s">
        <v>90</v>
      </c>
      <c r="K692" t="s">
        <v>138</v>
      </c>
      <c r="L692">
        <v>18</v>
      </c>
      <c r="M692">
        <v>18</v>
      </c>
      <c r="N692" t="s">
        <v>149</v>
      </c>
      <c r="O692" t="s">
        <v>156</v>
      </c>
      <c r="P692" t="s">
        <v>298</v>
      </c>
      <c r="Q692">
        <v>0.73</v>
      </c>
      <c r="R692" s="9">
        <v>87864.26</v>
      </c>
      <c r="S692" t="str">
        <f>IF(OR(Sheet1[[#This Row],[Salary_USD]]&lt;$V$13,Sheet1[[#This Row],[Salary_USD]]&gt;$V$12),"Outlier","Normal")</f>
        <v>Normal</v>
      </c>
    </row>
    <row r="693" spans="1:19" x14ac:dyDescent="0.25">
      <c r="A693" t="s">
        <v>18</v>
      </c>
      <c r="B693" t="s">
        <v>33</v>
      </c>
      <c r="C693" t="s">
        <v>47</v>
      </c>
      <c r="D693" t="s">
        <v>61</v>
      </c>
      <c r="E693" s="2">
        <v>48433</v>
      </c>
      <c r="F693" s="2">
        <v>13984</v>
      </c>
      <c r="G693" t="s">
        <v>68</v>
      </c>
      <c r="H693" t="s">
        <v>70</v>
      </c>
      <c r="I693" t="s">
        <v>78</v>
      </c>
      <c r="J693" t="s">
        <v>104</v>
      </c>
      <c r="K693" t="s">
        <v>131</v>
      </c>
      <c r="L693">
        <v>0</v>
      </c>
      <c r="M693">
        <v>0</v>
      </c>
      <c r="N693" t="s">
        <v>149</v>
      </c>
      <c r="O693" t="s">
        <v>156</v>
      </c>
      <c r="P693" t="s">
        <v>392</v>
      </c>
      <c r="Q693">
        <v>1.25</v>
      </c>
      <c r="R693" s="9">
        <v>60541.25</v>
      </c>
      <c r="S693" t="str">
        <f>IF(OR(Sheet1[[#This Row],[Salary_USD]]&lt;$V$13,Sheet1[[#This Row],[Salary_USD]]&gt;$V$12),"Outlier","Normal")</f>
        <v>Normal</v>
      </c>
    </row>
    <row r="694" spans="1:19" x14ac:dyDescent="0.25">
      <c r="A694" t="s">
        <v>19</v>
      </c>
      <c r="B694" t="s">
        <v>31</v>
      </c>
      <c r="C694" t="s">
        <v>48</v>
      </c>
      <c r="D694" t="s">
        <v>61</v>
      </c>
      <c r="E694" s="2">
        <v>44249</v>
      </c>
      <c r="F694" s="2">
        <v>0</v>
      </c>
      <c r="G694" t="s">
        <v>63</v>
      </c>
      <c r="H694" t="s">
        <v>56</v>
      </c>
      <c r="I694" t="s">
        <v>77</v>
      </c>
      <c r="J694" t="s">
        <v>87</v>
      </c>
      <c r="K694" t="s">
        <v>116</v>
      </c>
      <c r="L694">
        <v>10</v>
      </c>
      <c r="M694">
        <v>7</v>
      </c>
      <c r="N694" t="s">
        <v>150</v>
      </c>
      <c r="O694" t="s">
        <v>156</v>
      </c>
      <c r="P694" t="s">
        <v>167</v>
      </c>
      <c r="Q694">
        <v>1.1000000000000001</v>
      </c>
      <c r="R694" s="9">
        <v>48673.9</v>
      </c>
      <c r="S694" t="str">
        <f>IF(OR(Sheet1[[#This Row],[Salary_USD]]&lt;$V$13,Sheet1[[#This Row],[Salary_USD]]&gt;$V$12),"Outlier","Normal")</f>
        <v>Normal</v>
      </c>
    </row>
    <row r="695" spans="1:19" x14ac:dyDescent="0.25">
      <c r="A695" t="s">
        <v>18</v>
      </c>
      <c r="B695" t="s">
        <v>34</v>
      </c>
      <c r="C695" t="s">
        <v>36</v>
      </c>
      <c r="D695" t="s">
        <v>55</v>
      </c>
      <c r="E695" s="2">
        <v>12238</v>
      </c>
      <c r="F695" s="2">
        <v>69</v>
      </c>
      <c r="G695" t="s">
        <v>64</v>
      </c>
      <c r="H695" t="s">
        <v>69</v>
      </c>
      <c r="I695" t="s">
        <v>72</v>
      </c>
      <c r="J695" t="s">
        <v>82</v>
      </c>
      <c r="K695" t="s">
        <v>112</v>
      </c>
      <c r="L695">
        <v>1</v>
      </c>
      <c r="M695">
        <v>1</v>
      </c>
      <c r="N695" t="s">
        <v>148</v>
      </c>
      <c r="O695" t="s">
        <v>156</v>
      </c>
      <c r="P695" t="s">
        <v>393</v>
      </c>
      <c r="Q695">
        <v>0.65</v>
      </c>
      <c r="R695" s="9">
        <v>7954.7</v>
      </c>
      <c r="S695" t="str">
        <f>IF(OR(Sheet1[[#This Row],[Salary_USD]]&lt;$V$13,Sheet1[[#This Row],[Salary_USD]]&gt;$V$12),"Outlier","Normal")</f>
        <v>Normal</v>
      </c>
    </row>
    <row r="696" spans="1:19" x14ac:dyDescent="0.25">
      <c r="A696" t="s">
        <v>19</v>
      </c>
      <c r="B696" t="s">
        <v>31</v>
      </c>
      <c r="C696" t="s">
        <v>45</v>
      </c>
      <c r="D696" t="s">
        <v>54</v>
      </c>
      <c r="E696" s="2">
        <v>89630</v>
      </c>
      <c r="F696" s="2">
        <v>0</v>
      </c>
      <c r="G696" t="s">
        <v>63</v>
      </c>
      <c r="H696" t="s">
        <v>71</v>
      </c>
      <c r="I696" t="s">
        <v>73</v>
      </c>
      <c r="J696" t="s">
        <v>83</v>
      </c>
      <c r="K696" t="s">
        <v>113</v>
      </c>
      <c r="L696">
        <v>15</v>
      </c>
      <c r="M696">
        <v>12</v>
      </c>
      <c r="N696" t="s">
        <v>153</v>
      </c>
      <c r="O696" t="s">
        <v>157</v>
      </c>
      <c r="P696" t="s">
        <v>394</v>
      </c>
      <c r="Q696">
        <v>1.1000000000000001</v>
      </c>
      <c r="R696" s="9">
        <v>98593.000000000015</v>
      </c>
      <c r="S696" t="str">
        <f>IF(OR(Sheet1[[#This Row],[Salary_USD]]&lt;$V$13,Sheet1[[#This Row],[Salary_USD]]&gt;$V$12),"Outlier","Normal")</f>
        <v>Normal</v>
      </c>
    </row>
    <row r="697" spans="1:19" x14ac:dyDescent="0.25">
      <c r="A697" t="s">
        <v>20</v>
      </c>
      <c r="B697" t="s">
        <v>24</v>
      </c>
      <c r="C697" t="s">
        <v>42</v>
      </c>
      <c r="D697" t="s">
        <v>58</v>
      </c>
      <c r="E697" s="2">
        <v>74218</v>
      </c>
      <c r="F697" s="2">
        <v>97</v>
      </c>
      <c r="G697" t="s">
        <v>68</v>
      </c>
      <c r="H697" t="s">
        <v>71</v>
      </c>
      <c r="I697" t="s">
        <v>79</v>
      </c>
      <c r="J697" t="s">
        <v>107</v>
      </c>
      <c r="K697" t="s">
        <v>134</v>
      </c>
      <c r="L697">
        <v>4</v>
      </c>
      <c r="M697">
        <v>3</v>
      </c>
      <c r="N697" t="s">
        <v>150</v>
      </c>
      <c r="O697" t="s">
        <v>157</v>
      </c>
      <c r="P697" t="s">
        <v>250</v>
      </c>
      <c r="Q697">
        <v>1.25</v>
      </c>
      <c r="R697" s="9">
        <v>92772.5</v>
      </c>
      <c r="S697" t="str">
        <f>IF(OR(Sheet1[[#This Row],[Salary_USD]]&lt;$V$13,Sheet1[[#This Row],[Salary_USD]]&gt;$V$12),"Outlier","Normal")</f>
        <v>Normal</v>
      </c>
    </row>
    <row r="698" spans="1:19" x14ac:dyDescent="0.25">
      <c r="A698" t="s">
        <v>20</v>
      </c>
      <c r="B698" t="s">
        <v>34</v>
      </c>
      <c r="C698" t="s">
        <v>46</v>
      </c>
      <c r="D698" t="s">
        <v>56</v>
      </c>
      <c r="E698" s="2">
        <v>932925</v>
      </c>
      <c r="F698" s="2">
        <v>0</v>
      </c>
      <c r="G698" t="s">
        <v>66</v>
      </c>
      <c r="H698" t="s">
        <v>71</v>
      </c>
      <c r="I698" t="s">
        <v>72</v>
      </c>
      <c r="J698" t="s">
        <v>82</v>
      </c>
      <c r="K698" t="s">
        <v>112</v>
      </c>
      <c r="L698">
        <v>1</v>
      </c>
      <c r="M698">
        <v>0</v>
      </c>
      <c r="N698" t="s">
        <v>152</v>
      </c>
      <c r="O698" t="s">
        <v>157</v>
      </c>
      <c r="P698" t="s">
        <v>395</v>
      </c>
      <c r="Q698">
        <v>1.2E-2</v>
      </c>
      <c r="R698" s="9">
        <v>11195.1</v>
      </c>
      <c r="S698" t="str">
        <f>IF(OR(Sheet1[[#This Row],[Salary_USD]]&lt;$V$13,Sheet1[[#This Row],[Salary_USD]]&gt;$V$12),"Outlier","Normal")</f>
        <v>Normal</v>
      </c>
    </row>
    <row r="699" spans="1:19" x14ac:dyDescent="0.25">
      <c r="A699" t="s">
        <v>21</v>
      </c>
      <c r="B699" t="s">
        <v>33</v>
      </c>
      <c r="C699" t="s">
        <v>38</v>
      </c>
      <c r="D699" t="s">
        <v>451</v>
      </c>
      <c r="E699" s="2">
        <v>77514</v>
      </c>
      <c r="F699" s="2">
        <v>7830</v>
      </c>
      <c r="G699" t="s">
        <v>63</v>
      </c>
      <c r="H699" t="s">
        <v>71</v>
      </c>
      <c r="I699" t="s">
        <v>74</v>
      </c>
      <c r="J699" t="s">
        <v>84</v>
      </c>
      <c r="K699" t="s">
        <v>74</v>
      </c>
      <c r="L699">
        <v>18</v>
      </c>
      <c r="M699">
        <v>16</v>
      </c>
      <c r="N699" t="s">
        <v>150</v>
      </c>
      <c r="O699" t="s">
        <v>155</v>
      </c>
      <c r="P699" t="s">
        <v>396</v>
      </c>
      <c r="Q699">
        <v>1.1000000000000001</v>
      </c>
      <c r="R699" s="9">
        <v>85265.400000000009</v>
      </c>
      <c r="S699" t="str">
        <f>IF(OR(Sheet1[[#This Row],[Salary_USD]]&lt;$V$13,Sheet1[[#This Row],[Salary_USD]]&gt;$V$12),"Outlier","Normal")</f>
        <v>Normal</v>
      </c>
    </row>
    <row r="700" spans="1:19" x14ac:dyDescent="0.25">
      <c r="A700" t="s">
        <v>19</v>
      </c>
      <c r="B700" t="s">
        <v>32</v>
      </c>
      <c r="C700" t="s">
        <v>36</v>
      </c>
      <c r="D700" t="s">
        <v>61</v>
      </c>
      <c r="E700" s="2">
        <v>24527</v>
      </c>
      <c r="F700" s="2">
        <v>0</v>
      </c>
      <c r="G700" t="s">
        <v>63</v>
      </c>
      <c r="H700" t="s">
        <v>71</v>
      </c>
      <c r="I700" t="s">
        <v>73</v>
      </c>
      <c r="J700" t="s">
        <v>99</v>
      </c>
      <c r="K700" t="s">
        <v>125</v>
      </c>
      <c r="L700">
        <v>2</v>
      </c>
      <c r="M700">
        <v>1</v>
      </c>
      <c r="N700" t="s">
        <v>150</v>
      </c>
      <c r="O700" t="s">
        <v>154</v>
      </c>
      <c r="P700" t="s">
        <v>382</v>
      </c>
      <c r="Q700">
        <v>1.1000000000000001</v>
      </c>
      <c r="R700" s="9">
        <v>26979.7</v>
      </c>
      <c r="S700" t="str">
        <f>IF(OR(Sheet1[[#This Row],[Salary_USD]]&lt;$V$13,Sheet1[[#This Row],[Salary_USD]]&gt;$V$12),"Outlier","Normal")</f>
        <v>Normal</v>
      </c>
    </row>
    <row r="701" spans="1:19" x14ac:dyDescent="0.25">
      <c r="A701" t="s">
        <v>21</v>
      </c>
      <c r="B701" t="s">
        <v>35</v>
      </c>
      <c r="C701" t="s">
        <v>42</v>
      </c>
      <c r="D701" t="s">
        <v>60</v>
      </c>
      <c r="E701" s="2">
        <v>69926</v>
      </c>
      <c r="F701" s="2">
        <v>6660</v>
      </c>
      <c r="G701" t="s">
        <v>65</v>
      </c>
      <c r="H701" t="s">
        <v>71</v>
      </c>
      <c r="I701" t="s">
        <v>74</v>
      </c>
      <c r="J701" t="s">
        <v>84</v>
      </c>
      <c r="K701" t="s">
        <v>74</v>
      </c>
      <c r="L701">
        <v>18</v>
      </c>
      <c r="M701">
        <v>17</v>
      </c>
      <c r="N701" t="s">
        <v>150</v>
      </c>
      <c r="O701" t="s">
        <v>154</v>
      </c>
      <c r="P701" t="s">
        <v>189</v>
      </c>
      <c r="Q701">
        <v>0.73</v>
      </c>
      <c r="R701" s="9">
        <v>51045.979999999996</v>
      </c>
      <c r="S701" t="str">
        <f>IF(OR(Sheet1[[#This Row],[Salary_USD]]&lt;$V$13,Sheet1[[#This Row],[Salary_USD]]&gt;$V$12),"Outlier","Normal")</f>
        <v>Normal</v>
      </c>
    </row>
    <row r="702" spans="1:19" x14ac:dyDescent="0.25">
      <c r="A702" t="s">
        <v>20</v>
      </c>
      <c r="B702" t="s">
        <v>32</v>
      </c>
      <c r="C702" t="s">
        <v>44</v>
      </c>
      <c r="D702" t="s">
        <v>60</v>
      </c>
      <c r="E702" s="2">
        <v>256057</v>
      </c>
      <c r="F702" s="2">
        <v>31588</v>
      </c>
      <c r="G702" t="s">
        <v>66</v>
      </c>
      <c r="H702" t="s">
        <v>56</v>
      </c>
      <c r="I702" t="s">
        <v>80</v>
      </c>
      <c r="J702" t="s">
        <v>93</v>
      </c>
      <c r="K702" t="s">
        <v>93</v>
      </c>
      <c r="L702">
        <v>7</v>
      </c>
      <c r="M702">
        <v>6</v>
      </c>
      <c r="N702" t="s">
        <v>149</v>
      </c>
      <c r="O702" t="s">
        <v>156</v>
      </c>
      <c r="P702" t="s">
        <v>244</v>
      </c>
      <c r="Q702">
        <v>1.2E-2</v>
      </c>
      <c r="R702" s="9">
        <v>3072.6840000000002</v>
      </c>
      <c r="S702" t="str">
        <f>IF(OR(Sheet1[[#This Row],[Salary_USD]]&lt;$V$13,Sheet1[[#This Row],[Salary_USD]]&gt;$V$12),"Outlier","Normal")</f>
        <v>Normal</v>
      </c>
    </row>
    <row r="703" spans="1:19" x14ac:dyDescent="0.25">
      <c r="A703" t="s">
        <v>21</v>
      </c>
      <c r="B703" t="s">
        <v>26</v>
      </c>
      <c r="C703" t="s">
        <v>36</v>
      </c>
      <c r="D703" t="s">
        <v>59</v>
      </c>
      <c r="E703" s="2">
        <v>834635</v>
      </c>
      <c r="F703" s="2">
        <v>0</v>
      </c>
      <c r="G703" t="s">
        <v>66</v>
      </c>
      <c r="H703" t="s">
        <v>56</v>
      </c>
      <c r="I703" t="s">
        <v>72</v>
      </c>
      <c r="J703" t="s">
        <v>82</v>
      </c>
      <c r="K703" t="s">
        <v>112</v>
      </c>
      <c r="L703">
        <v>15</v>
      </c>
      <c r="M703">
        <v>15</v>
      </c>
      <c r="N703" t="s">
        <v>151</v>
      </c>
      <c r="O703" t="s">
        <v>156</v>
      </c>
      <c r="P703" t="s">
        <v>188</v>
      </c>
      <c r="Q703">
        <v>1.2E-2</v>
      </c>
      <c r="R703" s="9">
        <v>10015.620000000001</v>
      </c>
      <c r="S703" t="str">
        <f>IF(OR(Sheet1[[#This Row],[Salary_USD]]&lt;$V$13,Sheet1[[#This Row],[Salary_USD]]&gt;$V$12),"Outlier","Normal")</f>
        <v>Normal</v>
      </c>
    </row>
    <row r="704" spans="1:19" x14ac:dyDescent="0.25">
      <c r="A704" t="s">
        <v>19</v>
      </c>
      <c r="B704" t="s">
        <v>24</v>
      </c>
      <c r="C704" t="s">
        <v>41</v>
      </c>
      <c r="D704" t="s">
        <v>58</v>
      </c>
      <c r="E704" s="2">
        <v>65637</v>
      </c>
      <c r="F704" s="2">
        <v>11271</v>
      </c>
      <c r="G704" t="s">
        <v>65</v>
      </c>
      <c r="H704" t="s">
        <v>69</v>
      </c>
      <c r="I704" t="s">
        <v>72</v>
      </c>
      <c r="J704" t="s">
        <v>82</v>
      </c>
      <c r="K704" t="s">
        <v>112</v>
      </c>
      <c r="L704">
        <v>2</v>
      </c>
      <c r="M704">
        <v>2</v>
      </c>
      <c r="N704" t="s">
        <v>149</v>
      </c>
      <c r="O704" t="s">
        <v>157</v>
      </c>
      <c r="P704" t="s">
        <v>316</v>
      </c>
      <c r="Q704">
        <v>0.73</v>
      </c>
      <c r="R704" s="9">
        <v>47915.01</v>
      </c>
      <c r="S704" t="str">
        <f>IF(OR(Sheet1[[#This Row],[Salary_USD]]&lt;$V$13,Sheet1[[#This Row],[Salary_USD]]&gt;$V$12),"Outlier","Normal")</f>
        <v>Normal</v>
      </c>
    </row>
    <row r="705" spans="1:19" x14ac:dyDescent="0.25">
      <c r="A705" t="s">
        <v>17</v>
      </c>
      <c r="B705" t="s">
        <v>32</v>
      </c>
      <c r="C705" t="s">
        <v>44</v>
      </c>
      <c r="D705" t="s">
        <v>451</v>
      </c>
      <c r="E705" s="2">
        <v>120614</v>
      </c>
      <c r="F705" s="2">
        <v>0</v>
      </c>
      <c r="G705" t="s">
        <v>63</v>
      </c>
      <c r="H705" t="s">
        <v>451</v>
      </c>
      <c r="I705" t="s">
        <v>81</v>
      </c>
      <c r="J705" t="s">
        <v>98</v>
      </c>
      <c r="K705" t="s">
        <v>123</v>
      </c>
      <c r="L705">
        <v>25</v>
      </c>
      <c r="M705">
        <v>24</v>
      </c>
      <c r="N705" t="s">
        <v>148</v>
      </c>
      <c r="O705" t="s">
        <v>154</v>
      </c>
      <c r="P705" t="s">
        <v>397</v>
      </c>
      <c r="Q705">
        <v>1.1000000000000001</v>
      </c>
      <c r="R705" s="9">
        <v>132675.40000000002</v>
      </c>
      <c r="S705" t="str">
        <f>IF(OR(Sheet1[[#This Row],[Salary_USD]]&lt;$V$13,Sheet1[[#This Row],[Salary_USD]]&gt;$V$12),"Outlier","Normal")</f>
        <v>Normal</v>
      </c>
    </row>
    <row r="706" spans="1:19" x14ac:dyDescent="0.25">
      <c r="A706" t="s">
        <v>17</v>
      </c>
      <c r="B706" t="s">
        <v>32</v>
      </c>
      <c r="C706" t="s">
        <v>43</v>
      </c>
      <c r="D706" t="s">
        <v>58</v>
      </c>
      <c r="E706" s="2">
        <v>71330</v>
      </c>
      <c r="F706" s="2">
        <v>4533</v>
      </c>
      <c r="G706" t="s">
        <v>68</v>
      </c>
      <c r="H706" t="s">
        <v>69</v>
      </c>
      <c r="I706" t="s">
        <v>80</v>
      </c>
      <c r="J706" t="s">
        <v>106</v>
      </c>
      <c r="K706" t="s">
        <v>106</v>
      </c>
      <c r="L706">
        <v>8</v>
      </c>
      <c r="M706">
        <v>8</v>
      </c>
      <c r="N706" t="s">
        <v>153</v>
      </c>
      <c r="O706" t="s">
        <v>156</v>
      </c>
      <c r="P706" t="s">
        <v>398</v>
      </c>
      <c r="Q706">
        <v>1.25</v>
      </c>
      <c r="R706" s="9">
        <v>89162.5</v>
      </c>
      <c r="S706" t="str">
        <f>IF(OR(Sheet1[[#This Row],[Salary_USD]]&lt;$V$13,Sheet1[[#This Row],[Salary_USD]]&gt;$V$12),"Outlier","Normal")</f>
        <v>Normal</v>
      </c>
    </row>
    <row r="707" spans="1:19" x14ac:dyDescent="0.25">
      <c r="A707" t="s">
        <v>21</v>
      </c>
      <c r="B707" t="s">
        <v>29</v>
      </c>
      <c r="C707" t="s">
        <v>40</v>
      </c>
      <c r="D707" t="s">
        <v>62</v>
      </c>
      <c r="E707" s="2">
        <v>25386</v>
      </c>
      <c r="F707" s="2">
        <v>2147</v>
      </c>
      <c r="G707" t="s">
        <v>68</v>
      </c>
      <c r="H707" t="s">
        <v>71</v>
      </c>
      <c r="I707" t="s">
        <v>74</v>
      </c>
      <c r="J707" t="s">
        <v>84</v>
      </c>
      <c r="K707" t="s">
        <v>74</v>
      </c>
      <c r="L707">
        <v>20</v>
      </c>
      <c r="M707">
        <v>17</v>
      </c>
      <c r="N707" t="s">
        <v>149</v>
      </c>
      <c r="O707" t="s">
        <v>157</v>
      </c>
      <c r="P707" t="s">
        <v>399</v>
      </c>
      <c r="Q707">
        <v>1.25</v>
      </c>
      <c r="R707" s="9">
        <v>31732.5</v>
      </c>
      <c r="S707" t="str">
        <f>IF(OR(Sheet1[[#This Row],[Salary_USD]]&lt;$V$13,Sheet1[[#This Row],[Salary_USD]]&gt;$V$12),"Outlier","Normal")</f>
        <v>Normal</v>
      </c>
    </row>
    <row r="708" spans="1:19" x14ac:dyDescent="0.25">
      <c r="A708" t="s">
        <v>19</v>
      </c>
      <c r="B708" t="s">
        <v>35</v>
      </c>
      <c r="C708" t="s">
        <v>53</v>
      </c>
      <c r="D708" t="s">
        <v>62</v>
      </c>
      <c r="E708" s="2">
        <v>305219</v>
      </c>
      <c r="F708" s="2">
        <v>32759</v>
      </c>
      <c r="G708" t="s">
        <v>66</v>
      </c>
      <c r="H708" t="s">
        <v>451</v>
      </c>
      <c r="I708" t="s">
        <v>78</v>
      </c>
      <c r="J708" t="s">
        <v>104</v>
      </c>
      <c r="K708" t="s">
        <v>131</v>
      </c>
      <c r="L708">
        <v>5</v>
      </c>
      <c r="M708">
        <v>5</v>
      </c>
      <c r="N708" t="s">
        <v>153</v>
      </c>
      <c r="O708" t="s">
        <v>155</v>
      </c>
      <c r="P708" t="s">
        <v>198</v>
      </c>
      <c r="Q708">
        <v>1.2E-2</v>
      </c>
      <c r="R708" s="9">
        <v>3662.6280000000002</v>
      </c>
      <c r="S708" t="str">
        <f>IF(OR(Sheet1[[#This Row],[Salary_USD]]&lt;$V$13,Sheet1[[#This Row],[Salary_USD]]&gt;$V$12),"Outlier","Normal")</f>
        <v>Normal</v>
      </c>
    </row>
    <row r="709" spans="1:19" x14ac:dyDescent="0.25">
      <c r="A709" t="s">
        <v>20</v>
      </c>
      <c r="B709" t="s">
        <v>29</v>
      </c>
      <c r="C709" t="s">
        <v>52</v>
      </c>
      <c r="D709" t="s">
        <v>57</v>
      </c>
      <c r="E709" s="2">
        <v>77680</v>
      </c>
      <c r="F709" s="2">
        <v>0</v>
      </c>
      <c r="G709" t="s">
        <v>63</v>
      </c>
      <c r="H709" t="s">
        <v>451</v>
      </c>
      <c r="I709" t="s">
        <v>80</v>
      </c>
      <c r="J709" t="s">
        <v>93</v>
      </c>
      <c r="K709" t="s">
        <v>93</v>
      </c>
      <c r="L709">
        <v>6</v>
      </c>
      <c r="M709">
        <v>6</v>
      </c>
      <c r="N709" t="s">
        <v>153</v>
      </c>
      <c r="O709" t="s">
        <v>156</v>
      </c>
      <c r="P709" t="s">
        <v>188</v>
      </c>
      <c r="Q709">
        <v>1.1000000000000001</v>
      </c>
      <c r="R709" s="9">
        <v>85448</v>
      </c>
      <c r="S709" t="str">
        <f>IF(OR(Sheet1[[#This Row],[Salary_USD]]&lt;$V$13,Sheet1[[#This Row],[Salary_USD]]&gt;$V$12),"Outlier","Normal")</f>
        <v>Normal</v>
      </c>
    </row>
    <row r="710" spans="1:19" x14ac:dyDescent="0.25">
      <c r="A710" t="s">
        <v>19</v>
      </c>
      <c r="B710" t="s">
        <v>35</v>
      </c>
      <c r="C710" t="s">
        <v>52</v>
      </c>
      <c r="D710" t="s">
        <v>60</v>
      </c>
      <c r="E710" s="2">
        <v>72300</v>
      </c>
      <c r="F710" s="2">
        <v>6376</v>
      </c>
      <c r="G710" t="s">
        <v>68</v>
      </c>
      <c r="H710" t="s">
        <v>451</v>
      </c>
      <c r="I710" t="s">
        <v>74</v>
      </c>
      <c r="J710" t="s">
        <v>84</v>
      </c>
      <c r="K710" t="s">
        <v>74</v>
      </c>
      <c r="L710">
        <v>12</v>
      </c>
      <c r="M710">
        <v>9</v>
      </c>
      <c r="N710" t="s">
        <v>148</v>
      </c>
      <c r="O710" t="s">
        <v>154</v>
      </c>
      <c r="P710" t="s">
        <v>165</v>
      </c>
      <c r="Q710">
        <v>1.25</v>
      </c>
      <c r="R710" s="9">
        <v>90375</v>
      </c>
      <c r="S710" t="str">
        <f>IF(OR(Sheet1[[#This Row],[Salary_USD]]&lt;$V$13,Sheet1[[#This Row],[Salary_USD]]&gt;$V$12),"Outlier","Normal")</f>
        <v>Normal</v>
      </c>
    </row>
    <row r="711" spans="1:19" x14ac:dyDescent="0.25">
      <c r="A711" t="s">
        <v>21</v>
      </c>
      <c r="B711" t="s">
        <v>29</v>
      </c>
      <c r="C711" t="s">
        <v>37</v>
      </c>
      <c r="D711" t="s">
        <v>62</v>
      </c>
      <c r="E711" s="2">
        <v>48446</v>
      </c>
      <c r="F711" s="2">
        <v>2298</v>
      </c>
      <c r="G711" t="s">
        <v>63</v>
      </c>
      <c r="H711" t="s">
        <v>70</v>
      </c>
      <c r="I711" t="s">
        <v>78</v>
      </c>
      <c r="J711" t="s">
        <v>105</v>
      </c>
      <c r="K711" t="s">
        <v>142</v>
      </c>
      <c r="L711">
        <v>20</v>
      </c>
      <c r="M711">
        <v>20</v>
      </c>
      <c r="N711" t="s">
        <v>151</v>
      </c>
      <c r="O711" t="s">
        <v>154</v>
      </c>
      <c r="P711" t="s">
        <v>354</v>
      </c>
      <c r="Q711">
        <v>1.1000000000000001</v>
      </c>
      <c r="R711" s="9">
        <v>53290.600000000006</v>
      </c>
      <c r="S711" t="str">
        <f>IF(OR(Sheet1[[#This Row],[Salary_USD]]&lt;$V$13,Sheet1[[#This Row],[Salary_USD]]&gt;$V$12),"Outlier","Normal")</f>
        <v>Normal</v>
      </c>
    </row>
    <row r="712" spans="1:19" x14ac:dyDescent="0.25">
      <c r="A712" t="s">
        <v>20</v>
      </c>
      <c r="B712" t="s">
        <v>29</v>
      </c>
      <c r="C712" t="s">
        <v>49</v>
      </c>
      <c r="D712" t="s">
        <v>60</v>
      </c>
      <c r="E712" s="2">
        <v>76419</v>
      </c>
      <c r="F712" s="2">
        <v>4861</v>
      </c>
      <c r="G712" t="s">
        <v>63</v>
      </c>
      <c r="H712" t="s">
        <v>451</v>
      </c>
      <c r="I712" t="s">
        <v>72</v>
      </c>
      <c r="J712" t="s">
        <v>82</v>
      </c>
      <c r="K712" t="s">
        <v>112</v>
      </c>
      <c r="L712">
        <v>7</v>
      </c>
      <c r="M712">
        <v>6</v>
      </c>
      <c r="N712" t="s">
        <v>152</v>
      </c>
      <c r="O712" t="s">
        <v>157</v>
      </c>
      <c r="P712" t="s">
        <v>190</v>
      </c>
      <c r="Q712">
        <v>1.1000000000000001</v>
      </c>
      <c r="R712" s="9">
        <v>84060.900000000009</v>
      </c>
      <c r="S712" t="str">
        <f>IF(OR(Sheet1[[#This Row],[Salary_USD]]&lt;$V$13,Sheet1[[#This Row],[Salary_USD]]&gt;$V$12),"Outlier","Normal")</f>
        <v>Normal</v>
      </c>
    </row>
    <row r="713" spans="1:19" x14ac:dyDescent="0.25">
      <c r="A713" t="s">
        <v>17</v>
      </c>
      <c r="B713" t="s">
        <v>34</v>
      </c>
      <c r="C713" t="s">
        <v>48</v>
      </c>
      <c r="D713" t="s">
        <v>59</v>
      </c>
      <c r="E713" s="2">
        <v>48574</v>
      </c>
      <c r="F713" s="2">
        <v>1976</v>
      </c>
      <c r="G713" t="s">
        <v>64</v>
      </c>
      <c r="H713" t="s">
        <v>69</v>
      </c>
      <c r="I713" t="s">
        <v>73</v>
      </c>
      <c r="J713" t="s">
        <v>83</v>
      </c>
      <c r="K713" t="s">
        <v>113</v>
      </c>
      <c r="L713">
        <v>20</v>
      </c>
      <c r="M713">
        <v>20</v>
      </c>
      <c r="N713" t="s">
        <v>151</v>
      </c>
      <c r="O713" t="s">
        <v>156</v>
      </c>
      <c r="P713" t="s">
        <v>361</v>
      </c>
      <c r="Q713">
        <v>0.65</v>
      </c>
      <c r="R713" s="9">
        <v>31573.100000000002</v>
      </c>
      <c r="S713" t="str">
        <f>IF(OR(Sheet1[[#This Row],[Salary_USD]]&lt;$V$13,Sheet1[[#This Row],[Salary_USD]]&gt;$V$12),"Outlier","Normal")</f>
        <v>Normal</v>
      </c>
    </row>
    <row r="714" spans="1:19" x14ac:dyDescent="0.25">
      <c r="A714" t="s">
        <v>17</v>
      </c>
      <c r="B714" t="s">
        <v>33</v>
      </c>
      <c r="C714" t="s">
        <v>42</v>
      </c>
      <c r="D714" t="s">
        <v>451</v>
      </c>
      <c r="E714" s="2">
        <v>79197</v>
      </c>
      <c r="F714" s="2">
        <v>772</v>
      </c>
      <c r="G714" t="s">
        <v>68</v>
      </c>
      <c r="H714" t="s">
        <v>70</v>
      </c>
      <c r="I714" t="s">
        <v>73</v>
      </c>
      <c r="J714" t="s">
        <v>102</v>
      </c>
      <c r="K714" t="s">
        <v>102</v>
      </c>
      <c r="L714">
        <v>15</v>
      </c>
      <c r="M714">
        <v>13</v>
      </c>
      <c r="N714" t="s">
        <v>149</v>
      </c>
      <c r="O714" t="s">
        <v>156</v>
      </c>
      <c r="P714" t="s">
        <v>334</v>
      </c>
      <c r="Q714">
        <v>1.25</v>
      </c>
      <c r="R714" s="9">
        <v>98996.25</v>
      </c>
      <c r="S714" t="str">
        <f>IF(OR(Sheet1[[#This Row],[Salary_USD]]&lt;$V$13,Sheet1[[#This Row],[Salary_USD]]&gt;$V$12),"Outlier","Normal")</f>
        <v>Normal</v>
      </c>
    </row>
    <row r="715" spans="1:19" x14ac:dyDescent="0.25">
      <c r="A715" t="s">
        <v>21</v>
      </c>
      <c r="B715" t="s">
        <v>32</v>
      </c>
      <c r="C715" t="s">
        <v>44</v>
      </c>
      <c r="D715" t="s">
        <v>59</v>
      </c>
      <c r="E715" s="2">
        <v>42944</v>
      </c>
      <c r="F715" s="2">
        <v>0</v>
      </c>
      <c r="G715" t="s">
        <v>64</v>
      </c>
      <c r="H715" t="s">
        <v>71</v>
      </c>
      <c r="I715" t="s">
        <v>75</v>
      </c>
      <c r="J715" t="s">
        <v>96</v>
      </c>
      <c r="K715" t="s">
        <v>121</v>
      </c>
      <c r="L715">
        <v>9</v>
      </c>
      <c r="M715">
        <v>6</v>
      </c>
      <c r="N715" t="s">
        <v>148</v>
      </c>
      <c r="O715" t="s">
        <v>155</v>
      </c>
      <c r="P715" t="s">
        <v>315</v>
      </c>
      <c r="Q715">
        <v>0.65</v>
      </c>
      <c r="R715" s="9">
        <v>27913.600000000002</v>
      </c>
      <c r="S715" t="str">
        <f>IF(OR(Sheet1[[#This Row],[Salary_USD]]&lt;$V$13,Sheet1[[#This Row],[Salary_USD]]&gt;$V$12),"Outlier","Normal")</f>
        <v>Normal</v>
      </c>
    </row>
    <row r="716" spans="1:19" x14ac:dyDescent="0.25">
      <c r="A716" t="s">
        <v>19</v>
      </c>
      <c r="B716" t="s">
        <v>29</v>
      </c>
      <c r="C716" t="s">
        <v>39</v>
      </c>
      <c r="D716" t="s">
        <v>58</v>
      </c>
      <c r="E716" s="2">
        <v>729221</v>
      </c>
      <c r="F716" s="2">
        <v>0</v>
      </c>
      <c r="G716" t="s">
        <v>66</v>
      </c>
      <c r="H716" t="s">
        <v>451</v>
      </c>
      <c r="I716" t="s">
        <v>76</v>
      </c>
      <c r="J716" t="s">
        <v>86</v>
      </c>
      <c r="K716" t="s">
        <v>115</v>
      </c>
      <c r="L716">
        <v>6</v>
      </c>
      <c r="M716">
        <v>4</v>
      </c>
      <c r="N716" t="s">
        <v>152</v>
      </c>
      <c r="O716" t="s">
        <v>157</v>
      </c>
      <c r="P716" t="s">
        <v>400</v>
      </c>
      <c r="Q716">
        <v>1.2E-2</v>
      </c>
      <c r="R716" s="9">
        <v>8750.652</v>
      </c>
      <c r="S716" t="str">
        <f>IF(OR(Sheet1[[#This Row],[Salary_USD]]&lt;$V$13,Sheet1[[#This Row],[Salary_USD]]&gt;$V$12),"Outlier","Normal")</f>
        <v>Normal</v>
      </c>
    </row>
    <row r="717" spans="1:19" x14ac:dyDescent="0.25">
      <c r="A717" t="s">
        <v>20</v>
      </c>
      <c r="B717" t="s">
        <v>24</v>
      </c>
      <c r="C717" t="s">
        <v>38</v>
      </c>
      <c r="D717" t="s">
        <v>59</v>
      </c>
      <c r="E717" s="2">
        <v>88511</v>
      </c>
      <c r="F717" s="2">
        <v>6441</v>
      </c>
      <c r="G717" t="s">
        <v>66</v>
      </c>
      <c r="H717" t="s">
        <v>451</v>
      </c>
      <c r="I717" t="s">
        <v>78</v>
      </c>
      <c r="J717" t="s">
        <v>90</v>
      </c>
      <c r="K717" t="s">
        <v>147</v>
      </c>
      <c r="L717">
        <v>3</v>
      </c>
      <c r="M717">
        <v>3</v>
      </c>
      <c r="N717" t="s">
        <v>152</v>
      </c>
      <c r="O717" t="s">
        <v>157</v>
      </c>
      <c r="P717" t="s">
        <v>180</v>
      </c>
      <c r="Q717">
        <v>1.2E-2</v>
      </c>
      <c r="R717" s="9">
        <v>1062.1320000000001</v>
      </c>
      <c r="S717" t="str">
        <f>IF(OR(Sheet1[[#This Row],[Salary_USD]]&lt;$V$13,Sheet1[[#This Row],[Salary_USD]]&gt;$V$12),"Outlier","Normal")</f>
        <v>Normal</v>
      </c>
    </row>
    <row r="718" spans="1:19" x14ac:dyDescent="0.25">
      <c r="A718" t="s">
        <v>20</v>
      </c>
      <c r="B718" t="s">
        <v>29</v>
      </c>
      <c r="C718" t="s">
        <v>48</v>
      </c>
      <c r="D718" t="s">
        <v>54</v>
      </c>
      <c r="E718" s="2">
        <v>75539</v>
      </c>
      <c r="F718" s="2">
        <v>10921</v>
      </c>
      <c r="G718" t="s">
        <v>63</v>
      </c>
      <c r="H718" t="s">
        <v>451</v>
      </c>
      <c r="I718" t="s">
        <v>75</v>
      </c>
      <c r="J718" t="s">
        <v>108</v>
      </c>
      <c r="K718" t="s">
        <v>135</v>
      </c>
      <c r="L718">
        <v>0</v>
      </c>
      <c r="M718">
        <v>0</v>
      </c>
      <c r="N718" t="s">
        <v>149</v>
      </c>
      <c r="O718" t="s">
        <v>155</v>
      </c>
      <c r="P718" t="s">
        <v>173</v>
      </c>
      <c r="Q718">
        <v>1.1000000000000001</v>
      </c>
      <c r="R718" s="9">
        <v>83092.900000000009</v>
      </c>
      <c r="S718" t="str">
        <f>IF(OR(Sheet1[[#This Row],[Salary_USD]]&lt;$V$13,Sheet1[[#This Row],[Salary_USD]]&gt;$V$12),"Outlier","Normal")</f>
        <v>Normal</v>
      </c>
    </row>
    <row r="719" spans="1:19" x14ac:dyDescent="0.25">
      <c r="A719" t="s">
        <v>19</v>
      </c>
      <c r="B719" t="s">
        <v>33</v>
      </c>
      <c r="C719" t="s">
        <v>51</v>
      </c>
      <c r="D719" t="s">
        <v>58</v>
      </c>
      <c r="E719" s="2">
        <v>32482</v>
      </c>
      <c r="F719" s="2">
        <v>4339</v>
      </c>
      <c r="G719" t="s">
        <v>65</v>
      </c>
      <c r="H719" t="s">
        <v>451</v>
      </c>
      <c r="I719" t="s">
        <v>80</v>
      </c>
      <c r="J719" t="s">
        <v>93</v>
      </c>
      <c r="K719" t="s">
        <v>93</v>
      </c>
      <c r="L719">
        <v>10</v>
      </c>
      <c r="M719">
        <v>8</v>
      </c>
      <c r="N719" t="s">
        <v>148</v>
      </c>
      <c r="O719" t="s">
        <v>155</v>
      </c>
      <c r="P719" t="s">
        <v>184</v>
      </c>
      <c r="Q719">
        <v>0.73</v>
      </c>
      <c r="R719" s="9">
        <v>23711.86</v>
      </c>
      <c r="S719" t="str">
        <f>IF(OR(Sheet1[[#This Row],[Salary_USD]]&lt;$V$13,Sheet1[[#This Row],[Salary_USD]]&gt;$V$12),"Outlier","Normal")</f>
        <v>Normal</v>
      </c>
    </row>
    <row r="720" spans="1:19" x14ac:dyDescent="0.25">
      <c r="A720" t="s">
        <v>19</v>
      </c>
      <c r="B720" t="s">
        <v>22</v>
      </c>
      <c r="C720" t="s">
        <v>37</v>
      </c>
      <c r="D720" t="s">
        <v>57</v>
      </c>
      <c r="E720" s="2">
        <v>89611</v>
      </c>
      <c r="F720" s="2">
        <v>0</v>
      </c>
      <c r="G720" t="s">
        <v>64</v>
      </c>
      <c r="H720" t="s">
        <v>451</v>
      </c>
      <c r="I720" t="s">
        <v>81</v>
      </c>
      <c r="J720" t="s">
        <v>98</v>
      </c>
      <c r="K720" t="s">
        <v>123</v>
      </c>
      <c r="L720">
        <v>12</v>
      </c>
      <c r="M720">
        <v>12</v>
      </c>
      <c r="N720" t="s">
        <v>148</v>
      </c>
      <c r="O720" t="s">
        <v>155</v>
      </c>
      <c r="P720" t="s">
        <v>165</v>
      </c>
      <c r="Q720">
        <v>0.65</v>
      </c>
      <c r="R720" s="9">
        <v>58247.15</v>
      </c>
      <c r="S720" t="str">
        <f>IF(OR(Sheet1[[#This Row],[Salary_USD]]&lt;$V$13,Sheet1[[#This Row],[Salary_USD]]&gt;$V$12),"Outlier","Normal")</f>
        <v>Normal</v>
      </c>
    </row>
    <row r="721" spans="1:19" x14ac:dyDescent="0.25">
      <c r="A721" t="s">
        <v>21</v>
      </c>
      <c r="B721" t="s">
        <v>31</v>
      </c>
      <c r="C721" t="s">
        <v>50</v>
      </c>
      <c r="D721" t="s">
        <v>56</v>
      </c>
      <c r="E721" s="2">
        <v>109881</v>
      </c>
      <c r="F721" s="2">
        <v>12475</v>
      </c>
      <c r="G721" t="s">
        <v>68</v>
      </c>
      <c r="H721" t="s">
        <v>69</v>
      </c>
      <c r="I721" t="s">
        <v>76</v>
      </c>
      <c r="J721" t="s">
        <v>92</v>
      </c>
      <c r="K721" t="s">
        <v>119</v>
      </c>
      <c r="L721">
        <v>18</v>
      </c>
      <c r="M721">
        <v>18</v>
      </c>
      <c r="N721" t="s">
        <v>149</v>
      </c>
      <c r="O721" t="s">
        <v>154</v>
      </c>
      <c r="P721" t="s">
        <v>334</v>
      </c>
      <c r="Q721">
        <v>1.25</v>
      </c>
      <c r="R721" s="9">
        <v>137351.25</v>
      </c>
      <c r="S721" t="str">
        <f>IF(OR(Sheet1[[#This Row],[Salary_USD]]&lt;$V$13,Sheet1[[#This Row],[Salary_USD]]&gt;$V$12),"Outlier","Normal")</f>
        <v>Normal</v>
      </c>
    </row>
    <row r="722" spans="1:19" x14ac:dyDescent="0.25">
      <c r="A722" t="s">
        <v>19</v>
      </c>
      <c r="B722" t="s">
        <v>32</v>
      </c>
      <c r="C722" t="s">
        <v>46</v>
      </c>
      <c r="D722" t="s">
        <v>62</v>
      </c>
      <c r="E722" s="2">
        <v>645874</v>
      </c>
      <c r="F722" s="2">
        <v>16812</v>
      </c>
      <c r="G722" t="s">
        <v>66</v>
      </c>
      <c r="H722" t="s">
        <v>69</v>
      </c>
      <c r="I722" t="s">
        <v>80</v>
      </c>
      <c r="J722" t="s">
        <v>106</v>
      </c>
      <c r="K722" t="s">
        <v>106</v>
      </c>
      <c r="L722">
        <v>5</v>
      </c>
      <c r="M722">
        <v>4</v>
      </c>
      <c r="N722" t="s">
        <v>153</v>
      </c>
      <c r="O722" t="s">
        <v>154</v>
      </c>
      <c r="P722" t="s">
        <v>171</v>
      </c>
      <c r="Q722">
        <v>1.2E-2</v>
      </c>
      <c r="R722" s="9">
        <v>7750.4880000000003</v>
      </c>
      <c r="S722" t="str">
        <f>IF(OR(Sheet1[[#This Row],[Salary_USD]]&lt;$V$13,Sheet1[[#This Row],[Salary_USD]]&gt;$V$12),"Outlier","Normal")</f>
        <v>Normal</v>
      </c>
    </row>
    <row r="723" spans="1:19" x14ac:dyDescent="0.25">
      <c r="A723" t="s">
        <v>19</v>
      </c>
      <c r="B723" t="s">
        <v>31</v>
      </c>
      <c r="C723" t="s">
        <v>51</v>
      </c>
      <c r="D723" t="s">
        <v>59</v>
      </c>
      <c r="E723" s="2">
        <v>110488</v>
      </c>
      <c r="F723" s="2">
        <v>1479</v>
      </c>
      <c r="G723" t="s">
        <v>64</v>
      </c>
      <c r="H723" t="s">
        <v>56</v>
      </c>
      <c r="I723" t="s">
        <v>72</v>
      </c>
      <c r="J723" t="s">
        <v>95</v>
      </c>
      <c r="K723" t="s">
        <v>120</v>
      </c>
      <c r="L723">
        <v>2</v>
      </c>
      <c r="M723">
        <v>1</v>
      </c>
      <c r="N723" t="s">
        <v>151</v>
      </c>
      <c r="O723" t="s">
        <v>157</v>
      </c>
      <c r="P723" t="s">
        <v>401</v>
      </c>
      <c r="Q723">
        <v>0.65</v>
      </c>
      <c r="R723" s="9">
        <v>71817.2</v>
      </c>
      <c r="S723" t="str">
        <f>IF(OR(Sheet1[[#This Row],[Salary_USD]]&lt;$V$13,Sheet1[[#This Row],[Salary_USD]]&gt;$V$12),"Outlier","Normal")</f>
        <v>Normal</v>
      </c>
    </row>
    <row r="724" spans="1:19" x14ac:dyDescent="0.25">
      <c r="A724" t="s">
        <v>19</v>
      </c>
      <c r="B724" t="s">
        <v>29</v>
      </c>
      <c r="C724" t="s">
        <v>40</v>
      </c>
      <c r="D724" t="s">
        <v>61</v>
      </c>
      <c r="E724" s="2">
        <v>32167</v>
      </c>
      <c r="F724" s="2">
        <v>4069</v>
      </c>
      <c r="G724" t="s">
        <v>65</v>
      </c>
      <c r="H724" t="s">
        <v>451</v>
      </c>
      <c r="I724" t="s">
        <v>79</v>
      </c>
      <c r="J724" t="s">
        <v>107</v>
      </c>
      <c r="K724" t="s">
        <v>134</v>
      </c>
      <c r="L724">
        <v>12</v>
      </c>
      <c r="M724">
        <v>11</v>
      </c>
      <c r="N724" t="s">
        <v>152</v>
      </c>
      <c r="O724" t="s">
        <v>155</v>
      </c>
      <c r="P724" t="s">
        <v>162</v>
      </c>
      <c r="Q724">
        <v>0.73</v>
      </c>
      <c r="R724" s="9">
        <v>23481.91</v>
      </c>
      <c r="S724" t="str">
        <f>IF(OR(Sheet1[[#This Row],[Salary_USD]]&lt;$V$13,Sheet1[[#This Row],[Salary_USD]]&gt;$V$12),"Outlier","Normal")</f>
        <v>Normal</v>
      </c>
    </row>
    <row r="725" spans="1:19" x14ac:dyDescent="0.25">
      <c r="A725" t="s">
        <v>19</v>
      </c>
      <c r="B725" t="s">
        <v>28</v>
      </c>
      <c r="C725" t="s">
        <v>40</v>
      </c>
      <c r="D725" t="s">
        <v>60</v>
      </c>
      <c r="E725" s="2">
        <v>127083</v>
      </c>
      <c r="F725" s="2">
        <v>18316</v>
      </c>
      <c r="G725" t="s">
        <v>64</v>
      </c>
      <c r="H725" t="s">
        <v>56</v>
      </c>
      <c r="I725" t="s">
        <v>80</v>
      </c>
      <c r="J725" t="s">
        <v>93</v>
      </c>
      <c r="K725" t="s">
        <v>93</v>
      </c>
      <c r="L725">
        <v>10</v>
      </c>
      <c r="M725">
        <v>8</v>
      </c>
      <c r="N725" t="s">
        <v>153</v>
      </c>
      <c r="O725" t="s">
        <v>157</v>
      </c>
      <c r="P725" t="s">
        <v>180</v>
      </c>
      <c r="Q725">
        <v>0.65</v>
      </c>
      <c r="R725" s="9">
        <v>82603.95</v>
      </c>
      <c r="S725" t="str">
        <f>IF(OR(Sheet1[[#This Row],[Salary_USD]]&lt;$V$13,Sheet1[[#This Row],[Salary_USD]]&gt;$V$12),"Outlier","Normal")</f>
        <v>Normal</v>
      </c>
    </row>
    <row r="726" spans="1:19" x14ac:dyDescent="0.25">
      <c r="A726" t="s">
        <v>19</v>
      </c>
      <c r="B726" t="s">
        <v>26</v>
      </c>
      <c r="C726" t="s">
        <v>36</v>
      </c>
      <c r="D726" t="s">
        <v>62</v>
      </c>
      <c r="E726" s="2">
        <v>99474</v>
      </c>
      <c r="F726" s="2">
        <v>5938</v>
      </c>
      <c r="G726" t="s">
        <v>64</v>
      </c>
      <c r="H726" t="s">
        <v>56</v>
      </c>
      <c r="I726" t="s">
        <v>76</v>
      </c>
      <c r="J726" t="s">
        <v>86</v>
      </c>
      <c r="K726" t="s">
        <v>115</v>
      </c>
      <c r="L726">
        <v>15</v>
      </c>
      <c r="M726">
        <v>13</v>
      </c>
      <c r="N726" t="s">
        <v>152</v>
      </c>
      <c r="O726" t="s">
        <v>154</v>
      </c>
      <c r="P726" t="s">
        <v>319</v>
      </c>
      <c r="Q726">
        <v>0.65</v>
      </c>
      <c r="R726" s="9">
        <v>64658.100000000006</v>
      </c>
      <c r="S726" t="str">
        <f>IF(OR(Sheet1[[#This Row],[Salary_USD]]&lt;$V$13,Sheet1[[#This Row],[Salary_USD]]&gt;$V$12),"Outlier","Normal")</f>
        <v>Normal</v>
      </c>
    </row>
    <row r="727" spans="1:19" x14ac:dyDescent="0.25">
      <c r="A727" t="s">
        <v>20</v>
      </c>
      <c r="B727" t="s">
        <v>31</v>
      </c>
      <c r="C727" t="s">
        <v>37</v>
      </c>
      <c r="D727" t="s">
        <v>57</v>
      </c>
      <c r="E727" s="2">
        <v>117491</v>
      </c>
      <c r="F727" s="2">
        <v>12633</v>
      </c>
      <c r="G727" t="s">
        <v>64</v>
      </c>
      <c r="H727" t="s">
        <v>69</v>
      </c>
      <c r="I727" t="s">
        <v>74</v>
      </c>
      <c r="J727" t="s">
        <v>84</v>
      </c>
      <c r="K727" t="s">
        <v>74</v>
      </c>
      <c r="L727">
        <v>4</v>
      </c>
      <c r="M727">
        <v>4</v>
      </c>
      <c r="N727" t="s">
        <v>152</v>
      </c>
      <c r="O727" t="s">
        <v>157</v>
      </c>
      <c r="P727" t="s">
        <v>402</v>
      </c>
      <c r="Q727">
        <v>0.65</v>
      </c>
      <c r="R727" s="9">
        <v>76369.150000000009</v>
      </c>
      <c r="S727" t="str">
        <f>IF(OR(Sheet1[[#This Row],[Salary_USD]]&lt;$V$13,Sheet1[[#This Row],[Salary_USD]]&gt;$V$12),"Outlier","Normal")</f>
        <v>Normal</v>
      </c>
    </row>
    <row r="728" spans="1:19" x14ac:dyDescent="0.25">
      <c r="A728" t="s">
        <v>19</v>
      </c>
      <c r="B728" t="s">
        <v>23</v>
      </c>
      <c r="C728" t="s">
        <v>36</v>
      </c>
      <c r="D728" t="s">
        <v>59</v>
      </c>
      <c r="E728" s="2">
        <v>33898</v>
      </c>
      <c r="F728" s="2">
        <v>1276</v>
      </c>
      <c r="G728" t="s">
        <v>64</v>
      </c>
      <c r="H728" t="s">
        <v>451</v>
      </c>
      <c r="I728" t="s">
        <v>73</v>
      </c>
      <c r="J728" t="s">
        <v>99</v>
      </c>
      <c r="K728" t="s">
        <v>125</v>
      </c>
      <c r="L728">
        <v>7</v>
      </c>
      <c r="M728">
        <v>7</v>
      </c>
      <c r="N728" t="s">
        <v>152</v>
      </c>
      <c r="O728" t="s">
        <v>156</v>
      </c>
      <c r="P728" t="s">
        <v>403</v>
      </c>
      <c r="Q728">
        <v>0.65</v>
      </c>
      <c r="R728" s="9">
        <v>22033.7</v>
      </c>
      <c r="S728" t="str">
        <f>IF(OR(Sheet1[[#This Row],[Salary_USD]]&lt;$V$13,Sheet1[[#This Row],[Salary_USD]]&gt;$V$12),"Outlier","Normal")</f>
        <v>Normal</v>
      </c>
    </row>
    <row r="729" spans="1:19" x14ac:dyDescent="0.25">
      <c r="A729" t="s">
        <v>19</v>
      </c>
      <c r="B729" t="s">
        <v>24</v>
      </c>
      <c r="C729" t="s">
        <v>48</v>
      </c>
      <c r="D729" t="s">
        <v>54</v>
      </c>
      <c r="E729" s="2">
        <v>55751</v>
      </c>
      <c r="F729" s="2">
        <v>3657</v>
      </c>
      <c r="G729" t="s">
        <v>63</v>
      </c>
      <c r="H729" t="s">
        <v>56</v>
      </c>
      <c r="I729" t="s">
        <v>78</v>
      </c>
      <c r="J729" t="s">
        <v>109</v>
      </c>
      <c r="K729" t="s">
        <v>137</v>
      </c>
      <c r="L729">
        <v>9</v>
      </c>
      <c r="M729">
        <v>9</v>
      </c>
      <c r="N729" t="s">
        <v>151</v>
      </c>
      <c r="O729" t="s">
        <v>155</v>
      </c>
      <c r="P729" t="s">
        <v>173</v>
      </c>
      <c r="Q729">
        <v>1.1000000000000001</v>
      </c>
      <c r="R729" s="9">
        <v>61326.100000000006</v>
      </c>
      <c r="S729" t="str">
        <f>IF(OR(Sheet1[[#This Row],[Salary_USD]]&lt;$V$13,Sheet1[[#This Row],[Salary_USD]]&gt;$V$12),"Outlier","Normal")</f>
        <v>Normal</v>
      </c>
    </row>
    <row r="730" spans="1:19" x14ac:dyDescent="0.25">
      <c r="A730" t="s">
        <v>19</v>
      </c>
      <c r="B730" t="s">
        <v>29</v>
      </c>
      <c r="C730" t="s">
        <v>43</v>
      </c>
      <c r="D730" t="s">
        <v>59</v>
      </c>
      <c r="E730" s="2">
        <v>42545</v>
      </c>
      <c r="F730" s="2">
        <v>1373</v>
      </c>
      <c r="G730" t="s">
        <v>68</v>
      </c>
      <c r="H730" t="s">
        <v>71</v>
      </c>
      <c r="I730" t="s">
        <v>81</v>
      </c>
      <c r="J730" t="s">
        <v>98</v>
      </c>
      <c r="K730" t="s">
        <v>123</v>
      </c>
      <c r="L730">
        <v>3</v>
      </c>
      <c r="M730">
        <v>3</v>
      </c>
      <c r="N730" t="s">
        <v>150</v>
      </c>
      <c r="O730" t="s">
        <v>157</v>
      </c>
      <c r="P730" t="s">
        <v>404</v>
      </c>
      <c r="Q730">
        <v>1.25</v>
      </c>
      <c r="R730" s="9">
        <v>53181.25</v>
      </c>
      <c r="S730" t="str">
        <f>IF(OR(Sheet1[[#This Row],[Salary_USD]]&lt;$V$13,Sheet1[[#This Row],[Salary_USD]]&gt;$V$12),"Outlier","Normal")</f>
        <v>Normal</v>
      </c>
    </row>
    <row r="731" spans="1:19" x14ac:dyDescent="0.25">
      <c r="A731" t="s">
        <v>20</v>
      </c>
      <c r="B731" t="s">
        <v>29</v>
      </c>
      <c r="C731" t="s">
        <v>43</v>
      </c>
      <c r="D731" t="s">
        <v>451</v>
      </c>
      <c r="E731" s="2">
        <v>73147</v>
      </c>
      <c r="F731" s="2">
        <v>0</v>
      </c>
      <c r="G731" t="s">
        <v>68</v>
      </c>
      <c r="H731" t="s">
        <v>56</v>
      </c>
      <c r="I731" t="s">
        <v>76</v>
      </c>
      <c r="J731" t="s">
        <v>92</v>
      </c>
      <c r="K731" t="s">
        <v>119</v>
      </c>
      <c r="L731">
        <v>6</v>
      </c>
      <c r="M731">
        <v>3</v>
      </c>
      <c r="N731" t="s">
        <v>153</v>
      </c>
      <c r="O731" t="s">
        <v>156</v>
      </c>
      <c r="P731" t="s">
        <v>391</v>
      </c>
      <c r="Q731">
        <v>1.25</v>
      </c>
      <c r="R731" s="9">
        <v>91433.75</v>
      </c>
      <c r="S731" t="str">
        <f>IF(OR(Sheet1[[#This Row],[Salary_USD]]&lt;$V$13,Sheet1[[#This Row],[Salary_USD]]&gt;$V$12),"Outlier","Normal")</f>
        <v>Normal</v>
      </c>
    </row>
    <row r="732" spans="1:19" x14ac:dyDescent="0.25">
      <c r="A732" t="s">
        <v>19</v>
      </c>
      <c r="B732" t="s">
        <v>31</v>
      </c>
      <c r="C732" t="s">
        <v>44</v>
      </c>
      <c r="D732" t="s">
        <v>62</v>
      </c>
      <c r="E732" s="2">
        <v>265862</v>
      </c>
      <c r="F732" s="2">
        <v>26277</v>
      </c>
      <c r="G732" t="s">
        <v>66</v>
      </c>
      <c r="H732" t="s">
        <v>70</v>
      </c>
      <c r="I732" t="s">
        <v>73</v>
      </c>
      <c r="J732" t="s">
        <v>99</v>
      </c>
      <c r="K732" t="s">
        <v>125</v>
      </c>
      <c r="L732">
        <v>6</v>
      </c>
      <c r="M732">
        <v>6</v>
      </c>
      <c r="N732" t="s">
        <v>153</v>
      </c>
      <c r="O732" t="s">
        <v>155</v>
      </c>
      <c r="P732" t="s">
        <v>189</v>
      </c>
      <c r="Q732">
        <v>1.2E-2</v>
      </c>
      <c r="R732" s="9">
        <v>3190.3440000000001</v>
      </c>
      <c r="S732" t="str">
        <f>IF(OR(Sheet1[[#This Row],[Salary_USD]]&lt;$V$13,Sheet1[[#This Row],[Salary_USD]]&gt;$V$12),"Outlier","Normal")</f>
        <v>Normal</v>
      </c>
    </row>
    <row r="733" spans="1:19" x14ac:dyDescent="0.25">
      <c r="A733" t="s">
        <v>20</v>
      </c>
      <c r="B733" t="s">
        <v>34</v>
      </c>
      <c r="C733" t="s">
        <v>42</v>
      </c>
      <c r="D733" t="s">
        <v>62</v>
      </c>
      <c r="E733" s="2">
        <v>519951</v>
      </c>
      <c r="F733" s="2">
        <v>20990</v>
      </c>
      <c r="G733" t="s">
        <v>66</v>
      </c>
      <c r="H733" t="s">
        <v>69</v>
      </c>
      <c r="I733" t="s">
        <v>78</v>
      </c>
      <c r="J733" t="s">
        <v>104</v>
      </c>
      <c r="K733" t="s">
        <v>131</v>
      </c>
      <c r="L733">
        <v>1</v>
      </c>
      <c r="M733">
        <v>0</v>
      </c>
      <c r="N733" t="s">
        <v>148</v>
      </c>
      <c r="O733" t="s">
        <v>156</v>
      </c>
      <c r="P733" t="s">
        <v>167</v>
      </c>
      <c r="Q733">
        <v>1.2E-2</v>
      </c>
      <c r="R733" s="9">
        <v>6239.4120000000003</v>
      </c>
      <c r="S733" t="str">
        <f>IF(OR(Sheet1[[#This Row],[Salary_USD]]&lt;$V$13,Sheet1[[#This Row],[Salary_USD]]&gt;$V$12),"Outlier","Normal")</f>
        <v>Normal</v>
      </c>
    </row>
    <row r="734" spans="1:19" x14ac:dyDescent="0.25">
      <c r="A734" t="s">
        <v>20</v>
      </c>
      <c r="B734" t="s">
        <v>32</v>
      </c>
      <c r="C734" t="s">
        <v>36</v>
      </c>
      <c r="D734" t="s">
        <v>60</v>
      </c>
      <c r="E734" s="2">
        <v>101793</v>
      </c>
      <c r="F734" s="2">
        <v>3683</v>
      </c>
      <c r="G734" t="s">
        <v>64</v>
      </c>
      <c r="H734" t="s">
        <v>70</v>
      </c>
      <c r="I734" t="s">
        <v>72</v>
      </c>
      <c r="J734" t="s">
        <v>82</v>
      </c>
      <c r="K734" t="s">
        <v>112</v>
      </c>
      <c r="L734">
        <v>2</v>
      </c>
      <c r="M734">
        <v>2</v>
      </c>
      <c r="N734" t="s">
        <v>151</v>
      </c>
      <c r="O734" t="s">
        <v>154</v>
      </c>
      <c r="P734" t="s">
        <v>271</v>
      </c>
      <c r="Q734">
        <v>0.65</v>
      </c>
      <c r="R734" s="9">
        <v>66165.45</v>
      </c>
      <c r="S734" t="str">
        <f>IF(OR(Sheet1[[#This Row],[Salary_USD]]&lt;$V$13,Sheet1[[#This Row],[Salary_USD]]&gt;$V$12),"Outlier","Normal")</f>
        <v>Normal</v>
      </c>
    </row>
    <row r="735" spans="1:19" x14ac:dyDescent="0.25">
      <c r="A735" t="s">
        <v>20</v>
      </c>
      <c r="B735" t="s">
        <v>35</v>
      </c>
      <c r="C735" t="s">
        <v>49</v>
      </c>
      <c r="D735" t="s">
        <v>60</v>
      </c>
      <c r="E735" s="2">
        <v>90732</v>
      </c>
      <c r="F735" s="2">
        <v>23380</v>
      </c>
      <c r="G735" t="s">
        <v>64</v>
      </c>
      <c r="H735" t="s">
        <v>71</v>
      </c>
      <c r="I735" t="s">
        <v>74</v>
      </c>
      <c r="J735" t="s">
        <v>84</v>
      </c>
      <c r="K735" t="s">
        <v>74</v>
      </c>
      <c r="L735">
        <v>7</v>
      </c>
      <c r="M735">
        <v>4</v>
      </c>
      <c r="N735" t="s">
        <v>151</v>
      </c>
      <c r="O735" t="s">
        <v>156</v>
      </c>
      <c r="P735" t="s">
        <v>212</v>
      </c>
      <c r="Q735">
        <v>0.65</v>
      </c>
      <c r="R735" s="9">
        <v>58975.8</v>
      </c>
      <c r="S735" t="str">
        <f>IF(OR(Sheet1[[#This Row],[Salary_USD]]&lt;$V$13,Sheet1[[#This Row],[Salary_USD]]&gt;$V$12),"Outlier","Normal")</f>
        <v>Normal</v>
      </c>
    </row>
    <row r="736" spans="1:19" x14ac:dyDescent="0.25">
      <c r="A736" t="s">
        <v>19</v>
      </c>
      <c r="B736" t="s">
        <v>35</v>
      </c>
      <c r="C736" t="s">
        <v>49</v>
      </c>
      <c r="D736" t="s">
        <v>55</v>
      </c>
      <c r="E736" s="2">
        <v>54895</v>
      </c>
      <c r="F736" s="2">
        <v>3062</v>
      </c>
      <c r="G736" t="s">
        <v>63</v>
      </c>
      <c r="H736" t="s">
        <v>451</v>
      </c>
      <c r="I736" t="s">
        <v>74</v>
      </c>
      <c r="J736" t="s">
        <v>84</v>
      </c>
      <c r="K736" t="s">
        <v>74</v>
      </c>
      <c r="L736">
        <v>12</v>
      </c>
      <c r="M736">
        <v>12</v>
      </c>
      <c r="N736" t="s">
        <v>151</v>
      </c>
      <c r="O736" t="s">
        <v>156</v>
      </c>
      <c r="P736" t="s">
        <v>352</v>
      </c>
      <c r="Q736">
        <v>1.1000000000000001</v>
      </c>
      <c r="R736" s="9">
        <v>60384.500000000007</v>
      </c>
      <c r="S736" t="str">
        <f>IF(OR(Sheet1[[#This Row],[Salary_USD]]&lt;$V$13,Sheet1[[#This Row],[Salary_USD]]&gt;$V$12),"Outlier","Normal")</f>
        <v>Normal</v>
      </c>
    </row>
    <row r="737" spans="1:19" x14ac:dyDescent="0.25">
      <c r="A737" t="s">
        <v>19</v>
      </c>
      <c r="B737" t="s">
        <v>26</v>
      </c>
      <c r="C737" t="s">
        <v>44</v>
      </c>
      <c r="D737" t="s">
        <v>62</v>
      </c>
      <c r="E737" s="2">
        <v>87199</v>
      </c>
      <c r="F737" s="2">
        <v>1330</v>
      </c>
      <c r="G737" t="s">
        <v>64</v>
      </c>
      <c r="H737" t="s">
        <v>451</v>
      </c>
      <c r="I737" t="s">
        <v>73</v>
      </c>
      <c r="J737" t="s">
        <v>102</v>
      </c>
      <c r="K737" t="s">
        <v>102</v>
      </c>
      <c r="L737">
        <v>2</v>
      </c>
      <c r="M737">
        <v>2</v>
      </c>
      <c r="N737" t="s">
        <v>152</v>
      </c>
      <c r="O737" t="s">
        <v>157</v>
      </c>
      <c r="P737" t="s">
        <v>169</v>
      </c>
      <c r="Q737">
        <v>0.65</v>
      </c>
      <c r="R737" s="9">
        <v>56679.35</v>
      </c>
      <c r="S737" t="str">
        <f>IF(OR(Sheet1[[#This Row],[Salary_USD]]&lt;$V$13,Sheet1[[#This Row],[Salary_USD]]&gt;$V$12),"Outlier","Normal")</f>
        <v>Normal</v>
      </c>
    </row>
    <row r="738" spans="1:19" x14ac:dyDescent="0.25">
      <c r="A738" t="s">
        <v>19</v>
      </c>
      <c r="B738" t="s">
        <v>31</v>
      </c>
      <c r="C738" t="s">
        <v>42</v>
      </c>
      <c r="D738" t="s">
        <v>61</v>
      </c>
      <c r="E738" s="2">
        <v>802097</v>
      </c>
      <c r="F738" s="2">
        <v>72738</v>
      </c>
      <c r="G738" t="s">
        <v>66</v>
      </c>
      <c r="H738" t="s">
        <v>56</v>
      </c>
      <c r="I738" t="s">
        <v>74</v>
      </c>
      <c r="J738" t="s">
        <v>84</v>
      </c>
      <c r="K738" t="s">
        <v>74</v>
      </c>
      <c r="L738">
        <v>25</v>
      </c>
      <c r="M738">
        <v>22</v>
      </c>
      <c r="N738" t="s">
        <v>149</v>
      </c>
      <c r="O738" t="s">
        <v>154</v>
      </c>
      <c r="P738" t="s">
        <v>256</v>
      </c>
      <c r="Q738">
        <v>1.2E-2</v>
      </c>
      <c r="R738" s="9">
        <v>9625.1640000000007</v>
      </c>
      <c r="S738" t="str">
        <f>IF(OR(Sheet1[[#This Row],[Salary_USD]]&lt;$V$13,Sheet1[[#This Row],[Salary_USD]]&gt;$V$12),"Outlier","Normal")</f>
        <v>Normal</v>
      </c>
    </row>
    <row r="739" spans="1:19" x14ac:dyDescent="0.25">
      <c r="A739" t="s">
        <v>21</v>
      </c>
      <c r="B739" t="s">
        <v>35</v>
      </c>
      <c r="C739" t="s">
        <v>51</v>
      </c>
      <c r="D739" t="s">
        <v>61</v>
      </c>
      <c r="E739" s="2">
        <v>127531</v>
      </c>
      <c r="F739" s="2">
        <v>9563</v>
      </c>
      <c r="G739" t="s">
        <v>67</v>
      </c>
      <c r="H739" t="s">
        <v>451</v>
      </c>
      <c r="I739" t="s">
        <v>81</v>
      </c>
      <c r="J739" t="s">
        <v>101</v>
      </c>
      <c r="K739" t="s">
        <v>127</v>
      </c>
      <c r="L739">
        <v>15</v>
      </c>
      <c r="M739">
        <v>12</v>
      </c>
      <c r="N739" t="s">
        <v>150</v>
      </c>
      <c r="O739" t="s">
        <v>154</v>
      </c>
      <c r="P739" t="s">
        <v>169</v>
      </c>
      <c r="Q739">
        <v>1</v>
      </c>
      <c r="R739" s="9">
        <v>127531</v>
      </c>
      <c r="S739" t="str">
        <f>IF(OR(Sheet1[[#This Row],[Salary_USD]]&lt;$V$13,Sheet1[[#This Row],[Salary_USD]]&gt;$V$12),"Outlier","Normal")</f>
        <v>Normal</v>
      </c>
    </row>
    <row r="740" spans="1:19" x14ac:dyDescent="0.25">
      <c r="A740" t="s">
        <v>21</v>
      </c>
      <c r="B740" t="s">
        <v>33</v>
      </c>
      <c r="C740" t="s">
        <v>43</v>
      </c>
      <c r="D740" t="s">
        <v>55</v>
      </c>
      <c r="E740" s="2">
        <v>105017</v>
      </c>
      <c r="F740" s="2">
        <v>6039</v>
      </c>
      <c r="G740" t="s">
        <v>65</v>
      </c>
      <c r="H740" t="s">
        <v>71</v>
      </c>
      <c r="I740" t="s">
        <v>81</v>
      </c>
      <c r="J740" t="s">
        <v>94</v>
      </c>
      <c r="K740" t="s">
        <v>129</v>
      </c>
      <c r="L740">
        <v>10</v>
      </c>
      <c r="M740">
        <v>10</v>
      </c>
      <c r="N740" t="s">
        <v>152</v>
      </c>
      <c r="O740" t="s">
        <v>155</v>
      </c>
      <c r="P740" t="s">
        <v>189</v>
      </c>
      <c r="Q740">
        <v>0.73</v>
      </c>
      <c r="R740" s="9">
        <v>76662.41</v>
      </c>
      <c r="S740" t="str">
        <f>IF(OR(Sheet1[[#This Row],[Salary_USD]]&lt;$V$13,Sheet1[[#This Row],[Salary_USD]]&gt;$V$12),"Outlier","Normal")</f>
        <v>Normal</v>
      </c>
    </row>
    <row r="741" spans="1:19" x14ac:dyDescent="0.25">
      <c r="A741" t="s">
        <v>18</v>
      </c>
      <c r="B741" t="s">
        <v>31</v>
      </c>
      <c r="C741" t="s">
        <v>41</v>
      </c>
      <c r="D741" t="s">
        <v>59</v>
      </c>
      <c r="E741" s="2">
        <v>84177</v>
      </c>
      <c r="F741" s="2">
        <v>927</v>
      </c>
      <c r="G741" t="s">
        <v>63</v>
      </c>
      <c r="H741" t="s">
        <v>71</v>
      </c>
      <c r="I741" t="s">
        <v>80</v>
      </c>
      <c r="J741" t="s">
        <v>106</v>
      </c>
      <c r="K741" t="s">
        <v>106</v>
      </c>
      <c r="L741">
        <v>0</v>
      </c>
      <c r="M741">
        <v>0</v>
      </c>
      <c r="N741" t="s">
        <v>148</v>
      </c>
      <c r="O741" t="s">
        <v>155</v>
      </c>
      <c r="P741" t="s">
        <v>209</v>
      </c>
      <c r="Q741">
        <v>1.1000000000000001</v>
      </c>
      <c r="R741" s="9">
        <v>92594.700000000012</v>
      </c>
      <c r="S741" t="str">
        <f>IF(OR(Sheet1[[#This Row],[Salary_USD]]&lt;$V$13,Sheet1[[#This Row],[Salary_USD]]&gt;$V$12),"Outlier","Normal")</f>
        <v>Normal</v>
      </c>
    </row>
    <row r="742" spans="1:19" x14ac:dyDescent="0.25">
      <c r="A742" t="s">
        <v>19</v>
      </c>
      <c r="B742" t="s">
        <v>35</v>
      </c>
      <c r="C742" t="s">
        <v>46</v>
      </c>
      <c r="D742" t="s">
        <v>55</v>
      </c>
      <c r="E742" s="2">
        <v>53344</v>
      </c>
      <c r="F742" s="2">
        <v>0</v>
      </c>
      <c r="G742" t="s">
        <v>63</v>
      </c>
      <c r="H742" t="s">
        <v>56</v>
      </c>
      <c r="I742" t="s">
        <v>77</v>
      </c>
      <c r="J742" t="s">
        <v>97</v>
      </c>
      <c r="K742" t="s">
        <v>122</v>
      </c>
      <c r="L742">
        <v>12</v>
      </c>
      <c r="M742">
        <v>12</v>
      </c>
      <c r="N742" t="s">
        <v>150</v>
      </c>
      <c r="O742" t="s">
        <v>156</v>
      </c>
      <c r="P742" t="s">
        <v>181</v>
      </c>
      <c r="Q742">
        <v>1.1000000000000001</v>
      </c>
      <c r="R742" s="9">
        <v>58678.400000000001</v>
      </c>
      <c r="S742" t="str">
        <f>IF(OR(Sheet1[[#This Row],[Salary_USD]]&lt;$V$13,Sheet1[[#This Row],[Salary_USD]]&gt;$V$12),"Outlier","Normal")</f>
        <v>Normal</v>
      </c>
    </row>
    <row r="743" spans="1:19" x14ac:dyDescent="0.25">
      <c r="A743" t="s">
        <v>20</v>
      </c>
      <c r="B743" t="s">
        <v>35</v>
      </c>
      <c r="C743" t="s">
        <v>48</v>
      </c>
      <c r="D743" t="s">
        <v>55</v>
      </c>
      <c r="E743" s="2">
        <v>832749</v>
      </c>
      <c r="F743" s="2">
        <v>24914</v>
      </c>
      <c r="G743" t="s">
        <v>66</v>
      </c>
      <c r="H743" t="s">
        <v>56</v>
      </c>
      <c r="I743" t="s">
        <v>74</v>
      </c>
      <c r="J743" t="s">
        <v>84</v>
      </c>
      <c r="K743" t="s">
        <v>74</v>
      </c>
      <c r="L743">
        <v>7</v>
      </c>
      <c r="M743">
        <v>4</v>
      </c>
      <c r="N743" t="s">
        <v>148</v>
      </c>
      <c r="O743" t="s">
        <v>154</v>
      </c>
      <c r="P743" t="s">
        <v>405</v>
      </c>
      <c r="Q743">
        <v>1.2E-2</v>
      </c>
      <c r="R743" s="9">
        <v>9992.9879999999994</v>
      </c>
      <c r="S743" t="str">
        <f>IF(OR(Sheet1[[#This Row],[Salary_USD]]&lt;$V$13,Sheet1[[#This Row],[Salary_USD]]&gt;$V$12),"Outlier","Normal")</f>
        <v>Normal</v>
      </c>
    </row>
    <row r="744" spans="1:19" x14ac:dyDescent="0.25">
      <c r="A744" t="s">
        <v>21</v>
      </c>
      <c r="B744" t="s">
        <v>26</v>
      </c>
      <c r="C744" t="s">
        <v>52</v>
      </c>
      <c r="D744" t="s">
        <v>58</v>
      </c>
      <c r="E744" s="2">
        <v>120070</v>
      </c>
      <c r="F744" s="2">
        <v>2558</v>
      </c>
      <c r="G744" t="s">
        <v>63</v>
      </c>
      <c r="H744" t="s">
        <v>56</v>
      </c>
      <c r="I744" t="s">
        <v>76</v>
      </c>
      <c r="J744" t="s">
        <v>92</v>
      </c>
      <c r="K744" t="s">
        <v>119</v>
      </c>
      <c r="L744">
        <v>15</v>
      </c>
      <c r="M744">
        <v>15</v>
      </c>
      <c r="N744" t="s">
        <v>149</v>
      </c>
      <c r="O744" t="s">
        <v>157</v>
      </c>
      <c r="P744" t="s">
        <v>250</v>
      </c>
      <c r="Q744">
        <v>1.1000000000000001</v>
      </c>
      <c r="R744" s="9">
        <v>132077</v>
      </c>
      <c r="S744" t="str">
        <f>IF(OR(Sheet1[[#This Row],[Salary_USD]]&lt;$V$13,Sheet1[[#This Row],[Salary_USD]]&gt;$V$12),"Outlier","Normal")</f>
        <v>Normal</v>
      </c>
    </row>
    <row r="745" spans="1:19" x14ac:dyDescent="0.25">
      <c r="A745" t="s">
        <v>19</v>
      </c>
      <c r="B745" t="s">
        <v>32</v>
      </c>
      <c r="C745" t="s">
        <v>52</v>
      </c>
      <c r="D745" t="s">
        <v>56</v>
      </c>
      <c r="E745" s="2">
        <v>32079</v>
      </c>
      <c r="F745" s="2">
        <v>2191</v>
      </c>
      <c r="G745" t="s">
        <v>67</v>
      </c>
      <c r="H745" t="s">
        <v>70</v>
      </c>
      <c r="I745" t="s">
        <v>80</v>
      </c>
      <c r="J745" t="s">
        <v>93</v>
      </c>
      <c r="K745" t="s">
        <v>93</v>
      </c>
      <c r="L745">
        <v>5</v>
      </c>
      <c r="M745">
        <v>5</v>
      </c>
      <c r="N745" t="s">
        <v>150</v>
      </c>
      <c r="O745" t="s">
        <v>155</v>
      </c>
      <c r="P745" t="s">
        <v>233</v>
      </c>
      <c r="Q745">
        <v>1</v>
      </c>
      <c r="R745" s="9">
        <v>32079</v>
      </c>
      <c r="S745" t="str">
        <f>IF(OR(Sheet1[[#This Row],[Salary_USD]]&lt;$V$13,Sheet1[[#This Row],[Salary_USD]]&gt;$V$12),"Outlier","Normal")</f>
        <v>Normal</v>
      </c>
    </row>
    <row r="746" spans="1:19" x14ac:dyDescent="0.25">
      <c r="A746" t="s">
        <v>19</v>
      </c>
      <c r="B746" t="s">
        <v>28</v>
      </c>
      <c r="C746" t="s">
        <v>49</v>
      </c>
      <c r="D746" t="s">
        <v>57</v>
      </c>
      <c r="E746" s="2">
        <v>45878</v>
      </c>
      <c r="F746" s="2">
        <v>484</v>
      </c>
      <c r="G746" t="s">
        <v>68</v>
      </c>
      <c r="H746" t="s">
        <v>56</v>
      </c>
      <c r="I746" t="s">
        <v>74</v>
      </c>
      <c r="J746" t="s">
        <v>84</v>
      </c>
      <c r="K746" t="s">
        <v>74</v>
      </c>
      <c r="L746">
        <v>3</v>
      </c>
      <c r="M746">
        <v>1</v>
      </c>
      <c r="N746" t="s">
        <v>150</v>
      </c>
      <c r="O746" t="s">
        <v>155</v>
      </c>
      <c r="P746" t="s">
        <v>213</v>
      </c>
      <c r="Q746">
        <v>1.25</v>
      </c>
      <c r="R746" s="9">
        <v>57347.5</v>
      </c>
      <c r="S746" t="str">
        <f>IF(OR(Sheet1[[#This Row],[Salary_USD]]&lt;$V$13,Sheet1[[#This Row],[Salary_USD]]&gt;$V$12),"Outlier","Normal")</f>
        <v>Normal</v>
      </c>
    </row>
    <row r="747" spans="1:19" x14ac:dyDescent="0.25">
      <c r="A747" t="s">
        <v>17</v>
      </c>
      <c r="B747" t="s">
        <v>35</v>
      </c>
      <c r="C747" t="s">
        <v>38</v>
      </c>
      <c r="D747" t="s">
        <v>56</v>
      </c>
      <c r="E747" s="2">
        <v>59114</v>
      </c>
      <c r="F747" s="2">
        <v>4146</v>
      </c>
      <c r="G747" t="s">
        <v>63</v>
      </c>
      <c r="H747" t="s">
        <v>451</v>
      </c>
      <c r="I747" t="s">
        <v>76</v>
      </c>
      <c r="J747" t="s">
        <v>92</v>
      </c>
      <c r="K747" t="s">
        <v>119</v>
      </c>
      <c r="L747">
        <v>10</v>
      </c>
      <c r="M747">
        <v>9</v>
      </c>
      <c r="N747" t="s">
        <v>149</v>
      </c>
      <c r="O747" t="s">
        <v>157</v>
      </c>
      <c r="P747" t="s">
        <v>351</v>
      </c>
      <c r="Q747">
        <v>1.1000000000000001</v>
      </c>
      <c r="R747" s="9">
        <v>65025.400000000009</v>
      </c>
      <c r="S747" t="str">
        <f>IF(OR(Sheet1[[#This Row],[Salary_USD]]&lt;$V$13,Sheet1[[#This Row],[Salary_USD]]&gt;$V$12),"Outlier","Normal")</f>
        <v>Normal</v>
      </c>
    </row>
    <row r="748" spans="1:19" x14ac:dyDescent="0.25">
      <c r="A748" t="s">
        <v>19</v>
      </c>
      <c r="B748" t="s">
        <v>22</v>
      </c>
      <c r="C748" t="s">
        <v>42</v>
      </c>
      <c r="D748" t="s">
        <v>62</v>
      </c>
      <c r="E748" s="2">
        <v>118334</v>
      </c>
      <c r="F748" s="2">
        <v>31016</v>
      </c>
      <c r="G748" t="s">
        <v>67</v>
      </c>
      <c r="H748" t="s">
        <v>451</v>
      </c>
      <c r="I748" t="s">
        <v>77</v>
      </c>
      <c r="J748" t="s">
        <v>110</v>
      </c>
      <c r="K748" t="s">
        <v>145</v>
      </c>
      <c r="L748">
        <v>5</v>
      </c>
      <c r="M748">
        <v>3</v>
      </c>
      <c r="N748" t="s">
        <v>149</v>
      </c>
      <c r="O748" t="s">
        <v>157</v>
      </c>
      <c r="P748" t="s">
        <v>166</v>
      </c>
      <c r="Q748">
        <v>1</v>
      </c>
      <c r="R748" s="9">
        <v>118334</v>
      </c>
      <c r="S748" t="str">
        <f>IF(OR(Sheet1[[#This Row],[Salary_USD]]&lt;$V$13,Sheet1[[#This Row],[Salary_USD]]&gt;$V$12),"Outlier","Normal")</f>
        <v>Normal</v>
      </c>
    </row>
    <row r="749" spans="1:19" x14ac:dyDescent="0.25">
      <c r="A749" t="s">
        <v>19</v>
      </c>
      <c r="B749" t="s">
        <v>29</v>
      </c>
      <c r="C749" t="s">
        <v>52</v>
      </c>
      <c r="D749" t="s">
        <v>59</v>
      </c>
      <c r="E749" s="2">
        <v>1437274</v>
      </c>
      <c r="F749" s="2">
        <v>321317</v>
      </c>
      <c r="G749" t="s">
        <v>66</v>
      </c>
      <c r="H749" t="s">
        <v>451</v>
      </c>
      <c r="I749" t="s">
        <v>78</v>
      </c>
      <c r="J749" t="s">
        <v>105</v>
      </c>
      <c r="K749" t="s">
        <v>133</v>
      </c>
      <c r="L749">
        <v>2</v>
      </c>
      <c r="M749">
        <v>1</v>
      </c>
      <c r="N749" t="s">
        <v>152</v>
      </c>
      <c r="O749" t="s">
        <v>156</v>
      </c>
      <c r="P749" t="s">
        <v>406</v>
      </c>
      <c r="Q749">
        <v>1.2E-2</v>
      </c>
      <c r="R749" s="9">
        <v>17247.288</v>
      </c>
      <c r="S749" t="str">
        <f>IF(OR(Sheet1[[#This Row],[Salary_USD]]&lt;$V$13,Sheet1[[#This Row],[Salary_USD]]&gt;$V$12),"Outlier","Normal")</f>
        <v>Normal</v>
      </c>
    </row>
    <row r="750" spans="1:19" x14ac:dyDescent="0.25">
      <c r="A750" t="s">
        <v>19</v>
      </c>
      <c r="B750" t="s">
        <v>22</v>
      </c>
      <c r="C750" t="s">
        <v>38</v>
      </c>
      <c r="D750" t="s">
        <v>59</v>
      </c>
      <c r="E750" s="2">
        <v>571701</v>
      </c>
      <c r="F750" s="2">
        <v>17428</v>
      </c>
      <c r="G750" t="s">
        <v>66</v>
      </c>
      <c r="H750" t="s">
        <v>69</v>
      </c>
      <c r="I750" t="s">
        <v>79</v>
      </c>
      <c r="J750" t="s">
        <v>91</v>
      </c>
      <c r="K750" t="s">
        <v>118</v>
      </c>
      <c r="L750">
        <v>2</v>
      </c>
      <c r="M750">
        <v>0</v>
      </c>
      <c r="N750" t="s">
        <v>153</v>
      </c>
      <c r="O750" t="s">
        <v>154</v>
      </c>
      <c r="P750" t="s">
        <v>407</v>
      </c>
      <c r="Q750">
        <v>1.2E-2</v>
      </c>
      <c r="R750" s="9">
        <v>6860.4120000000003</v>
      </c>
      <c r="S750" t="str">
        <f>IF(OR(Sheet1[[#This Row],[Salary_USD]]&lt;$V$13,Sheet1[[#This Row],[Salary_USD]]&gt;$V$12),"Outlier","Normal")</f>
        <v>Normal</v>
      </c>
    </row>
    <row r="751" spans="1:19" x14ac:dyDescent="0.25">
      <c r="A751" t="s">
        <v>17</v>
      </c>
      <c r="B751" t="s">
        <v>31</v>
      </c>
      <c r="C751" t="s">
        <v>40</v>
      </c>
      <c r="D751" t="s">
        <v>54</v>
      </c>
      <c r="E751" s="2">
        <v>703505</v>
      </c>
      <c r="F751" s="2">
        <v>44441</v>
      </c>
      <c r="G751" t="s">
        <v>66</v>
      </c>
      <c r="H751" t="s">
        <v>70</v>
      </c>
      <c r="I751" t="s">
        <v>72</v>
      </c>
      <c r="J751" t="s">
        <v>82</v>
      </c>
      <c r="K751" t="s">
        <v>112</v>
      </c>
      <c r="L751">
        <v>18</v>
      </c>
      <c r="M751">
        <v>17</v>
      </c>
      <c r="N751" t="s">
        <v>148</v>
      </c>
      <c r="O751" t="s">
        <v>156</v>
      </c>
      <c r="P751" t="s">
        <v>408</v>
      </c>
      <c r="Q751">
        <v>1.2E-2</v>
      </c>
      <c r="R751" s="9">
        <v>8442.06</v>
      </c>
      <c r="S751" t="str">
        <f>IF(OR(Sheet1[[#This Row],[Salary_USD]]&lt;$V$13,Sheet1[[#This Row],[Salary_USD]]&gt;$V$12),"Outlier","Normal")</f>
        <v>Normal</v>
      </c>
    </row>
    <row r="752" spans="1:19" x14ac:dyDescent="0.25">
      <c r="A752" t="s">
        <v>19</v>
      </c>
      <c r="B752" t="s">
        <v>35</v>
      </c>
      <c r="C752" t="s">
        <v>49</v>
      </c>
      <c r="D752" t="s">
        <v>54</v>
      </c>
      <c r="E752" s="2">
        <v>103670</v>
      </c>
      <c r="F752" s="2">
        <v>4734</v>
      </c>
      <c r="G752" t="s">
        <v>67</v>
      </c>
      <c r="H752" t="s">
        <v>71</v>
      </c>
      <c r="I752" t="s">
        <v>75</v>
      </c>
      <c r="J752" t="s">
        <v>85</v>
      </c>
      <c r="K752" t="s">
        <v>114</v>
      </c>
      <c r="L752">
        <v>20</v>
      </c>
      <c r="M752">
        <v>18</v>
      </c>
      <c r="N752" t="s">
        <v>148</v>
      </c>
      <c r="O752" t="s">
        <v>155</v>
      </c>
      <c r="P752" t="s">
        <v>212</v>
      </c>
      <c r="Q752">
        <v>1</v>
      </c>
      <c r="R752" s="9">
        <v>103670</v>
      </c>
      <c r="S752" t="str">
        <f>IF(OR(Sheet1[[#This Row],[Salary_USD]]&lt;$V$13,Sheet1[[#This Row],[Salary_USD]]&gt;$V$12),"Outlier","Normal")</f>
        <v>Normal</v>
      </c>
    </row>
    <row r="753" spans="1:19" x14ac:dyDescent="0.25">
      <c r="A753" t="s">
        <v>19</v>
      </c>
      <c r="B753" t="s">
        <v>33</v>
      </c>
      <c r="C753" t="s">
        <v>43</v>
      </c>
      <c r="D753" t="s">
        <v>59</v>
      </c>
      <c r="E753" s="2">
        <v>62584</v>
      </c>
      <c r="F753" s="2">
        <v>2902</v>
      </c>
      <c r="G753" t="s">
        <v>63</v>
      </c>
      <c r="H753" t="s">
        <v>451</v>
      </c>
      <c r="I753" t="s">
        <v>76</v>
      </c>
      <c r="J753" t="s">
        <v>100</v>
      </c>
      <c r="K753" t="s">
        <v>126</v>
      </c>
      <c r="L753">
        <v>7</v>
      </c>
      <c r="M753">
        <v>5</v>
      </c>
      <c r="N753" t="s">
        <v>150</v>
      </c>
      <c r="O753" t="s">
        <v>157</v>
      </c>
      <c r="P753" t="s">
        <v>409</v>
      </c>
      <c r="Q753">
        <v>1.1000000000000001</v>
      </c>
      <c r="R753" s="9">
        <v>68842.400000000009</v>
      </c>
      <c r="S753" t="str">
        <f>IF(OR(Sheet1[[#This Row],[Salary_USD]]&lt;$V$13,Sheet1[[#This Row],[Salary_USD]]&gt;$V$12),"Outlier","Normal")</f>
        <v>Normal</v>
      </c>
    </row>
    <row r="754" spans="1:19" x14ac:dyDescent="0.25">
      <c r="A754" t="s">
        <v>17</v>
      </c>
      <c r="B754" t="s">
        <v>35</v>
      </c>
      <c r="C754" t="s">
        <v>50</v>
      </c>
      <c r="D754" t="s">
        <v>57</v>
      </c>
      <c r="E754" s="2">
        <v>55071</v>
      </c>
      <c r="F754" s="2">
        <v>3411</v>
      </c>
      <c r="G754" t="s">
        <v>65</v>
      </c>
      <c r="H754" t="s">
        <v>71</v>
      </c>
      <c r="I754" t="s">
        <v>77</v>
      </c>
      <c r="J754" t="s">
        <v>97</v>
      </c>
      <c r="K754" t="s">
        <v>122</v>
      </c>
      <c r="L754">
        <v>20</v>
      </c>
      <c r="M754">
        <v>17</v>
      </c>
      <c r="N754" t="s">
        <v>151</v>
      </c>
      <c r="O754" t="s">
        <v>154</v>
      </c>
      <c r="P754" t="s">
        <v>277</v>
      </c>
      <c r="Q754">
        <v>0.73</v>
      </c>
      <c r="R754" s="9">
        <v>40201.83</v>
      </c>
      <c r="S754" t="str">
        <f>IF(OR(Sheet1[[#This Row],[Salary_USD]]&lt;$V$13,Sheet1[[#This Row],[Salary_USD]]&gt;$V$12),"Outlier","Normal")</f>
        <v>Normal</v>
      </c>
    </row>
    <row r="755" spans="1:19" x14ac:dyDescent="0.25">
      <c r="A755" t="s">
        <v>17</v>
      </c>
      <c r="B755" t="s">
        <v>31</v>
      </c>
      <c r="C755" t="s">
        <v>45</v>
      </c>
      <c r="D755" t="s">
        <v>62</v>
      </c>
      <c r="E755" s="2">
        <v>37095</v>
      </c>
      <c r="F755" s="2">
        <v>0</v>
      </c>
      <c r="G755" t="s">
        <v>65</v>
      </c>
      <c r="H755" t="s">
        <v>71</v>
      </c>
      <c r="I755" t="s">
        <v>77</v>
      </c>
      <c r="J755" t="s">
        <v>87</v>
      </c>
      <c r="K755" t="s">
        <v>116</v>
      </c>
      <c r="L755">
        <v>9</v>
      </c>
      <c r="M755">
        <v>7</v>
      </c>
      <c r="N755" t="s">
        <v>150</v>
      </c>
      <c r="O755" t="s">
        <v>156</v>
      </c>
      <c r="P755" t="s">
        <v>404</v>
      </c>
      <c r="Q755">
        <v>0.73</v>
      </c>
      <c r="R755" s="9">
        <v>27079.35</v>
      </c>
      <c r="S755" t="str">
        <f>IF(OR(Sheet1[[#This Row],[Salary_USD]]&lt;$V$13,Sheet1[[#This Row],[Salary_USD]]&gt;$V$12),"Outlier","Normal")</f>
        <v>Normal</v>
      </c>
    </row>
    <row r="756" spans="1:19" x14ac:dyDescent="0.25">
      <c r="A756" t="s">
        <v>20</v>
      </c>
      <c r="B756" t="s">
        <v>28</v>
      </c>
      <c r="C756" t="s">
        <v>47</v>
      </c>
      <c r="D756" t="s">
        <v>61</v>
      </c>
      <c r="E756" s="2">
        <v>116515</v>
      </c>
      <c r="F756" s="2">
        <v>3959</v>
      </c>
      <c r="G756" t="s">
        <v>63</v>
      </c>
      <c r="H756" t="s">
        <v>70</v>
      </c>
      <c r="I756" t="s">
        <v>80</v>
      </c>
      <c r="J756" t="s">
        <v>93</v>
      </c>
      <c r="K756" t="s">
        <v>93</v>
      </c>
      <c r="L756">
        <v>0</v>
      </c>
      <c r="M756">
        <v>0</v>
      </c>
      <c r="N756" t="s">
        <v>153</v>
      </c>
      <c r="O756" t="s">
        <v>155</v>
      </c>
      <c r="P756" t="s">
        <v>162</v>
      </c>
      <c r="Q756">
        <v>1.1000000000000001</v>
      </c>
      <c r="R756" s="9">
        <v>128166.50000000001</v>
      </c>
      <c r="S756" t="str">
        <f>IF(OR(Sheet1[[#This Row],[Salary_USD]]&lt;$V$13,Sheet1[[#This Row],[Salary_USD]]&gt;$V$12),"Outlier","Normal")</f>
        <v>Normal</v>
      </c>
    </row>
    <row r="757" spans="1:19" x14ac:dyDescent="0.25">
      <c r="A757" t="s">
        <v>20</v>
      </c>
      <c r="B757" t="s">
        <v>24</v>
      </c>
      <c r="C757" t="s">
        <v>44</v>
      </c>
      <c r="D757" t="s">
        <v>58</v>
      </c>
      <c r="E757" s="2">
        <v>84019</v>
      </c>
      <c r="F757" s="2">
        <v>541</v>
      </c>
      <c r="G757" t="s">
        <v>64</v>
      </c>
      <c r="H757" t="s">
        <v>56</v>
      </c>
      <c r="I757" t="s">
        <v>74</v>
      </c>
      <c r="J757" t="s">
        <v>84</v>
      </c>
      <c r="K757" t="s">
        <v>74</v>
      </c>
      <c r="L757">
        <v>6</v>
      </c>
      <c r="M757">
        <v>6</v>
      </c>
      <c r="N757" t="s">
        <v>150</v>
      </c>
      <c r="O757" t="s">
        <v>154</v>
      </c>
      <c r="P757" t="s">
        <v>283</v>
      </c>
      <c r="Q757">
        <v>0.65</v>
      </c>
      <c r="R757" s="9">
        <v>54612.35</v>
      </c>
      <c r="S757" t="str">
        <f>IF(OR(Sheet1[[#This Row],[Salary_USD]]&lt;$V$13,Sheet1[[#This Row],[Salary_USD]]&gt;$V$12),"Outlier","Normal")</f>
        <v>Normal</v>
      </c>
    </row>
    <row r="758" spans="1:19" x14ac:dyDescent="0.25">
      <c r="A758" t="s">
        <v>17</v>
      </c>
      <c r="B758" t="s">
        <v>35</v>
      </c>
      <c r="C758" t="s">
        <v>53</v>
      </c>
      <c r="D758" t="s">
        <v>451</v>
      </c>
      <c r="E758" s="2">
        <v>48510</v>
      </c>
      <c r="F758" s="2">
        <v>4516</v>
      </c>
      <c r="G758" t="s">
        <v>67</v>
      </c>
      <c r="H758" t="s">
        <v>71</v>
      </c>
      <c r="I758" t="s">
        <v>79</v>
      </c>
      <c r="J758" t="s">
        <v>91</v>
      </c>
      <c r="K758" t="s">
        <v>118</v>
      </c>
      <c r="L758">
        <v>25</v>
      </c>
      <c r="M758">
        <v>25</v>
      </c>
      <c r="N758" t="s">
        <v>149</v>
      </c>
      <c r="O758" t="s">
        <v>157</v>
      </c>
      <c r="P758" t="s">
        <v>175</v>
      </c>
      <c r="Q758">
        <v>1</v>
      </c>
      <c r="R758" s="9">
        <v>48510</v>
      </c>
      <c r="S758" t="str">
        <f>IF(OR(Sheet1[[#This Row],[Salary_USD]]&lt;$V$13,Sheet1[[#This Row],[Salary_USD]]&gt;$V$12),"Outlier","Normal")</f>
        <v>Normal</v>
      </c>
    </row>
    <row r="759" spans="1:19" x14ac:dyDescent="0.25">
      <c r="A759" t="s">
        <v>19</v>
      </c>
      <c r="B759" t="s">
        <v>24</v>
      </c>
      <c r="C759" t="s">
        <v>50</v>
      </c>
      <c r="D759" t="s">
        <v>56</v>
      </c>
      <c r="E759" s="2">
        <v>92409</v>
      </c>
      <c r="F759" s="2">
        <v>11768</v>
      </c>
      <c r="G759" t="s">
        <v>67</v>
      </c>
      <c r="H759" t="s">
        <v>451</v>
      </c>
      <c r="I759" t="s">
        <v>81</v>
      </c>
      <c r="J759" t="s">
        <v>98</v>
      </c>
      <c r="K759" t="s">
        <v>123</v>
      </c>
      <c r="L759">
        <v>18</v>
      </c>
      <c r="M759">
        <v>16</v>
      </c>
      <c r="N759" t="s">
        <v>151</v>
      </c>
      <c r="O759" t="s">
        <v>154</v>
      </c>
      <c r="P759" t="s">
        <v>294</v>
      </c>
      <c r="Q759">
        <v>1</v>
      </c>
      <c r="R759" s="9">
        <v>92409</v>
      </c>
      <c r="S759" t="str">
        <f>IF(OR(Sheet1[[#This Row],[Salary_USD]]&lt;$V$13,Sheet1[[#This Row],[Salary_USD]]&gt;$V$12),"Outlier","Normal")</f>
        <v>Normal</v>
      </c>
    </row>
    <row r="760" spans="1:19" x14ac:dyDescent="0.25">
      <c r="A760" t="s">
        <v>21</v>
      </c>
      <c r="B760" t="s">
        <v>26</v>
      </c>
      <c r="C760" t="s">
        <v>48</v>
      </c>
      <c r="D760" t="s">
        <v>60</v>
      </c>
      <c r="E760" s="2">
        <v>136373</v>
      </c>
      <c r="F760" s="2">
        <v>472</v>
      </c>
      <c r="G760" t="s">
        <v>67</v>
      </c>
      <c r="H760" t="s">
        <v>56</v>
      </c>
      <c r="I760" t="s">
        <v>76</v>
      </c>
      <c r="J760" t="s">
        <v>100</v>
      </c>
      <c r="K760" t="s">
        <v>126</v>
      </c>
      <c r="L760">
        <v>15</v>
      </c>
      <c r="M760">
        <v>15</v>
      </c>
      <c r="N760" t="s">
        <v>149</v>
      </c>
      <c r="O760" t="s">
        <v>156</v>
      </c>
      <c r="P760" t="s">
        <v>170</v>
      </c>
      <c r="Q760">
        <v>1</v>
      </c>
      <c r="R760" s="9">
        <v>136373</v>
      </c>
      <c r="S760" t="str">
        <f>IF(OR(Sheet1[[#This Row],[Salary_USD]]&lt;$V$13,Sheet1[[#This Row],[Salary_USD]]&gt;$V$12),"Outlier","Normal")</f>
        <v>Normal</v>
      </c>
    </row>
    <row r="761" spans="1:19" x14ac:dyDescent="0.25">
      <c r="A761" t="s">
        <v>21</v>
      </c>
      <c r="B761" t="s">
        <v>26</v>
      </c>
      <c r="C761" t="s">
        <v>37</v>
      </c>
      <c r="D761" t="s">
        <v>58</v>
      </c>
      <c r="E761" s="2">
        <v>66367</v>
      </c>
      <c r="F761" s="2">
        <v>5276</v>
      </c>
      <c r="G761" t="s">
        <v>68</v>
      </c>
      <c r="H761" t="s">
        <v>70</v>
      </c>
      <c r="I761" t="s">
        <v>78</v>
      </c>
      <c r="J761" t="s">
        <v>109</v>
      </c>
      <c r="K761" t="s">
        <v>137</v>
      </c>
      <c r="L761">
        <v>15</v>
      </c>
      <c r="M761">
        <v>15</v>
      </c>
      <c r="N761" t="s">
        <v>148</v>
      </c>
      <c r="O761" t="s">
        <v>154</v>
      </c>
      <c r="P761" t="s">
        <v>181</v>
      </c>
      <c r="Q761">
        <v>1.25</v>
      </c>
      <c r="R761" s="9">
        <v>82958.75</v>
      </c>
      <c r="S761" t="str">
        <f>IF(OR(Sheet1[[#This Row],[Salary_USD]]&lt;$V$13,Sheet1[[#This Row],[Salary_USD]]&gt;$V$12),"Outlier","Normal")</f>
        <v>Normal</v>
      </c>
    </row>
    <row r="762" spans="1:19" x14ac:dyDescent="0.25">
      <c r="A762" t="s">
        <v>20</v>
      </c>
      <c r="B762" t="s">
        <v>23</v>
      </c>
      <c r="C762" t="s">
        <v>43</v>
      </c>
      <c r="D762" t="s">
        <v>59</v>
      </c>
      <c r="E762" s="2">
        <v>87517</v>
      </c>
      <c r="F762" s="2">
        <v>22769</v>
      </c>
      <c r="G762" t="s">
        <v>63</v>
      </c>
      <c r="H762" t="s">
        <v>451</v>
      </c>
      <c r="I762" t="s">
        <v>73</v>
      </c>
      <c r="J762" t="s">
        <v>83</v>
      </c>
      <c r="K762" t="s">
        <v>113</v>
      </c>
      <c r="L762">
        <v>4</v>
      </c>
      <c r="M762">
        <v>4</v>
      </c>
      <c r="N762" t="s">
        <v>150</v>
      </c>
      <c r="O762" t="s">
        <v>154</v>
      </c>
      <c r="P762" t="s">
        <v>181</v>
      </c>
      <c r="Q762">
        <v>1.1000000000000001</v>
      </c>
      <c r="R762" s="9">
        <v>96268.700000000012</v>
      </c>
      <c r="S762" t="str">
        <f>IF(OR(Sheet1[[#This Row],[Salary_USD]]&lt;$V$13,Sheet1[[#This Row],[Salary_USD]]&gt;$V$12),"Outlier","Normal")</f>
        <v>Normal</v>
      </c>
    </row>
    <row r="763" spans="1:19" x14ac:dyDescent="0.25">
      <c r="A763" t="s">
        <v>20</v>
      </c>
      <c r="B763" t="s">
        <v>32</v>
      </c>
      <c r="C763" t="s">
        <v>43</v>
      </c>
      <c r="D763" t="s">
        <v>56</v>
      </c>
      <c r="E763" s="2">
        <v>27660</v>
      </c>
      <c r="F763" s="2">
        <v>2600</v>
      </c>
      <c r="G763" t="s">
        <v>68</v>
      </c>
      <c r="H763" t="s">
        <v>70</v>
      </c>
      <c r="I763" t="s">
        <v>76</v>
      </c>
      <c r="J763" t="s">
        <v>100</v>
      </c>
      <c r="K763" t="s">
        <v>132</v>
      </c>
      <c r="L763">
        <v>3</v>
      </c>
      <c r="M763">
        <v>0</v>
      </c>
      <c r="N763" t="s">
        <v>153</v>
      </c>
      <c r="O763" t="s">
        <v>154</v>
      </c>
      <c r="P763" t="s">
        <v>169</v>
      </c>
      <c r="Q763">
        <v>1.25</v>
      </c>
      <c r="R763" s="9">
        <v>34575</v>
      </c>
      <c r="S763" t="str">
        <f>IF(OR(Sheet1[[#This Row],[Salary_USD]]&lt;$V$13,Sheet1[[#This Row],[Salary_USD]]&gt;$V$12),"Outlier","Normal")</f>
        <v>Normal</v>
      </c>
    </row>
    <row r="764" spans="1:19" x14ac:dyDescent="0.25">
      <c r="A764" t="s">
        <v>19</v>
      </c>
      <c r="B764" t="s">
        <v>31</v>
      </c>
      <c r="C764" t="s">
        <v>36</v>
      </c>
      <c r="D764" t="s">
        <v>55</v>
      </c>
      <c r="E764" s="2">
        <v>17798</v>
      </c>
      <c r="F764" s="2">
        <v>1780</v>
      </c>
      <c r="G764" t="s">
        <v>65</v>
      </c>
      <c r="H764" t="s">
        <v>56</v>
      </c>
      <c r="I764" t="s">
        <v>73</v>
      </c>
      <c r="J764" t="s">
        <v>102</v>
      </c>
      <c r="K764" t="s">
        <v>102</v>
      </c>
      <c r="L764">
        <v>7</v>
      </c>
      <c r="M764">
        <v>6</v>
      </c>
      <c r="N764" t="s">
        <v>151</v>
      </c>
      <c r="O764" t="s">
        <v>156</v>
      </c>
      <c r="P764" t="s">
        <v>348</v>
      </c>
      <c r="Q764">
        <v>0.73</v>
      </c>
      <c r="R764" s="9">
        <v>12992.539999999999</v>
      </c>
      <c r="S764" t="str">
        <f>IF(OR(Sheet1[[#This Row],[Salary_USD]]&lt;$V$13,Sheet1[[#This Row],[Salary_USD]]&gt;$V$12),"Outlier","Normal")</f>
        <v>Normal</v>
      </c>
    </row>
    <row r="765" spans="1:19" x14ac:dyDescent="0.25">
      <c r="A765" t="s">
        <v>19</v>
      </c>
      <c r="B765" t="s">
        <v>29</v>
      </c>
      <c r="C765" t="s">
        <v>42</v>
      </c>
      <c r="D765" t="s">
        <v>57</v>
      </c>
      <c r="E765" s="2">
        <v>108778</v>
      </c>
      <c r="F765" s="2">
        <v>12534</v>
      </c>
      <c r="G765" t="s">
        <v>65</v>
      </c>
      <c r="H765" t="s">
        <v>56</v>
      </c>
      <c r="I765" t="s">
        <v>78</v>
      </c>
      <c r="J765" t="s">
        <v>88</v>
      </c>
      <c r="K765" t="s">
        <v>136</v>
      </c>
      <c r="L765">
        <v>5</v>
      </c>
      <c r="M765">
        <v>4</v>
      </c>
      <c r="N765" t="s">
        <v>153</v>
      </c>
      <c r="O765" t="s">
        <v>155</v>
      </c>
      <c r="P765" t="s">
        <v>410</v>
      </c>
      <c r="Q765">
        <v>0.73</v>
      </c>
      <c r="R765" s="9">
        <v>79407.94</v>
      </c>
      <c r="S765" t="str">
        <f>IF(OR(Sheet1[[#This Row],[Salary_USD]]&lt;$V$13,Sheet1[[#This Row],[Salary_USD]]&gt;$V$12),"Outlier","Normal")</f>
        <v>Normal</v>
      </c>
    </row>
    <row r="766" spans="1:19" x14ac:dyDescent="0.25">
      <c r="A766" t="s">
        <v>20</v>
      </c>
      <c r="B766" t="s">
        <v>451</v>
      </c>
      <c r="C766" t="s">
        <v>451</v>
      </c>
      <c r="D766" t="s">
        <v>57</v>
      </c>
      <c r="E766" s="2">
        <v>0</v>
      </c>
      <c r="F766" s="2">
        <v>13457</v>
      </c>
      <c r="G766" t="s">
        <v>64</v>
      </c>
      <c r="H766" t="s">
        <v>70</v>
      </c>
      <c r="I766" t="s">
        <v>79</v>
      </c>
      <c r="J766" t="s">
        <v>107</v>
      </c>
      <c r="K766" t="s">
        <v>451</v>
      </c>
      <c r="L766">
        <v>0</v>
      </c>
      <c r="M766">
        <v>0</v>
      </c>
      <c r="N766" t="s">
        <v>149</v>
      </c>
      <c r="O766" t="s">
        <v>452</v>
      </c>
      <c r="P766" t="s">
        <v>190</v>
      </c>
      <c r="Q766">
        <v>0.65</v>
      </c>
      <c r="R766" s="9">
        <v>0</v>
      </c>
      <c r="S766" t="str">
        <f>IF(OR(Sheet1[[#This Row],[Salary_USD]]&lt;$V$13,Sheet1[[#This Row],[Salary_USD]]&gt;$V$12),"Outlier","Normal")</f>
        <v>Normal</v>
      </c>
    </row>
    <row r="767" spans="1:19" x14ac:dyDescent="0.25">
      <c r="A767" t="s">
        <v>19</v>
      </c>
      <c r="B767" t="s">
        <v>29</v>
      </c>
      <c r="C767" t="s">
        <v>48</v>
      </c>
      <c r="D767" t="s">
        <v>61</v>
      </c>
      <c r="E767" s="2">
        <v>50451</v>
      </c>
      <c r="F767" s="2">
        <v>621</v>
      </c>
      <c r="G767" t="s">
        <v>63</v>
      </c>
      <c r="H767" t="s">
        <v>56</v>
      </c>
      <c r="I767" t="s">
        <v>77</v>
      </c>
      <c r="J767" t="s">
        <v>110</v>
      </c>
      <c r="K767" t="s">
        <v>145</v>
      </c>
      <c r="L767">
        <v>3</v>
      </c>
      <c r="M767">
        <v>3</v>
      </c>
      <c r="N767" t="s">
        <v>151</v>
      </c>
      <c r="O767" t="s">
        <v>156</v>
      </c>
      <c r="P767" t="s">
        <v>171</v>
      </c>
      <c r="Q767">
        <v>1.1000000000000001</v>
      </c>
      <c r="R767" s="9">
        <v>55496.100000000006</v>
      </c>
      <c r="S767" t="str">
        <f>IF(OR(Sheet1[[#This Row],[Salary_USD]]&lt;$V$13,Sheet1[[#This Row],[Salary_USD]]&gt;$V$12),"Outlier","Normal")</f>
        <v>Normal</v>
      </c>
    </row>
    <row r="768" spans="1:19" x14ac:dyDescent="0.25">
      <c r="A768" t="s">
        <v>17</v>
      </c>
      <c r="B768" t="s">
        <v>35</v>
      </c>
      <c r="C768" t="s">
        <v>38</v>
      </c>
      <c r="D768" t="s">
        <v>62</v>
      </c>
      <c r="E768" s="2">
        <v>64518</v>
      </c>
      <c r="F768" s="2">
        <v>308</v>
      </c>
      <c r="G768" t="s">
        <v>65</v>
      </c>
      <c r="H768" t="s">
        <v>56</v>
      </c>
      <c r="I768" t="s">
        <v>78</v>
      </c>
      <c r="J768" t="s">
        <v>104</v>
      </c>
      <c r="K768" t="s">
        <v>131</v>
      </c>
      <c r="L768">
        <v>15</v>
      </c>
      <c r="M768">
        <v>15</v>
      </c>
      <c r="N768" t="s">
        <v>152</v>
      </c>
      <c r="O768" t="s">
        <v>154</v>
      </c>
      <c r="P768" t="s">
        <v>222</v>
      </c>
      <c r="Q768">
        <v>0.73</v>
      </c>
      <c r="R768" s="9">
        <v>47098.14</v>
      </c>
      <c r="S768" t="str">
        <f>IF(OR(Sheet1[[#This Row],[Salary_USD]]&lt;$V$13,Sheet1[[#This Row],[Salary_USD]]&gt;$V$12),"Outlier","Normal")</f>
        <v>Normal</v>
      </c>
    </row>
    <row r="769" spans="1:19" x14ac:dyDescent="0.25">
      <c r="A769" t="s">
        <v>18</v>
      </c>
      <c r="B769" t="s">
        <v>29</v>
      </c>
      <c r="C769" t="s">
        <v>38</v>
      </c>
      <c r="D769" t="s">
        <v>56</v>
      </c>
      <c r="E769" s="2">
        <v>45576</v>
      </c>
      <c r="F769" s="2">
        <v>136</v>
      </c>
      <c r="G769" t="s">
        <v>67</v>
      </c>
      <c r="H769" t="s">
        <v>70</v>
      </c>
      <c r="I769" t="s">
        <v>72</v>
      </c>
      <c r="J769" t="s">
        <v>82</v>
      </c>
      <c r="K769" t="s">
        <v>112</v>
      </c>
      <c r="L769">
        <v>1</v>
      </c>
      <c r="M769">
        <v>0</v>
      </c>
      <c r="N769" t="s">
        <v>151</v>
      </c>
      <c r="O769" t="s">
        <v>155</v>
      </c>
      <c r="P769" t="s">
        <v>175</v>
      </c>
      <c r="Q769">
        <v>1</v>
      </c>
      <c r="R769" s="9">
        <v>45576</v>
      </c>
      <c r="S769" t="str">
        <f>IF(OR(Sheet1[[#This Row],[Salary_USD]]&lt;$V$13,Sheet1[[#This Row],[Salary_USD]]&gt;$V$12),"Outlier","Normal")</f>
        <v>Normal</v>
      </c>
    </row>
    <row r="770" spans="1:19" x14ac:dyDescent="0.25">
      <c r="A770" t="s">
        <v>19</v>
      </c>
      <c r="B770" t="s">
        <v>32</v>
      </c>
      <c r="C770" t="s">
        <v>50</v>
      </c>
      <c r="D770" t="s">
        <v>56</v>
      </c>
      <c r="E770" s="2">
        <v>55691</v>
      </c>
      <c r="F770" s="2">
        <v>2088</v>
      </c>
      <c r="G770" t="s">
        <v>68</v>
      </c>
      <c r="H770" t="s">
        <v>71</v>
      </c>
      <c r="I770" t="s">
        <v>75</v>
      </c>
      <c r="J770" t="s">
        <v>108</v>
      </c>
      <c r="K770" t="s">
        <v>135</v>
      </c>
      <c r="L770">
        <v>4</v>
      </c>
      <c r="M770">
        <v>4</v>
      </c>
      <c r="N770" t="s">
        <v>148</v>
      </c>
      <c r="O770" t="s">
        <v>157</v>
      </c>
      <c r="P770" t="s">
        <v>206</v>
      </c>
      <c r="Q770">
        <v>1.25</v>
      </c>
      <c r="R770" s="9">
        <v>69613.75</v>
      </c>
      <c r="S770" t="str">
        <f>IF(OR(Sheet1[[#This Row],[Salary_USD]]&lt;$V$13,Sheet1[[#This Row],[Salary_USD]]&gt;$V$12),"Outlier","Normal")</f>
        <v>Normal</v>
      </c>
    </row>
    <row r="771" spans="1:19" x14ac:dyDescent="0.25">
      <c r="A771" t="s">
        <v>19</v>
      </c>
      <c r="B771" t="s">
        <v>34</v>
      </c>
      <c r="C771" t="s">
        <v>50</v>
      </c>
      <c r="D771" t="s">
        <v>60</v>
      </c>
      <c r="E771" s="2">
        <v>707626</v>
      </c>
      <c r="F771" s="2">
        <v>54255</v>
      </c>
      <c r="G771" t="s">
        <v>66</v>
      </c>
      <c r="H771" t="s">
        <v>70</v>
      </c>
      <c r="I771" t="s">
        <v>79</v>
      </c>
      <c r="J771" t="s">
        <v>107</v>
      </c>
      <c r="K771" t="s">
        <v>134</v>
      </c>
      <c r="L771">
        <v>8</v>
      </c>
      <c r="M771">
        <v>5</v>
      </c>
      <c r="N771" t="s">
        <v>149</v>
      </c>
      <c r="O771" t="s">
        <v>156</v>
      </c>
      <c r="P771" t="s">
        <v>212</v>
      </c>
      <c r="Q771">
        <v>1.2E-2</v>
      </c>
      <c r="R771" s="9">
        <v>8491.5120000000006</v>
      </c>
      <c r="S771" t="str">
        <f>IF(OR(Sheet1[[#This Row],[Salary_USD]]&lt;$V$13,Sheet1[[#This Row],[Salary_USD]]&gt;$V$12),"Outlier","Normal")</f>
        <v>Normal</v>
      </c>
    </row>
    <row r="772" spans="1:19" x14ac:dyDescent="0.25">
      <c r="A772" t="s">
        <v>17</v>
      </c>
      <c r="B772" t="s">
        <v>29</v>
      </c>
      <c r="C772" t="s">
        <v>45</v>
      </c>
      <c r="D772" t="s">
        <v>57</v>
      </c>
      <c r="E772" s="2">
        <v>101348</v>
      </c>
      <c r="F772" s="2">
        <v>10757</v>
      </c>
      <c r="G772" t="s">
        <v>65</v>
      </c>
      <c r="H772" t="s">
        <v>71</v>
      </c>
      <c r="I772" t="s">
        <v>72</v>
      </c>
      <c r="J772" t="s">
        <v>82</v>
      </c>
      <c r="K772" t="s">
        <v>112</v>
      </c>
      <c r="L772">
        <v>18</v>
      </c>
      <c r="M772">
        <v>16</v>
      </c>
      <c r="N772" t="s">
        <v>152</v>
      </c>
      <c r="O772" t="s">
        <v>154</v>
      </c>
      <c r="P772" t="s">
        <v>411</v>
      </c>
      <c r="Q772">
        <v>0.73</v>
      </c>
      <c r="R772" s="9">
        <v>73984.039999999994</v>
      </c>
      <c r="S772" t="str">
        <f>IF(OR(Sheet1[[#This Row],[Salary_USD]]&lt;$V$13,Sheet1[[#This Row],[Salary_USD]]&gt;$V$12),"Outlier","Normal")</f>
        <v>Normal</v>
      </c>
    </row>
    <row r="773" spans="1:19" x14ac:dyDescent="0.25">
      <c r="A773" t="s">
        <v>21</v>
      </c>
      <c r="B773" t="s">
        <v>22</v>
      </c>
      <c r="C773" t="s">
        <v>53</v>
      </c>
      <c r="D773" t="s">
        <v>62</v>
      </c>
      <c r="E773" s="2">
        <v>93370</v>
      </c>
      <c r="F773" s="2">
        <v>6915</v>
      </c>
      <c r="G773" t="s">
        <v>64</v>
      </c>
      <c r="H773" t="s">
        <v>56</v>
      </c>
      <c r="I773" t="s">
        <v>72</v>
      </c>
      <c r="J773" t="s">
        <v>82</v>
      </c>
      <c r="K773" t="s">
        <v>112</v>
      </c>
      <c r="L773">
        <v>12</v>
      </c>
      <c r="M773">
        <v>12</v>
      </c>
      <c r="N773" t="s">
        <v>153</v>
      </c>
      <c r="O773" t="s">
        <v>154</v>
      </c>
      <c r="P773" t="s">
        <v>412</v>
      </c>
      <c r="Q773">
        <v>0.65</v>
      </c>
      <c r="R773" s="9">
        <v>60690.5</v>
      </c>
      <c r="S773" t="str">
        <f>IF(OR(Sheet1[[#This Row],[Salary_USD]]&lt;$V$13,Sheet1[[#This Row],[Salary_USD]]&gt;$V$12),"Outlier","Normal")</f>
        <v>Normal</v>
      </c>
    </row>
    <row r="774" spans="1:19" x14ac:dyDescent="0.25">
      <c r="A774" t="s">
        <v>19</v>
      </c>
      <c r="B774" t="s">
        <v>34</v>
      </c>
      <c r="C774" t="s">
        <v>36</v>
      </c>
      <c r="D774" t="s">
        <v>55</v>
      </c>
      <c r="E774" s="2">
        <v>130893</v>
      </c>
      <c r="F774" s="2">
        <v>18109</v>
      </c>
      <c r="G774" t="s">
        <v>65</v>
      </c>
      <c r="H774" t="s">
        <v>451</v>
      </c>
      <c r="I774" t="s">
        <v>74</v>
      </c>
      <c r="J774" t="s">
        <v>84</v>
      </c>
      <c r="K774" t="s">
        <v>74</v>
      </c>
      <c r="L774">
        <v>8</v>
      </c>
      <c r="M774">
        <v>8</v>
      </c>
      <c r="N774" t="s">
        <v>149</v>
      </c>
      <c r="O774" t="s">
        <v>154</v>
      </c>
      <c r="P774" t="s">
        <v>190</v>
      </c>
      <c r="Q774">
        <v>0.73</v>
      </c>
      <c r="R774" s="9">
        <v>95551.89</v>
      </c>
      <c r="S774" t="str">
        <f>IF(OR(Sheet1[[#This Row],[Salary_USD]]&lt;$V$13,Sheet1[[#This Row],[Salary_USD]]&gt;$V$12),"Outlier","Normal")</f>
        <v>Normal</v>
      </c>
    </row>
    <row r="775" spans="1:19" x14ac:dyDescent="0.25">
      <c r="A775" t="s">
        <v>18</v>
      </c>
      <c r="B775" t="s">
        <v>23</v>
      </c>
      <c r="C775" t="s">
        <v>42</v>
      </c>
      <c r="D775" t="s">
        <v>60</v>
      </c>
      <c r="E775" s="2">
        <v>94681</v>
      </c>
      <c r="F775" s="2">
        <v>0</v>
      </c>
      <c r="G775" t="s">
        <v>64</v>
      </c>
      <c r="H775" t="s">
        <v>451</v>
      </c>
      <c r="I775" t="s">
        <v>77</v>
      </c>
      <c r="J775" t="s">
        <v>111</v>
      </c>
      <c r="K775" t="s">
        <v>141</v>
      </c>
      <c r="L775">
        <v>1</v>
      </c>
      <c r="M775">
        <v>1</v>
      </c>
      <c r="N775" t="s">
        <v>152</v>
      </c>
      <c r="O775" t="s">
        <v>157</v>
      </c>
      <c r="P775" t="s">
        <v>249</v>
      </c>
      <c r="Q775">
        <v>0.65</v>
      </c>
      <c r="R775" s="9">
        <v>61542.65</v>
      </c>
      <c r="S775" t="str">
        <f>IF(OR(Sheet1[[#This Row],[Salary_USD]]&lt;$V$13,Sheet1[[#This Row],[Salary_USD]]&gt;$V$12),"Outlier","Normal")</f>
        <v>Normal</v>
      </c>
    </row>
    <row r="776" spans="1:19" x14ac:dyDescent="0.25">
      <c r="A776" t="s">
        <v>19</v>
      </c>
      <c r="B776" t="s">
        <v>28</v>
      </c>
      <c r="C776" t="s">
        <v>43</v>
      </c>
      <c r="D776" t="s">
        <v>56</v>
      </c>
      <c r="E776" s="2">
        <v>93314</v>
      </c>
      <c r="F776" s="2">
        <v>1669</v>
      </c>
      <c r="G776" t="s">
        <v>65</v>
      </c>
      <c r="H776" t="s">
        <v>70</v>
      </c>
      <c r="I776" t="s">
        <v>78</v>
      </c>
      <c r="J776" t="s">
        <v>109</v>
      </c>
      <c r="K776" t="s">
        <v>137</v>
      </c>
      <c r="L776">
        <v>18</v>
      </c>
      <c r="M776">
        <v>18</v>
      </c>
      <c r="N776" t="s">
        <v>153</v>
      </c>
      <c r="O776" t="s">
        <v>156</v>
      </c>
      <c r="P776" t="s">
        <v>166</v>
      </c>
      <c r="Q776">
        <v>0.73</v>
      </c>
      <c r="R776" s="9">
        <v>68119.22</v>
      </c>
      <c r="S776" t="str">
        <f>IF(OR(Sheet1[[#This Row],[Salary_USD]]&lt;$V$13,Sheet1[[#This Row],[Salary_USD]]&gt;$V$12),"Outlier","Normal")</f>
        <v>Normal</v>
      </c>
    </row>
    <row r="777" spans="1:19" x14ac:dyDescent="0.25">
      <c r="A777" t="s">
        <v>20</v>
      </c>
      <c r="B777" t="s">
        <v>35</v>
      </c>
      <c r="C777" t="s">
        <v>39</v>
      </c>
      <c r="D777" t="s">
        <v>451</v>
      </c>
      <c r="E777" s="2">
        <v>1007063</v>
      </c>
      <c r="F777" s="2">
        <v>177222</v>
      </c>
      <c r="G777" t="s">
        <v>66</v>
      </c>
      <c r="H777" t="s">
        <v>56</v>
      </c>
      <c r="I777" t="s">
        <v>77</v>
      </c>
      <c r="J777" t="s">
        <v>89</v>
      </c>
      <c r="K777" t="s">
        <v>124</v>
      </c>
      <c r="L777">
        <v>3</v>
      </c>
      <c r="M777">
        <v>3</v>
      </c>
      <c r="N777" t="s">
        <v>153</v>
      </c>
      <c r="O777" t="s">
        <v>156</v>
      </c>
      <c r="P777" t="s">
        <v>174</v>
      </c>
      <c r="Q777">
        <v>1.2E-2</v>
      </c>
      <c r="R777" s="9">
        <v>12084.755999999999</v>
      </c>
      <c r="S777" t="str">
        <f>IF(OR(Sheet1[[#This Row],[Salary_USD]]&lt;$V$13,Sheet1[[#This Row],[Salary_USD]]&gt;$V$12),"Outlier","Normal")</f>
        <v>Normal</v>
      </c>
    </row>
    <row r="778" spans="1:19" x14ac:dyDescent="0.25">
      <c r="A778" t="s">
        <v>19</v>
      </c>
      <c r="B778" t="s">
        <v>23</v>
      </c>
      <c r="C778" t="s">
        <v>49</v>
      </c>
      <c r="D778" t="s">
        <v>60</v>
      </c>
      <c r="E778" s="2">
        <v>76226</v>
      </c>
      <c r="F778" s="2">
        <v>4114</v>
      </c>
      <c r="G778" t="s">
        <v>65</v>
      </c>
      <c r="H778" t="s">
        <v>69</v>
      </c>
      <c r="I778" t="s">
        <v>80</v>
      </c>
      <c r="J778" t="s">
        <v>93</v>
      </c>
      <c r="K778" t="s">
        <v>93</v>
      </c>
      <c r="L778">
        <v>20</v>
      </c>
      <c r="M778">
        <v>20</v>
      </c>
      <c r="N778" t="s">
        <v>153</v>
      </c>
      <c r="O778" t="s">
        <v>155</v>
      </c>
      <c r="P778" t="s">
        <v>166</v>
      </c>
      <c r="Q778">
        <v>0.73</v>
      </c>
      <c r="R778" s="9">
        <v>55644.979999999996</v>
      </c>
      <c r="S778" t="str">
        <f>IF(OR(Sheet1[[#This Row],[Salary_USD]]&lt;$V$13,Sheet1[[#This Row],[Salary_USD]]&gt;$V$12),"Outlier","Normal")</f>
        <v>Normal</v>
      </c>
    </row>
    <row r="779" spans="1:19" x14ac:dyDescent="0.25">
      <c r="A779" t="s">
        <v>21</v>
      </c>
      <c r="B779" t="s">
        <v>28</v>
      </c>
      <c r="C779" t="s">
        <v>50</v>
      </c>
      <c r="D779" t="s">
        <v>59</v>
      </c>
      <c r="E779" s="2">
        <v>736796</v>
      </c>
      <c r="F779" s="2">
        <v>90799</v>
      </c>
      <c r="G779" t="s">
        <v>66</v>
      </c>
      <c r="H779" t="s">
        <v>71</v>
      </c>
      <c r="I779" t="s">
        <v>76</v>
      </c>
      <c r="J779" t="s">
        <v>92</v>
      </c>
      <c r="K779" t="s">
        <v>119</v>
      </c>
      <c r="L779">
        <v>10</v>
      </c>
      <c r="M779">
        <v>9</v>
      </c>
      <c r="N779" t="s">
        <v>153</v>
      </c>
      <c r="O779" t="s">
        <v>155</v>
      </c>
      <c r="P779" t="s">
        <v>167</v>
      </c>
      <c r="Q779">
        <v>1.2E-2</v>
      </c>
      <c r="R779" s="9">
        <v>8841.5519999999997</v>
      </c>
      <c r="S779" t="str">
        <f>IF(OR(Sheet1[[#This Row],[Salary_USD]]&lt;$V$13,Sheet1[[#This Row],[Salary_USD]]&gt;$V$12),"Outlier","Normal")</f>
        <v>Normal</v>
      </c>
    </row>
    <row r="780" spans="1:19" x14ac:dyDescent="0.25">
      <c r="A780" t="s">
        <v>20</v>
      </c>
      <c r="B780" t="s">
        <v>35</v>
      </c>
      <c r="C780" t="s">
        <v>47</v>
      </c>
      <c r="D780" t="s">
        <v>62</v>
      </c>
      <c r="E780" s="2">
        <v>127580</v>
      </c>
      <c r="F780" s="2">
        <v>0</v>
      </c>
      <c r="G780" t="s">
        <v>65</v>
      </c>
      <c r="H780" t="s">
        <v>69</v>
      </c>
      <c r="I780" t="s">
        <v>76</v>
      </c>
      <c r="J780" t="s">
        <v>86</v>
      </c>
      <c r="K780" t="s">
        <v>115</v>
      </c>
      <c r="L780">
        <v>6</v>
      </c>
      <c r="M780">
        <v>3</v>
      </c>
      <c r="N780" t="s">
        <v>149</v>
      </c>
      <c r="O780" t="s">
        <v>156</v>
      </c>
      <c r="P780" t="s">
        <v>178</v>
      </c>
      <c r="Q780">
        <v>0.73</v>
      </c>
      <c r="R780" s="9">
        <v>93133.4</v>
      </c>
      <c r="S780" t="str">
        <f>IF(OR(Sheet1[[#This Row],[Salary_USD]]&lt;$V$13,Sheet1[[#This Row],[Salary_USD]]&gt;$V$12),"Outlier","Normal")</f>
        <v>Normal</v>
      </c>
    </row>
    <row r="781" spans="1:19" x14ac:dyDescent="0.25">
      <c r="A781" t="s">
        <v>20</v>
      </c>
      <c r="B781" t="s">
        <v>22</v>
      </c>
      <c r="C781" t="s">
        <v>53</v>
      </c>
      <c r="D781" t="s">
        <v>56</v>
      </c>
      <c r="E781" s="2">
        <v>106169</v>
      </c>
      <c r="F781" s="2">
        <v>17758</v>
      </c>
      <c r="G781" t="s">
        <v>65</v>
      </c>
      <c r="H781" t="s">
        <v>451</v>
      </c>
      <c r="I781" t="s">
        <v>72</v>
      </c>
      <c r="J781" t="s">
        <v>95</v>
      </c>
      <c r="K781" t="s">
        <v>120</v>
      </c>
      <c r="L781">
        <v>6</v>
      </c>
      <c r="M781">
        <v>6</v>
      </c>
      <c r="N781" t="s">
        <v>150</v>
      </c>
      <c r="O781" t="s">
        <v>157</v>
      </c>
      <c r="P781" t="s">
        <v>371</v>
      </c>
      <c r="Q781">
        <v>0.73</v>
      </c>
      <c r="R781" s="9">
        <v>77503.37</v>
      </c>
      <c r="S781" t="str">
        <f>IF(OR(Sheet1[[#This Row],[Salary_USD]]&lt;$V$13,Sheet1[[#This Row],[Salary_USD]]&gt;$V$12),"Outlier","Normal")</f>
        <v>Normal</v>
      </c>
    </row>
    <row r="782" spans="1:19" x14ac:dyDescent="0.25">
      <c r="A782" t="s">
        <v>19</v>
      </c>
      <c r="B782" t="s">
        <v>28</v>
      </c>
      <c r="C782" t="s">
        <v>46</v>
      </c>
      <c r="D782" t="s">
        <v>62</v>
      </c>
      <c r="E782" s="2">
        <v>57226</v>
      </c>
      <c r="F782" s="2">
        <v>0</v>
      </c>
      <c r="G782" t="s">
        <v>65</v>
      </c>
      <c r="H782" t="s">
        <v>71</v>
      </c>
      <c r="I782" t="s">
        <v>77</v>
      </c>
      <c r="J782" t="s">
        <v>97</v>
      </c>
      <c r="K782" t="s">
        <v>122</v>
      </c>
      <c r="L782">
        <v>10</v>
      </c>
      <c r="M782">
        <v>10</v>
      </c>
      <c r="N782" t="s">
        <v>150</v>
      </c>
      <c r="O782" t="s">
        <v>154</v>
      </c>
      <c r="P782" t="s">
        <v>174</v>
      </c>
      <c r="Q782">
        <v>0.73</v>
      </c>
      <c r="R782" s="9">
        <v>41774.979999999996</v>
      </c>
      <c r="S782" t="str">
        <f>IF(OR(Sheet1[[#This Row],[Salary_USD]]&lt;$V$13,Sheet1[[#This Row],[Salary_USD]]&gt;$V$12),"Outlier","Normal")</f>
        <v>Normal</v>
      </c>
    </row>
    <row r="783" spans="1:19" x14ac:dyDescent="0.25">
      <c r="A783" t="s">
        <v>19</v>
      </c>
      <c r="B783" t="s">
        <v>24</v>
      </c>
      <c r="C783" t="s">
        <v>37</v>
      </c>
      <c r="D783" t="s">
        <v>59</v>
      </c>
      <c r="E783" s="2">
        <v>71122</v>
      </c>
      <c r="F783" s="2">
        <v>2146</v>
      </c>
      <c r="G783" t="s">
        <v>67</v>
      </c>
      <c r="H783" t="s">
        <v>69</v>
      </c>
      <c r="I783" t="s">
        <v>74</v>
      </c>
      <c r="J783" t="s">
        <v>84</v>
      </c>
      <c r="K783" t="s">
        <v>74</v>
      </c>
      <c r="L783">
        <v>4</v>
      </c>
      <c r="M783">
        <v>4</v>
      </c>
      <c r="N783" t="s">
        <v>149</v>
      </c>
      <c r="O783" t="s">
        <v>156</v>
      </c>
      <c r="P783" t="s">
        <v>351</v>
      </c>
      <c r="Q783">
        <v>1</v>
      </c>
      <c r="R783" s="9">
        <v>71122</v>
      </c>
      <c r="S783" t="str">
        <f>IF(OR(Sheet1[[#This Row],[Salary_USD]]&lt;$V$13,Sheet1[[#This Row],[Salary_USD]]&gt;$V$12),"Outlier","Normal")</f>
        <v>Normal</v>
      </c>
    </row>
    <row r="784" spans="1:19" x14ac:dyDescent="0.25">
      <c r="A784" t="s">
        <v>19</v>
      </c>
      <c r="B784" t="s">
        <v>451</v>
      </c>
      <c r="C784" t="s">
        <v>451</v>
      </c>
      <c r="D784" t="s">
        <v>451</v>
      </c>
      <c r="E784" s="2">
        <v>0</v>
      </c>
      <c r="F784" s="2">
        <v>1021</v>
      </c>
      <c r="G784" t="s">
        <v>68</v>
      </c>
      <c r="H784" t="s">
        <v>71</v>
      </c>
      <c r="I784" t="s">
        <v>81</v>
      </c>
      <c r="J784" t="s">
        <v>94</v>
      </c>
      <c r="K784" t="s">
        <v>451</v>
      </c>
      <c r="L784">
        <v>0</v>
      </c>
      <c r="M784">
        <v>10</v>
      </c>
      <c r="N784" t="s">
        <v>148</v>
      </c>
      <c r="O784" t="s">
        <v>452</v>
      </c>
      <c r="P784" t="s">
        <v>188</v>
      </c>
      <c r="Q784">
        <v>1.25</v>
      </c>
      <c r="R784" s="9">
        <v>0</v>
      </c>
      <c r="S784" t="str">
        <f>IF(OR(Sheet1[[#This Row],[Salary_USD]]&lt;$V$13,Sheet1[[#This Row],[Salary_USD]]&gt;$V$12),"Outlier","Normal")</f>
        <v>Normal</v>
      </c>
    </row>
    <row r="785" spans="1:19" x14ac:dyDescent="0.25">
      <c r="A785" t="s">
        <v>20</v>
      </c>
      <c r="B785" t="s">
        <v>23</v>
      </c>
      <c r="C785" t="s">
        <v>46</v>
      </c>
      <c r="D785" t="s">
        <v>57</v>
      </c>
      <c r="E785" s="2">
        <v>123203</v>
      </c>
      <c r="F785" s="2">
        <v>0</v>
      </c>
      <c r="G785" t="s">
        <v>65</v>
      </c>
      <c r="H785" t="s">
        <v>451</v>
      </c>
      <c r="I785" t="s">
        <v>78</v>
      </c>
      <c r="J785" t="s">
        <v>105</v>
      </c>
      <c r="K785" t="s">
        <v>133</v>
      </c>
      <c r="L785">
        <v>4</v>
      </c>
      <c r="M785">
        <v>4</v>
      </c>
      <c r="N785" t="s">
        <v>150</v>
      </c>
      <c r="O785" t="s">
        <v>157</v>
      </c>
      <c r="P785" t="s">
        <v>169</v>
      </c>
      <c r="Q785">
        <v>0.73</v>
      </c>
      <c r="R785" s="9">
        <v>89938.19</v>
      </c>
      <c r="S785" t="str">
        <f>IF(OR(Sheet1[[#This Row],[Salary_USD]]&lt;$V$13,Sheet1[[#This Row],[Salary_USD]]&gt;$V$12),"Outlier","Normal")</f>
        <v>Normal</v>
      </c>
    </row>
    <row r="786" spans="1:19" x14ac:dyDescent="0.25">
      <c r="A786" t="s">
        <v>17</v>
      </c>
      <c r="B786" t="s">
        <v>29</v>
      </c>
      <c r="C786" t="s">
        <v>45</v>
      </c>
      <c r="D786" t="s">
        <v>55</v>
      </c>
      <c r="E786" s="2">
        <v>24544</v>
      </c>
      <c r="F786" s="2">
        <v>2175</v>
      </c>
      <c r="G786" t="s">
        <v>63</v>
      </c>
      <c r="H786" t="s">
        <v>451</v>
      </c>
      <c r="I786" t="s">
        <v>72</v>
      </c>
      <c r="J786" t="s">
        <v>82</v>
      </c>
      <c r="K786" t="s">
        <v>112</v>
      </c>
      <c r="L786">
        <v>15</v>
      </c>
      <c r="M786">
        <v>13</v>
      </c>
      <c r="N786" t="s">
        <v>152</v>
      </c>
      <c r="O786" t="s">
        <v>154</v>
      </c>
      <c r="P786" t="s">
        <v>249</v>
      </c>
      <c r="Q786">
        <v>1.1000000000000001</v>
      </c>
      <c r="R786" s="9">
        <v>26998.400000000001</v>
      </c>
      <c r="S786" t="str">
        <f>IF(OR(Sheet1[[#This Row],[Salary_USD]]&lt;$V$13,Sheet1[[#This Row],[Salary_USD]]&gt;$V$12),"Outlier","Normal")</f>
        <v>Normal</v>
      </c>
    </row>
    <row r="787" spans="1:19" x14ac:dyDescent="0.25">
      <c r="A787" t="s">
        <v>19</v>
      </c>
      <c r="B787" t="s">
        <v>22</v>
      </c>
      <c r="C787" t="s">
        <v>50</v>
      </c>
      <c r="D787" t="s">
        <v>61</v>
      </c>
      <c r="E787" s="2">
        <v>37776</v>
      </c>
      <c r="F787" s="2">
        <v>10737</v>
      </c>
      <c r="G787" t="s">
        <v>65</v>
      </c>
      <c r="H787" t="s">
        <v>70</v>
      </c>
      <c r="I787" t="s">
        <v>74</v>
      </c>
      <c r="J787" t="s">
        <v>84</v>
      </c>
      <c r="K787" t="s">
        <v>74</v>
      </c>
      <c r="L787">
        <v>18</v>
      </c>
      <c r="M787">
        <v>15</v>
      </c>
      <c r="N787" t="s">
        <v>149</v>
      </c>
      <c r="O787" t="s">
        <v>154</v>
      </c>
      <c r="P787" t="s">
        <v>194</v>
      </c>
      <c r="Q787">
        <v>0.73</v>
      </c>
      <c r="R787" s="9">
        <v>27576.48</v>
      </c>
      <c r="S787" t="str">
        <f>IF(OR(Sheet1[[#This Row],[Salary_USD]]&lt;$V$13,Sheet1[[#This Row],[Salary_USD]]&gt;$V$12),"Outlier","Normal")</f>
        <v>Normal</v>
      </c>
    </row>
    <row r="788" spans="1:19" x14ac:dyDescent="0.25">
      <c r="A788" t="s">
        <v>19</v>
      </c>
      <c r="B788" t="s">
        <v>35</v>
      </c>
      <c r="C788" t="s">
        <v>37</v>
      </c>
      <c r="D788" t="s">
        <v>55</v>
      </c>
      <c r="E788" s="2">
        <v>55386</v>
      </c>
      <c r="F788" s="2">
        <v>12504</v>
      </c>
      <c r="G788" t="s">
        <v>63</v>
      </c>
      <c r="H788" t="s">
        <v>56</v>
      </c>
      <c r="I788" t="s">
        <v>78</v>
      </c>
      <c r="J788" t="s">
        <v>88</v>
      </c>
      <c r="K788" t="s">
        <v>128</v>
      </c>
      <c r="L788">
        <v>4</v>
      </c>
      <c r="M788">
        <v>4</v>
      </c>
      <c r="N788" t="s">
        <v>148</v>
      </c>
      <c r="O788" t="s">
        <v>156</v>
      </c>
      <c r="P788" t="s">
        <v>256</v>
      </c>
      <c r="Q788">
        <v>1.1000000000000001</v>
      </c>
      <c r="R788" s="9">
        <v>60924.600000000006</v>
      </c>
      <c r="S788" t="str">
        <f>IF(OR(Sheet1[[#This Row],[Salary_USD]]&lt;$V$13,Sheet1[[#This Row],[Salary_USD]]&gt;$V$12),"Outlier","Normal")</f>
        <v>Normal</v>
      </c>
    </row>
    <row r="789" spans="1:19" x14ac:dyDescent="0.25">
      <c r="A789" t="s">
        <v>17</v>
      </c>
      <c r="B789" t="s">
        <v>35</v>
      </c>
      <c r="C789" t="s">
        <v>43</v>
      </c>
      <c r="D789" t="s">
        <v>451</v>
      </c>
      <c r="E789" s="2">
        <v>46147</v>
      </c>
      <c r="F789" s="2">
        <v>4863</v>
      </c>
      <c r="G789" t="s">
        <v>64</v>
      </c>
      <c r="H789" t="s">
        <v>69</v>
      </c>
      <c r="I789" t="s">
        <v>74</v>
      </c>
      <c r="J789" t="s">
        <v>84</v>
      </c>
      <c r="K789" t="s">
        <v>74</v>
      </c>
      <c r="L789">
        <v>12</v>
      </c>
      <c r="M789">
        <v>12</v>
      </c>
      <c r="N789" t="s">
        <v>149</v>
      </c>
      <c r="O789" t="s">
        <v>157</v>
      </c>
      <c r="P789" t="s">
        <v>413</v>
      </c>
      <c r="Q789">
        <v>0.65</v>
      </c>
      <c r="R789" s="9">
        <v>29995.55</v>
      </c>
      <c r="S789" t="str">
        <f>IF(OR(Sheet1[[#This Row],[Salary_USD]]&lt;$V$13,Sheet1[[#This Row],[Salary_USD]]&gt;$V$12),"Outlier","Normal")</f>
        <v>Normal</v>
      </c>
    </row>
    <row r="790" spans="1:19" x14ac:dyDescent="0.25">
      <c r="A790" t="s">
        <v>21</v>
      </c>
      <c r="B790" t="s">
        <v>35</v>
      </c>
      <c r="C790" t="s">
        <v>49</v>
      </c>
      <c r="D790" t="s">
        <v>54</v>
      </c>
      <c r="E790" s="2">
        <v>507853</v>
      </c>
      <c r="F790" s="2">
        <v>10392</v>
      </c>
      <c r="G790" t="s">
        <v>66</v>
      </c>
      <c r="H790" t="s">
        <v>451</v>
      </c>
      <c r="I790" t="s">
        <v>80</v>
      </c>
      <c r="J790" t="s">
        <v>106</v>
      </c>
      <c r="K790" t="s">
        <v>106</v>
      </c>
      <c r="L790">
        <v>8</v>
      </c>
      <c r="M790">
        <v>5</v>
      </c>
      <c r="N790" t="s">
        <v>152</v>
      </c>
      <c r="O790" t="s">
        <v>155</v>
      </c>
      <c r="P790" t="s">
        <v>178</v>
      </c>
      <c r="Q790">
        <v>1.2E-2</v>
      </c>
      <c r="R790" s="9">
        <v>6094.2359999999999</v>
      </c>
      <c r="S790" t="str">
        <f>IF(OR(Sheet1[[#This Row],[Salary_USD]]&lt;$V$13,Sheet1[[#This Row],[Salary_USD]]&gt;$V$12),"Outlier","Normal")</f>
        <v>Normal</v>
      </c>
    </row>
    <row r="791" spans="1:19" x14ac:dyDescent="0.25">
      <c r="A791" t="s">
        <v>17</v>
      </c>
      <c r="B791" t="s">
        <v>22</v>
      </c>
      <c r="C791" t="s">
        <v>47</v>
      </c>
      <c r="D791" t="s">
        <v>62</v>
      </c>
      <c r="E791" s="2">
        <v>1072600</v>
      </c>
      <c r="F791" s="2">
        <v>35497</v>
      </c>
      <c r="G791" t="s">
        <v>66</v>
      </c>
      <c r="H791" t="s">
        <v>70</v>
      </c>
      <c r="I791" t="s">
        <v>75</v>
      </c>
      <c r="J791" t="s">
        <v>108</v>
      </c>
      <c r="K791" t="s">
        <v>135</v>
      </c>
      <c r="L791">
        <v>10</v>
      </c>
      <c r="M791">
        <v>10</v>
      </c>
      <c r="N791" t="s">
        <v>151</v>
      </c>
      <c r="O791" t="s">
        <v>157</v>
      </c>
      <c r="P791" t="s">
        <v>174</v>
      </c>
      <c r="Q791">
        <v>1.2E-2</v>
      </c>
      <c r="R791" s="9">
        <v>12871.2</v>
      </c>
      <c r="S791" t="str">
        <f>IF(OR(Sheet1[[#This Row],[Salary_USD]]&lt;$V$13,Sheet1[[#This Row],[Salary_USD]]&gt;$V$12),"Outlier","Normal")</f>
        <v>Normal</v>
      </c>
    </row>
    <row r="792" spans="1:19" x14ac:dyDescent="0.25">
      <c r="A792" t="s">
        <v>17</v>
      </c>
      <c r="B792" t="s">
        <v>35</v>
      </c>
      <c r="C792" t="s">
        <v>53</v>
      </c>
      <c r="D792" t="s">
        <v>54</v>
      </c>
      <c r="E792" s="2">
        <v>28978</v>
      </c>
      <c r="F792" s="2">
        <v>0</v>
      </c>
      <c r="G792" t="s">
        <v>67</v>
      </c>
      <c r="H792" t="s">
        <v>71</v>
      </c>
      <c r="I792" t="s">
        <v>80</v>
      </c>
      <c r="J792" t="s">
        <v>106</v>
      </c>
      <c r="K792" t="s">
        <v>106</v>
      </c>
      <c r="L792">
        <v>18</v>
      </c>
      <c r="M792">
        <v>16</v>
      </c>
      <c r="N792" t="s">
        <v>153</v>
      </c>
      <c r="O792" t="s">
        <v>155</v>
      </c>
      <c r="P792" t="s">
        <v>193</v>
      </c>
      <c r="Q792">
        <v>1</v>
      </c>
      <c r="R792" s="9">
        <v>28978</v>
      </c>
      <c r="S792" t="str">
        <f>IF(OR(Sheet1[[#This Row],[Salary_USD]]&lt;$V$13,Sheet1[[#This Row],[Salary_USD]]&gt;$V$12),"Outlier","Normal")</f>
        <v>Normal</v>
      </c>
    </row>
    <row r="793" spans="1:19" x14ac:dyDescent="0.25">
      <c r="A793" t="s">
        <v>20</v>
      </c>
      <c r="B793" t="s">
        <v>24</v>
      </c>
      <c r="C793" t="s">
        <v>53</v>
      </c>
      <c r="D793" t="s">
        <v>54</v>
      </c>
      <c r="E793" s="2">
        <v>95318</v>
      </c>
      <c r="F793" s="2">
        <v>3845</v>
      </c>
      <c r="G793" t="s">
        <v>67</v>
      </c>
      <c r="H793" t="s">
        <v>71</v>
      </c>
      <c r="I793" t="s">
        <v>73</v>
      </c>
      <c r="J793" t="s">
        <v>102</v>
      </c>
      <c r="K793" t="s">
        <v>102</v>
      </c>
      <c r="L793">
        <v>7</v>
      </c>
      <c r="M793">
        <v>5</v>
      </c>
      <c r="N793" t="s">
        <v>153</v>
      </c>
      <c r="O793" t="s">
        <v>156</v>
      </c>
      <c r="P793" t="s">
        <v>256</v>
      </c>
      <c r="Q793">
        <v>1</v>
      </c>
      <c r="R793" s="9">
        <v>95318</v>
      </c>
      <c r="S793" t="str">
        <f>IF(OR(Sheet1[[#This Row],[Salary_USD]]&lt;$V$13,Sheet1[[#This Row],[Salary_USD]]&gt;$V$12),"Outlier","Normal")</f>
        <v>Normal</v>
      </c>
    </row>
    <row r="794" spans="1:19" x14ac:dyDescent="0.25">
      <c r="A794" t="s">
        <v>21</v>
      </c>
      <c r="B794" t="s">
        <v>33</v>
      </c>
      <c r="C794" t="s">
        <v>36</v>
      </c>
      <c r="D794" t="s">
        <v>61</v>
      </c>
      <c r="E794" s="2">
        <v>71716</v>
      </c>
      <c r="F794" s="2">
        <v>5049</v>
      </c>
      <c r="G794" t="s">
        <v>68</v>
      </c>
      <c r="H794" t="s">
        <v>451</v>
      </c>
      <c r="I794" t="s">
        <v>74</v>
      </c>
      <c r="J794" t="s">
        <v>84</v>
      </c>
      <c r="K794" t="s">
        <v>74</v>
      </c>
      <c r="L794">
        <v>15</v>
      </c>
      <c r="M794">
        <v>15</v>
      </c>
      <c r="N794" t="s">
        <v>150</v>
      </c>
      <c r="O794" t="s">
        <v>155</v>
      </c>
      <c r="P794" t="s">
        <v>171</v>
      </c>
      <c r="Q794">
        <v>1.25</v>
      </c>
      <c r="R794" s="9">
        <v>89645</v>
      </c>
      <c r="S794" t="str">
        <f>IF(OR(Sheet1[[#This Row],[Salary_USD]]&lt;$V$13,Sheet1[[#This Row],[Salary_USD]]&gt;$V$12),"Outlier","Normal")</f>
        <v>Normal</v>
      </c>
    </row>
    <row r="795" spans="1:19" x14ac:dyDescent="0.25">
      <c r="A795" t="s">
        <v>20</v>
      </c>
      <c r="B795" t="s">
        <v>26</v>
      </c>
      <c r="C795" t="s">
        <v>53</v>
      </c>
      <c r="D795" t="s">
        <v>62</v>
      </c>
      <c r="E795" s="2">
        <v>28620</v>
      </c>
      <c r="F795" s="2">
        <v>3778</v>
      </c>
      <c r="G795" t="s">
        <v>63</v>
      </c>
      <c r="H795" t="s">
        <v>69</v>
      </c>
      <c r="I795" t="s">
        <v>74</v>
      </c>
      <c r="J795" t="s">
        <v>84</v>
      </c>
      <c r="K795" t="s">
        <v>74</v>
      </c>
      <c r="L795">
        <v>5</v>
      </c>
      <c r="M795">
        <v>4</v>
      </c>
      <c r="N795" t="s">
        <v>152</v>
      </c>
      <c r="O795" t="s">
        <v>156</v>
      </c>
      <c r="P795" t="s">
        <v>299</v>
      </c>
      <c r="Q795">
        <v>1.1000000000000001</v>
      </c>
      <c r="R795" s="9">
        <v>31482.000000000004</v>
      </c>
      <c r="S795" t="str">
        <f>IF(OR(Sheet1[[#This Row],[Salary_USD]]&lt;$V$13,Sheet1[[#This Row],[Salary_USD]]&gt;$V$12),"Outlier","Normal")</f>
        <v>Normal</v>
      </c>
    </row>
    <row r="796" spans="1:19" x14ac:dyDescent="0.25">
      <c r="A796" t="s">
        <v>20</v>
      </c>
      <c r="B796" t="s">
        <v>24</v>
      </c>
      <c r="C796" t="s">
        <v>38</v>
      </c>
      <c r="D796" t="s">
        <v>59</v>
      </c>
      <c r="E796" s="2">
        <v>69481</v>
      </c>
      <c r="F796" s="2">
        <v>2451</v>
      </c>
      <c r="G796" t="s">
        <v>64</v>
      </c>
      <c r="H796" t="s">
        <v>70</v>
      </c>
      <c r="I796" t="s">
        <v>72</v>
      </c>
      <c r="J796" t="s">
        <v>95</v>
      </c>
      <c r="K796" t="s">
        <v>120</v>
      </c>
      <c r="L796">
        <v>5</v>
      </c>
      <c r="M796">
        <v>5</v>
      </c>
      <c r="N796" t="s">
        <v>148</v>
      </c>
      <c r="O796" t="s">
        <v>157</v>
      </c>
      <c r="P796" t="s">
        <v>173</v>
      </c>
      <c r="Q796">
        <v>0.65</v>
      </c>
      <c r="R796" s="9">
        <v>45162.65</v>
      </c>
      <c r="S796" t="str">
        <f>IF(OR(Sheet1[[#This Row],[Salary_USD]]&lt;$V$13,Sheet1[[#This Row],[Salary_USD]]&gt;$V$12),"Outlier","Normal")</f>
        <v>Normal</v>
      </c>
    </row>
    <row r="797" spans="1:19" x14ac:dyDescent="0.25">
      <c r="A797" t="s">
        <v>19</v>
      </c>
      <c r="B797" t="s">
        <v>35</v>
      </c>
      <c r="C797" t="s">
        <v>43</v>
      </c>
      <c r="D797" t="s">
        <v>56</v>
      </c>
      <c r="E797" s="2">
        <v>79091</v>
      </c>
      <c r="F797" s="2">
        <v>1560</v>
      </c>
      <c r="G797" t="s">
        <v>67</v>
      </c>
      <c r="H797" t="s">
        <v>71</v>
      </c>
      <c r="I797" t="s">
        <v>77</v>
      </c>
      <c r="J797" t="s">
        <v>110</v>
      </c>
      <c r="K797" t="s">
        <v>139</v>
      </c>
      <c r="L797">
        <v>10</v>
      </c>
      <c r="M797">
        <v>10</v>
      </c>
      <c r="N797" t="s">
        <v>149</v>
      </c>
      <c r="O797" t="s">
        <v>155</v>
      </c>
      <c r="P797" t="s">
        <v>313</v>
      </c>
      <c r="Q797">
        <v>1</v>
      </c>
      <c r="R797" s="9">
        <v>79091</v>
      </c>
      <c r="S797" t="str">
        <f>IF(OR(Sheet1[[#This Row],[Salary_USD]]&lt;$V$13,Sheet1[[#This Row],[Salary_USD]]&gt;$V$12),"Outlier","Normal")</f>
        <v>Normal</v>
      </c>
    </row>
    <row r="798" spans="1:19" x14ac:dyDescent="0.25">
      <c r="A798" t="s">
        <v>21</v>
      </c>
      <c r="B798" t="s">
        <v>26</v>
      </c>
      <c r="C798" t="s">
        <v>47</v>
      </c>
      <c r="D798" t="s">
        <v>59</v>
      </c>
      <c r="E798" s="2">
        <v>138876</v>
      </c>
      <c r="F798" s="2">
        <v>6600</v>
      </c>
      <c r="G798" t="s">
        <v>64</v>
      </c>
      <c r="H798" t="s">
        <v>56</v>
      </c>
      <c r="I798" t="s">
        <v>73</v>
      </c>
      <c r="J798" t="s">
        <v>83</v>
      </c>
      <c r="K798" t="s">
        <v>113</v>
      </c>
      <c r="L798">
        <v>20</v>
      </c>
      <c r="M798">
        <v>17</v>
      </c>
      <c r="N798" t="s">
        <v>150</v>
      </c>
      <c r="O798" t="s">
        <v>155</v>
      </c>
      <c r="P798" t="s">
        <v>165</v>
      </c>
      <c r="Q798">
        <v>0.65</v>
      </c>
      <c r="R798" s="9">
        <v>90269.400000000009</v>
      </c>
      <c r="S798" t="str">
        <f>IF(OR(Sheet1[[#This Row],[Salary_USD]]&lt;$V$13,Sheet1[[#This Row],[Salary_USD]]&gt;$V$12),"Outlier","Normal")</f>
        <v>Normal</v>
      </c>
    </row>
    <row r="799" spans="1:19" x14ac:dyDescent="0.25">
      <c r="A799" t="s">
        <v>19</v>
      </c>
      <c r="B799" t="s">
        <v>33</v>
      </c>
      <c r="C799" t="s">
        <v>39</v>
      </c>
      <c r="D799" t="s">
        <v>60</v>
      </c>
      <c r="E799" s="2">
        <v>70495</v>
      </c>
      <c r="F799" s="2">
        <v>579</v>
      </c>
      <c r="G799" t="s">
        <v>67</v>
      </c>
      <c r="H799" t="s">
        <v>71</v>
      </c>
      <c r="I799" t="s">
        <v>77</v>
      </c>
      <c r="J799" t="s">
        <v>89</v>
      </c>
      <c r="K799" t="s">
        <v>124</v>
      </c>
      <c r="L799">
        <v>18</v>
      </c>
      <c r="M799">
        <v>18</v>
      </c>
      <c r="N799" t="s">
        <v>149</v>
      </c>
      <c r="O799" t="s">
        <v>157</v>
      </c>
      <c r="P799" t="s">
        <v>173</v>
      </c>
      <c r="Q799">
        <v>1</v>
      </c>
      <c r="R799" s="9">
        <v>70495</v>
      </c>
      <c r="S799" t="str">
        <f>IF(OR(Sheet1[[#This Row],[Salary_USD]]&lt;$V$13,Sheet1[[#This Row],[Salary_USD]]&gt;$V$12),"Outlier","Normal")</f>
        <v>Normal</v>
      </c>
    </row>
    <row r="800" spans="1:19" x14ac:dyDescent="0.25">
      <c r="A800" t="s">
        <v>21</v>
      </c>
      <c r="B800" t="s">
        <v>24</v>
      </c>
      <c r="C800" t="s">
        <v>51</v>
      </c>
      <c r="D800" t="s">
        <v>54</v>
      </c>
      <c r="E800" s="2">
        <v>12283</v>
      </c>
      <c r="F800" s="2">
        <v>1449</v>
      </c>
      <c r="G800" t="s">
        <v>64</v>
      </c>
      <c r="H800" t="s">
        <v>71</v>
      </c>
      <c r="I800" t="s">
        <v>79</v>
      </c>
      <c r="J800" t="s">
        <v>107</v>
      </c>
      <c r="K800" t="s">
        <v>134</v>
      </c>
      <c r="L800">
        <v>10</v>
      </c>
      <c r="M800">
        <v>8</v>
      </c>
      <c r="N800" t="s">
        <v>149</v>
      </c>
      <c r="O800" t="s">
        <v>155</v>
      </c>
      <c r="P800" t="s">
        <v>162</v>
      </c>
      <c r="Q800">
        <v>0.65</v>
      </c>
      <c r="R800" s="9">
        <v>7983.95</v>
      </c>
      <c r="S800" t="str">
        <f>IF(OR(Sheet1[[#This Row],[Salary_USD]]&lt;$V$13,Sheet1[[#This Row],[Salary_USD]]&gt;$V$12),"Outlier","Normal")</f>
        <v>Normal</v>
      </c>
    </row>
    <row r="801" spans="1:19" x14ac:dyDescent="0.25">
      <c r="A801" t="s">
        <v>19</v>
      </c>
      <c r="B801" t="s">
        <v>24</v>
      </c>
      <c r="C801" t="s">
        <v>41</v>
      </c>
      <c r="D801" t="s">
        <v>56</v>
      </c>
      <c r="E801" s="2">
        <v>120834</v>
      </c>
      <c r="F801" s="2">
        <v>630</v>
      </c>
      <c r="G801" t="s">
        <v>67</v>
      </c>
      <c r="H801" t="s">
        <v>451</v>
      </c>
      <c r="I801" t="s">
        <v>76</v>
      </c>
      <c r="J801" t="s">
        <v>86</v>
      </c>
      <c r="K801" t="s">
        <v>115</v>
      </c>
      <c r="L801">
        <v>5</v>
      </c>
      <c r="M801">
        <v>5</v>
      </c>
      <c r="N801" t="s">
        <v>153</v>
      </c>
      <c r="O801" t="s">
        <v>155</v>
      </c>
      <c r="P801" t="s">
        <v>212</v>
      </c>
      <c r="Q801">
        <v>1</v>
      </c>
      <c r="R801" s="9">
        <v>120834</v>
      </c>
      <c r="S801" t="str">
        <f>IF(OR(Sheet1[[#This Row],[Salary_USD]]&lt;$V$13,Sheet1[[#This Row],[Salary_USD]]&gt;$V$12),"Outlier","Normal")</f>
        <v>Normal</v>
      </c>
    </row>
    <row r="802" spans="1:19" x14ac:dyDescent="0.25">
      <c r="A802" t="s">
        <v>17</v>
      </c>
      <c r="B802" t="s">
        <v>33</v>
      </c>
      <c r="C802" t="s">
        <v>36</v>
      </c>
      <c r="D802" t="s">
        <v>59</v>
      </c>
      <c r="E802" s="2">
        <v>96594</v>
      </c>
      <c r="F802" s="2">
        <v>6805</v>
      </c>
      <c r="G802" t="s">
        <v>68</v>
      </c>
      <c r="H802" t="s">
        <v>56</v>
      </c>
      <c r="I802" t="s">
        <v>79</v>
      </c>
      <c r="J802" t="s">
        <v>107</v>
      </c>
      <c r="K802" t="s">
        <v>134</v>
      </c>
      <c r="L802">
        <v>9</v>
      </c>
      <c r="M802">
        <v>9</v>
      </c>
      <c r="N802" t="s">
        <v>150</v>
      </c>
      <c r="O802" t="s">
        <v>156</v>
      </c>
      <c r="P802" t="s">
        <v>173</v>
      </c>
      <c r="Q802">
        <v>1.25</v>
      </c>
      <c r="R802" s="9">
        <v>120742.5</v>
      </c>
      <c r="S802" t="str">
        <f>IF(OR(Sheet1[[#This Row],[Salary_USD]]&lt;$V$13,Sheet1[[#This Row],[Salary_USD]]&gt;$V$12),"Outlier","Normal")</f>
        <v>Normal</v>
      </c>
    </row>
    <row r="803" spans="1:19" x14ac:dyDescent="0.25">
      <c r="A803" t="s">
        <v>20</v>
      </c>
      <c r="B803" t="s">
        <v>33</v>
      </c>
      <c r="C803" t="s">
        <v>53</v>
      </c>
      <c r="D803" t="s">
        <v>59</v>
      </c>
      <c r="E803" s="2">
        <v>64947</v>
      </c>
      <c r="F803" s="2">
        <v>12522</v>
      </c>
      <c r="G803" t="s">
        <v>65</v>
      </c>
      <c r="H803" t="s">
        <v>71</v>
      </c>
      <c r="I803" t="s">
        <v>80</v>
      </c>
      <c r="J803" t="s">
        <v>93</v>
      </c>
      <c r="K803" t="s">
        <v>93</v>
      </c>
      <c r="L803">
        <v>0</v>
      </c>
      <c r="M803">
        <v>0</v>
      </c>
      <c r="N803" t="s">
        <v>153</v>
      </c>
      <c r="O803" t="s">
        <v>155</v>
      </c>
      <c r="P803" t="s">
        <v>414</v>
      </c>
      <c r="Q803">
        <v>0.73</v>
      </c>
      <c r="R803" s="9">
        <v>47411.31</v>
      </c>
      <c r="S803" t="str">
        <f>IF(OR(Sheet1[[#This Row],[Salary_USD]]&lt;$V$13,Sheet1[[#This Row],[Salary_USD]]&gt;$V$12),"Outlier","Normal")</f>
        <v>Normal</v>
      </c>
    </row>
    <row r="804" spans="1:19" x14ac:dyDescent="0.25">
      <c r="A804" t="s">
        <v>17</v>
      </c>
      <c r="B804" t="s">
        <v>22</v>
      </c>
      <c r="C804" t="s">
        <v>42</v>
      </c>
      <c r="D804" t="s">
        <v>58</v>
      </c>
      <c r="E804" s="2">
        <v>95149</v>
      </c>
      <c r="F804" s="2">
        <v>2534</v>
      </c>
      <c r="G804" t="s">
        <v>65</v>
      </c>
      <c r="H804" t="s">
        <v>71</v>
      </c>
      <c r="I804" t="s">
        <v>79</v>
      </c>
      <c r="J804" t="s">
        <v>107</v>
      </c>
      <c r="K804" t="s">
        <v>134</v>
      </c>
      <c r="L804">
        <v>25</v>
      </c>
      <c r="M804">
        <v>23</v>
      </c>
      <c r="N804" t="s">
        <v>152</v>
      </c>
      <c r="O804" t="s">
        <v>154</v>
      </c>
      <c r="P804" t="s">
        <v>188</v>
      </c>
      <c r="Q804">
        <v>0.73</v>
      </c>
      <c r="R804" s="9">
        <v>69458.77</v>
      </c>
      <c r="S804" t="str">
        <f>IF(OR(Sheet1[[#This Row],[Salary_USD]]&lt;$V$13,Sheet1[[#This Row],[Salary_USD]]&gt;$V$12),"Outlier","Normal")</f>
        <v>Normal</v>
      </c>
    </row>
    <row r="805" spans="1:19" x14ac:dyDescent="0.25">
      <c r="A805" t="s">
        <v>21</v>
      </c>
      <c r="B805" t="s">
        <v>29</v>
      </c>
      <c r="C805" t="s">
        <v>45</v>
      </c>
      <c r="D805" t="s">
        <v>56</v>
      </c>
      <c r="E805" s="2">
        <v>92720</v>
      </c>
      <c r="F805" s="2">
        <v>1033</v>
      </c>
      <c r="G805" t="s">
        <v>68</v>
      </c>
      <c r="H805" t="s">
        <v>451</v>
      </c>
      <c r="I805" t="s">
        <v>72</v>
      </c>
      <c r="J805" t="s">
        <v>95</v>
      </c>
      <c r="K805" t="s">
        <v>120</v>
      </c>
      <c r="L805">
        <v>20</v>
      </c>
      <c r="M805">
        <v>18</v>
      </c>
      <c r="N805" t="s">
        <v>153</v>
      </c>
      <c r="O805" t="s">
        <v>155</v>
      </c>
      <c r="P805" t="s">
        <v>244</v>
      </c>
      <c r="Q805">
        <v>1.25</v>
      </c>
      <c r="R805" s="9">
        <v>115900</v>
      </c>
      <c r="S805" t="str">
        <f>IF(OR(Sheet1[[#This Row],[Salary_USD]]&lt;$V$13,Sheet1[[#This Row],[Salary_USD]]&gt;$V$12),"Outlier","Normal")</f>
        <v>Normal</v>
      </c>
    </row>
    <row r="806" spans="1:19" x14ac:dyDescent="0.25">
      <c r="A806" t="s">
        <v>19</v>
      </c>
      <c r="B806" t="s">
        <v>35</v>
      </c>
      <c r="C806" t="s">
        <v>48</v>
      </c>
      <c r="D806" t="s">
        <v>62</v>
      </c>
      <c r="E806" s="2">
        <v>99696</v>
      </c>
      <c r="F806" s="2">
        <v>14356</v>
      </c>
      <c r="G806" t="s">
        <v>65</v>
      </c>
      <c r="H806" t="s">
        <v>56</v>
      </c>
      <c r="I806" t="s">
        <v>80</v>
      </c>
      <c r="J806" t="s">
        <v>93</v>
      </c>
      <c r="K806" t="s">
        <v>93</v>
      </c>
      <c r="L806">
        <v>9</v>
      </c>
      <c r="M806">
        <v>9</v>
      </c>
      <c r="N806" t="s">
        <v>152</v>
      </c>
      <c r="O806" t="s">
        <v>155</v>
      </c>
      <c r="P806" t="s">
        <v>271</v>
      </c>
      <c r="Q806">
        <v>0.73</v>
      </c>
      <c r="R806" s="9">
        <v>72778.080000000002</v>
      </c>
      <c r="S806" t="str">
        <f>IF(OR(Sheet1[[#This Row],[Salary_USD]]&lt;$V$13,Sheet1[[#This Row],[Salary_USD]]&gt;$V$12),"Outlier","Normal")</f>
        <v>Normal</v>
      </c>
    </row>
    <row r="807" spans="1:19" x14ac:dyDescent="0.25">
      <c r="A807" t="s">
        <v>21</v>
      </c>
      <c r="B807" t="s">
        <v>35</v>
      </c>
      <c r="C807" t="s">
        <v>44</v>
      </c>
      <c r="D807" t="s">
        <v>55</v>
      </c>
      <c r="E807" s="2">
        <v>42102</v>
      </c>
      <c r="F807" s="2">
        <v>6011</v>
      </c>
      <c r="G807" t="s">
        <v>68</v>
      </c>
      <c r="H807" t="s">
        <v>451</v>
      </c>
      <c r="I807" t="s">
        <v>74</v>
      </c>
      <c r="J807" t="s">
        <v>84</v>
      </c>
      <c r="K807" t="s">
        <v>74</v>
      </c>
      <c r="L807">
        <v>12</v>
      </c>
      <c r="M807">
        <v>12</v>
      </c>
      <c r="N807" t="s">
        <v>150</v>
      </c>
      <c r="O807" t="s">
        <v>157</v>
      </c>
      <c r="P807" t="s">
        <v>168</v>
      </c>
      <c r="Q807">
        <v>1.25</v>
      </c>
      <c r="R807" s="9">
        <v>52627.5</v>
      </c>
      <c r="S807" t="str">
        <f>IF(OR(Sheet1[[#This Row],[Salary_USD]]&lt;$V$13,Sheet1[[#This Row],[Salary_USD]]&gt;$V$12),"Outlier","Normal")</f>
        <v>Normal</v>
      </c>
    </row>
    <row r="808" spans="1:19" x14ac:dyDescent="0.25">
      <c r="A808" t="s">
        <v>17</v>
      </c>
      <c r="B808" t="s">
        <v>24</v>
      </c>
      <c r="C808" t="s">
        <v>53</v>
      </c>
      <c r="D808" t="s">
        <v>58</v>
      </c>
      <c r="E808" s="2">
        <v>28374</v>
      </c>
      <c r="F808" s="2">
        <v>0</v>
      </c>
      <c r="G808" t="s">
        <v>68</v>
      </c>
      <c r="H808" t="s">
        <v>70</v>
      </c>
      <c r="I808" t="s">
        <v>78</v>
      </c>
      <c r="J808" t="s">
        <v>109</v>
      </c>
      <c r="K808" t="s">
        <v>137</v>
      </c>
      <c r="L808">
        <v>18</v>
      </c>
      <c r="M808">
        <v>17</v>
      </c>
      <c r="N808" t="s">
        <v>149</v>
      </c>
      <c r="O808" t="s">
        <v>157</v>
      </c>
      <c r="P808" t="s">
        <v>415</v>
      </c>
      <c r="Q808">
        <v>1.25</v>
      </c>
      <c r="R808" s="9">
        <v>35467.5</v>
      </c>
      <c r="S808" t="str">
        <f>IF(OR(Sheet1[[#This Row],[Salary_USD]]&lt;$V$13,Sheet1[[#This Row],[Salary_USD]]&gt;$V$12),"Outlier","Normal")</f>
        <v>Normal</v>
      </c>
    </row>
    <row r="809" spans="1:19" x14ac:dyDescent="0.25">
      <c r="A809" t="s">
        <v>19</v>
      </c>
      <c r="B809" t="s">
        <v>35</v>
      </c>
      <c r="C809" t="s">
        <v>48</v>
      </c>
      <c r="D809" t="s">
        <v>57</v>
      </c>
      <c r="E809" s="2">
        <v>1134276</v>
      </c>
      <c r="F809" s="2">
        <v>108001</v>
      </c>
      <c r="G809" t="s">
        <v>66</v>
      </c>
      <c r="H809" t="s">
        <v>71</v>
      </c>
      <c r="I809" t="s">
        <v>81</v>
      </c>
      <c r="J809" t="s">
        <v>101</v>
      </c>
      <c r="K809" t="s">
        <v>127</v>
      </c>
      <c r="L809">
        <v>5</v>
      </c>
      <c r="M809">
        <v>5</v>
      </c>
      <c r="N809" t="s">
        <v>150</v>
      </c>
      <c r="O809" t="s">
        <v>157</v>
      </c>
      <c r="P809" t="s">
        <v>173</v>
      </c>
      <c r="Q809">
        <v>1.2E-2</v>
      </c>
      <c r="R809" s="9">
        <v>13611.312</v>
      </c>
      <c r="S809" t="str">
        <f>IF(OR(Sheet1[[#This Row],[Salary_USD]]&lt;$V$13,Sheet1[[#This Row],[Salary_USD]]&gt;$V$12),"Outlier","Normal")</f>
        <v>Normal</v>
      </c>
    </row>
    <row r="810" spans="1:19" x14ac:dyDescent="0.25">
      <c r="A810" t="s">
        <v>20</v>
      </c>
      <c r="B810" t="s">
        <v>29</v>
      </c>
      <c r="C810" t="s">
        <v>53</v>
      </c>
      <c r="D810" t="s">
        <v>62</v>
      </c>
      <c r="E810" s="2">
        <v>53314</v>
      </c>
      <c r="F810" s="2">
        <v>826</v>
      </c>
      <c r="G810" t="s">
        <v>65</v>
      </c>
      <c r="H810" t="s">
        <v>451</v>
      </c>
      <c r="I810" t="s">
        <v>78</v>
      </c>
      <c r="J810" t="s">
        <v>105</v>
      </c>
      <c r="K810" t="s">
        <v>133</v>
      </c>
      <c r="L810">
        <v>2</v>
      </c>
      <c r="M810">
        <v>2</v>
      </c>
      <c r="N810" t="s">
        <v>151</v>
      </c>
      <c r="O810" t="s">
        <v>154</v>
      </c>
      <c r="P810" t="s">
        <v>191</v>
      </c>
      <c r="Q810">
        <v>0.73</v>
      </c>
      <c r="R810" s="9">
        <v>38919.22</v>
      </c>
      <c r="S810" t="str">
        <f>IF(OR(Sheet1[[#This Row],[Salary_USD]]&lt;$V$13,Sheet1[[#This Row],[Salary_USD]]&gt;$V$12),"Outlier","Normal")</f>
        <v>Normal</v>
      </c>
    </row>
    <row r="811" spans="1:19" x14ac:dyDescent="0.25">
      <c r="A811" t="s">
        <v>20</v>
      </c>
      <c r="B811" t="s">
        <v>28</v>
      </c>
      <c r="C811" t="s">
        <v>46</v>
      </c>
      <c r="D811" t="s">
        <v>56</v>
      </c>
      <c r="E811" s="2">
        <v>162200</v>
      </c>
      <c r="F811" s="2">
        <v>24078</v>
      </c>
      <c r="G811" t="s">
        <v>64</v>
      </c>
      <c r="H811" t="s">
        <v>70</v>
      </c>
      <c r="I811" t="s">
        <v>78</v>
      </c>
      <c r="J811" t="s">
        <v>88</v>
      </c>
      <c r="K811" t="s">
        <v>136</v>
      </c>
      <c r="L811">
        <v>6</v>
      </c>
      <c r="M811">
        <v>4</v>
      </c>
      <c r="N811" t="s">
        <v>153</v>
      </c>
      <c r="O811" t="s">
        <v>155</v>
      </c>
      <c r="P811" t="s">
        <v>212</v>
      </c>
      <c r="Q811">
        <v>0.65</v>
      </c>
      <c r="R811" s="9">
        <v>105430</v>
      </c>
      <c r="S811" t="str">
        <f>IF(OR(Sheet1[[#This Row],[Salary_USD]]&lt;$V$13,Sheet1[[#This Row],[Salary_USD]]&gt;$V$12),"Outlier","Normal")</f>
        <v>Normal</v>
      </c>
    </row>
    <row r="812" spans="1:19" x14ac:dyDescent="0.25">
      <c r="A812" t="s">
        <v>19</v>
      </c>
      <c r="B812" t="s">
        <v>35</v>
      </c>
      <c r="C812" t="s">
        <v>51</v>
      </c>
      <c r="D812" t="s">
        <v>56</v>
      </c>
      <c r="E812" s="2">
        <v>1098501</v>
      </c>
      <c r="F812" s="2">
        <v>20345</v>
      </c>
      <c r="G812" t="s">
        <v>66</v>
      </c>
      <c r="H812" t="s">
        <v>451</v>
      </c>
      <c r="I812" t="s">
        <v>76</v>
      </c>
      <c r="J812" t="s">
        <v>100</v>
      </c>
      <c r="K812" t="s">
        <v>126</v>
      </c>
      <c r="L812">
        <v>4</v>
      </c>
      <c r="M812">
        <v>4</v>
      </c>
      <c r="N812" t="s">
        <v>150</v>
      </c>
      <c r="O812" t="s">
        <v>154</v>
      </c>
      <c r="P812" t="s">
        <v>416</v>
      </c>
      <c r="Q812">
        <v>1.2E-2</v>
      </c>
      <c r="R812" s="9">
        <v>13182.012000000001</v>
      </c>
      <c r="S812" t="str">
        <f>IF(OR(Sheet1[[#This Row],[Salary_USD]]&lt;$V$13,Sheet1[[#This Row],[Salary_USD]]&gt;$V$12),"Outlier","Normal")</f>
        <v>Normal</v>
      </c>
    </row>
    <row r="813" spans="1:19" x14ac:dyDescent="0.25">
      <c r="A813" t="s">
        <v>19</v>
      </c>
      <c r="B813" t="s">
        <v>35</v>
      </c>
      <c r="C813" t="s">
        <v>52</v>
      </c>
      <c r="D813" t="s">
        <v>59</v>
      </c>
      <c r="E813" s="2">
        <v>786749</v>
      </c>
      <c r="F813" s="2">
        <v>105721</v>
      </c>
      <c r="G813" t="s">
        <v>66</v>
      </c>
      <c r="H813" t="s">
        <v>56</v>
      </c>
      <c r="I813" t="s">
        <v>75</v>
      </c>
      <c r="J813" t="s">
        <v>108</v>
      </c>
      <c r="K813" t="s">
        <v>135</v>
      </c>
      <c r="L813">
        <v>10</v>
      </c>
      <c r="M813">
        <v>10</v>
      </c>
      <c r="N813" t="s">
        <v>148</v>
      </c>
      <c r="O813" t="s">
        <v>155</v>
      </c>
      <c r="P813" t="s">
        <v>188</v>
      </c>
      <c r="Q813">
        <v>1.2E-2</v>
      </c>
      <c r="R813" s="9">
        <v>9440.9879999999994</v>
      </c>
      <c r="S813" t="str">
        <f>IF(OR(Sheet1[[#This Row],[Salary_USD]]&lt;$V$13,Sheet1[[#This Row],[Salary_USD]]&gt;$V$12),"Outlier","Normal")</f>
        <v>Normal</v>
      </c>
    </row>
    <row r="814" spans="1:19" x14ac:dyDescent="0.25">
      <c r="A814" t="s">
        <v>20</v>
      </c>
      <c r="B814" t="s">
        <v>23</v>
      </c>
      <c r="C814" t="s">
        <v>51</v>
      </c>
      <c r="D814" t="s">
        <v>451</v>
      </c>
      <c r="E814" s="2">
        <v>554884</v>
      </c>
      <c r="F814" s="2">
        <v>33621</v>
      </c>
      <c r="G814" t="s">
        <v>66</v>
      </c>
      <c r="H814" t="s">
        <v>56</v>
      </c>
      <c r="I814" t="s">
        <v>75</v>
      </c>
      <c r="J814" t="s">
        <v>108</v>
      </c>
      <c r="K814" t="s">
        <v>135</v>
      </c>
      <c r="L814">
        <v>0</v>
      </c>
      <c r="M814">
        <v>0</v>
      </c>
      <c r="N814" t="s">
        <v>149</v>
      </c>
      <c r="O814" t="s">
        <v>156</v>
      </c>
      <c r="P814" t="s">
        <v>271</v>
      </c>
      <c r="Q814">
        <v>1.2E-2</v>
      </c>
      <c r="R814" s="9">
        <v>6658.6080000000002</v>
      </c>
      <c r="S814" t="str">
        <f>IF(OR(Sheet1[[#This Row],[Salary_USD]]&lt;$V$13,Sheet1[[#This Row],[Salary_USD]]&gt;$V$12),"Outlier","Normal")</f>
        <v>Normal</v>
      </c>
    </row>
    <row r="815" spans="1:19" x14ac:dyDescent="0.25">
      <c r="A815" t="s">
        <v>21</v>
      </c>
      <c r="B815" t="s">
        <v>26</v>
      </c>
      <c r="C815" t="s">
        <v>37</v>
      </c>
      <c r="D815" t="s">
        <v>61</v>
      </c>
      <c r="E815" s="2">
        <v>70895</v>
      </c>
      <c r="F815" s="2">
        <v>4130</v>
      </c>
      <c r="G815" t="s">
        <v>68</v>
      </c>
      <c r="H815" t="s">
        <v>70</v>
      </c>
      <c r="I815" t="s">
        <v>77</v>
      </c>
      <c r="J815" t="s">
        <v>97</v>
      </c>
      <c r="K815" t="s">
        <v>122</v>
      </c>
      <c r="L815">
        <v>8</v>
      </c>
      <c r="M815">
        <v>5</v>
      </c>
      <c r="N815" t="s">
        <v>152</v>
      </c>
      <c r="O815" t="s">
        <v>154</v>
      </c>
      <c r="P815" t="s">
        <v>417</v>
      </c>
      <c r="Q815">
        <v>1.25</v>
      </c>
      <c r="R815" s="9">
        <v>88618.75</v>
      </c>
      <c r="S815" t="str">
        <f>IF(OR(Sheet1[[#This Row],[Salary_USD]]&lt;$V$13,Sheet1[[#This Row],[Salary_USD]]&gt;$V$12),"Outlier","Normal")</f>
        <v>Normal</v>
      </c>
    </row>
    <row r="816" spans="1:19" x14ac:dyDescent="0.25">
      <c r="A816" t="s">
        <v>19</v>
      </c>
      <c r="B816" t="s">
        <v>24</v>
      </c>
      <c r="C816" t="s">
        <v>36</v>
      </c>
      <c r="D816" t="s">
        <v>451</v>
      </c>
      <c r="E816" s="2">
        <v>118966</v>
      </c>
      <c r="F816" s="2">
        <v>17631</v>
      </c>
      <c r="G816" t="s">
        <v>66</v>
      </c>
      <c r="H816" t="s">
        <v>70</v>
      </c>
      <c r="I816" t="s">
        <v>76</v>
      </c>
      <c r="J816" t="s">
        <v>92</v>
      </c>
      <c r="K816" t="s">
        <v>119</v>
      </c>
      <c r="L816">
        <v>18</v>
      </c>
      <c r="M816">
        <v>18</v>
      </c>
      <c r="N816" t="s">
        <v>149</v>
      </c>
      <c r="O816" t="s">
        <v>157</v>
      </c>
      <c r="P816" t="s">
        <v>212</v>
      </c>
      <c r="Q816">
        <v>1.2E-2</v>
      </c>
      <c r="R816" s="9">
        <v>1427.5920000000001</v>
      </c>
      <c r="S816" t="str">
        <f>IF(OR(Sheet1[[#This Row],[Salary_USD]]&lt;$V$13,Sheet1[[#This Row],[Salary_USD]]&gt;$V$12),"Outlier","Normal")</f>
        <v>Normal</v>
      </c>
    </row>
    <row r="817" spans="1:19" x14ac:dyDescent="0.25">
      <c r="A817" t="s">
        <v>18</v>
      </c>
      <c r="B817" t="s">
        <v>28</v>
      </c>
      <c r="C817" t="s">
        <v>50</v>
      </c>
      <c r="D817" t="s">
        <v>55</v>
      </c>
      <c r="E817" s="2">
        <v>21094</v>
      </c>
      <c r="F817" s="2">
        <v>2338</v>
      </c>
      <c r="G817" t="s">
        <v>68</v>
      </c>
      <c r="H817" t="s">
        <v>69</v>
      </c>
      <c r="I817" t="s">
        <v>75</v>
      </c>
      <c r="J817" t="s">
        <v>85</v>
      </c>
      <c r="K817" t="s">
        <v>114</v>
      </c>
      <c r="L817">
        <v>1</v>
      </c>
      <c r="M817">
        <v>0</v>
      </c>
      <c r="N817" t="s">
        <v>152</v>
      </c>
      <c r="O817" t="s">
        <v>156</v>
      </c>
      <c r="P817" t="s">
        <v>346</v>
      </c>
      <c r="Q817">
        <v>1.25</v>
      </c>
      <c r="R817" s="9">
        <v>26367.5</v>
      </c>
      <c r="S817" t="str">
        <f>IF(OR(Sheet1[[#This Row],[Salary_USD]]&lt;$V$13,Sheet1[[#This Row],[Salary_USD]]&gt;$V$12),"Outlier","Normal")</f>
        <v>Normal</v>
      </c>
    </row>
    <row r="818" spans="1:19" x14ac:dyDescent="0.25">
      <c r="A818" t="s">
        <v>19</v>
      </c>
      <c r="B818" t="s">
        <v>33</v>
      </c>
      <c r="C818" t="s">
        <v>38</v>
      </c>
      <c r="D818" t="s">
        <v>54</v>
      </c>
      <c r="E818" s="2">
        <v>76959</v>
      </c>
      <c r="F818" s="2">
        <v>0</v>
      </c>
      <c r="G818" t="s">
        <v>67</v>
      </c>
      <c r="H818" t="s">
        <v>451</v>
      </c>
      <c r="I818" t="s">
        <v>76</v>
      </c>
      <c r="J818" t="s">
        <v>86</v>
      </c>
      <c r="K818" t="s">
        <v>115</v>
      </c>
      <c r="L818">
        <v>3</v>
      </c>
      <c r="M818">
        <v>3</v>
      </c>
      <c r="N818" t="s">
        <v>148</v>
      </c>
      <c r="O818" t="s">
        <v>155</v>
      </c>
      <c r="P818" t="s">
        <v>373</v>
      </c>
      <c r="Q818">
        <v>1</v>
      </c>
      <c r="R818" s="9">
        <v>76959</v>
      </c>
      <c r="S818" t="str">
        <f>IF(OR(Sheet1[[#This Row],[Salary_USD]]&lt;$V$13,Sheet1[[#This Row],[Salary_USD]]&gt;$V$12),"Outlier","Normal")</f>
        <v>Normal</v>
      </c>
    </row>
    <row r="819" spans="1:19" x14ac:dyDescent="0.25">
      <c r="A819" t="s">
        <v>19</v>
      </c>
      <c r="B819" t="s">
        <v>34</v>
      </c>
      <c r="C819" t="s">
        <v>36</v>
      </c>
      <c r="D819" t="s">
        <v>62</v>
      </c>
      <c r="E819" s="2">
        <v>46224</v>
      </c>
      <c r="F819" s="2">
        <v>0</v>
      </c>
      <c r="G819" t="s">
        <v>63</v>
      </c>
      <c r="H819" t="s">
        <v>56</v>
      </c>
      <c r="I819" t="s">
        <v>72</v>
      </c>
      <c r="J819" t="s">
        <v>95</v>
      </c>
      <c r="K819" t="s">
        <v>120</v>
      </c>
      <c r="L819">
        <v>5</v>
      </c>
      <c r="M819">
        <v>5</v>
      </c>
      <c r="N819" t="s">
        <v>149</v>
      </c>
      <c r="O819" t="s">
        <v>156</v>
      </c>
      <c r="P819" t="s">
        <v>162</v>
      </c>
      <c r="Q819">
        <v>1.1000000000000001</v>
      </c>
      <c r="R819" s="9">
        <v>50846.400000000001</v>
      </c>
      <c r="S819" t="str">
        <f>IF(OR(Sheet1[[#This Row],[Salary_USD]]&lt;$V$13,Sheet1[[#This Row],[Salary_USD]]&gt;$V$12),"Outlier","Normal")</f>
        <v>Normal</v>
      </c>
    </row>
    <row r="820" spans="1:19" x14ac:dyDescent="0.25">
      <c r="A820" t="s">
        <v>20</v>
      </c>
      <c r="B820" t="s">
        <v>29</v>
      </c>
      <c r="C820" t="s">
        <v>50</v>
      </c>
      <c r="D820" t="s">
        <v>58</v>
      </c>
      <c r="E820" s="2">
        <v>65007</v>
      </c>
      <c r="F820" s="2">
        <v>0</v>
      </c>
      <c r="G820" t="s">
        <v>67</v>
      </c>
      <c r="H820" t="s">
        <v>451</v>
      </c>
      <c r="I820" t="s">
        <v>81</v>
      </c>
      <c r="J820" t="s">
        <v>98</v>
      </c>
      <c r="K820" t="s">
        <v>123</v>
      </c>
      <c r="L820">
        <v>3</v>
      </c>
      <c r="M820">
        <v>3</v>
      </c>
      <c r="N820" t="s">
        <v>152</v>
      </c>
      <c r="O820" t="s">
        <v>156</v>
      </c>
      <c r="P820" t="s">
        <v>418</v>
      </c>
      <c r="Q820">
        <v>1</v>
      </c>
      <c r="R820" s="9">
        <v>65007</v>
      </c>
      <c r="S820" t="str">
        <f>IF(OR(Sheet1[[#This Row],[Salary_USD]]&lt;$V$13,Sheet1[[#This Row],[Salary_USD]]&gt;$V$12),"Outlier","Normal")</f>
        <v>Normal</v>
      </c>
    </row>
    <row r="821" spans="1:19" x14ac:dyDescent="0.25">
      <c r="A821" t="s">
        <v>21</v>
      </c>
      <c r="B821" t="s">
        <v>34</v>
      </c>
      <c r="C821" t="s">
        <v>41</v>
      </c>
      <c r="D821" t="s">
        <v>54</v>
      </c>
      <c r="E821" s="2">
        <v>123176</v>
      </c>
      <c r="F821" s="2">
        <v>10418</v>
      </c>
      <c r="G821" t="s">
        <v>67</v>
      </c>
      <c r="H821" t="s">
        <v>56</v>
      </c>
      <c r="I821" t="s">
        <v>72</v>
      </c>
      <c r="J821" t="s">
        <v>95</v>
      </c>
      <c r="K821" t="s">
        <v>120</v>
      </c>
      <c r="L821">
        <v>18</v>
      </c>
      <c r="M821">
        <v>15</v>
      </c>
      <c r="N821" t="s">
        <v>150</v>
      </c>
      <c r="O821" t="s">
        <v>156</v>
      </c>
      <c r="P821" t="s">
        <v>234</v>
      </c>
      <c r="Q821">
        <v>1</v>
      </c>
      <c r="R821" s="9">
        <v>123176</v>
      </c>
      <c r="S821" t="str">
        <f>IF(OR(Sheet1[[#This Row],[Salary_USD]]&lt;$V$13,Sheet1[[#This Row],[Salary_USD]]&gt;$V$12),"Outlier","Normal")</f>
        <v>Normal</v>
      </c>
    </row>
    <row r="822" spans="1:19" x14ac:dyDescent="0.25">
      <c r="A822" t="s">
        <v>21</v>
      </c>
      <c r="B822" t="s">
        <v>29</v>
      </c>
      <c r="C822" t="s">
        <v>40</v>
      </c>
      <c r="D822" t="s">
        <v>61</v>
      </c>
      <c r="E822" s="2">
        <v>59171</v>
      </c>
      <c r="F822" s="2">
        <v>370</v>
      </c>
      <c r="G822" t="s">
        <v>63</v>
      </c>
      <c r="H822" t="s">
        <v>451</v>
      </c>
      <c r="I822" t="s">
        <v>72</v>
      </c>
      <c r="J822" t="s">
        <v>95</v>
      </c>
      <c r="K822" t="s">
        <v>120</v>
      </c>
      <c r="L822">
        <v>15</v>
      </c>
      <c r="M822">
        <v>15</v>
      </c>
      <c r="N822" t="s">
        <v>148</v>
      </c>
      <c r="O822" t="s">
        <v>156</v>
      </c>
      <c r="P822" t="s">
        <v>166</v>
      </c>
      <c r="Q822">
        <v>1.1000000000000001</v>
      </c>
      <c r="R822" s="9">
        <v>65088.100000000006</v>
      </c>
      <c r="S822" t="str">
        <f>IF(OR(Sheet1[[#This Row],[Salary_USD]]&lt;$V$13,Sheet1[[#This Row],[Salary_USD]]&gt;$V$12),"Outlier","Normal")</f>
        <v>Normal</v>
      </c>
    </row>
    <row r="823" spans="1:19" x14ac:dyDescent="0.25">
      <c r="A823" t="s">
        <v>19</v>
      </c>
      <c r="B823" t="s">
        <v>29</v>
      </c>
      <c r="C823" t="s">
        <v>45</v>
      </c>
      <c r="D823" t="s">
        <v>58</v>
      </c>
      <c r="E823" s="2">
        <v>168589</v>
      </c>
      <c r="F823" s="2">
        <v>729</v>
      </c>
      <c r="G823" t="s">
        <v>67</v>
      </c>
      <c r="H823" t="s">
        <v>56</v>
      </c>
      <c r="I823" t="s">
        <v>78</v>
      </c>
      <c r="J823" t="s">
        <v>88</v>
      </c>
      <c r="K823" t="s">
        <v>136</v>
      </c>
      <c r="L823">
        <v>9</v>
      </c>
      <c r="M823">
        <v>6</v>
      </c>
      <c r="N823" t="s">
        <v>153</v>
      </c>
      <c r="O823" t="s">
        <v>157</v>
      </c>
      <c r="P823" t="s">
        <v>166</v>
      </c>
      <c r="Q823">
        <v>1</v>
      </c>
      <c r="R823" s="9">
        <v>168589</v>
      </c>
      <c r="S823" t="str">
        <f>IF(OR(Sheet1[[#This Row],[Salary_USD]]&lt;$V$13,Sheet1[[#This Row],[Salary_USD]]&gt;$V$12),"Outlier","Normal")</f>
        <v>Normal</v>
      </c>
    </row>
    <row r="824" spans="1:19" x14ac:dyDescent="0.25">
      <c r="A824" t="s">
        <v>21</v>
      </c>
      <c r="B824" t="s">
        <v>35</v>
      </c>
      <c r="C824" t="s">
        <v>48</v>
      </c>
      <c r="D824" t="s">
        <v>55</v>
      </c>
      <c r="E824" s="2">
        <v>87632</v>
      </c>
      <c r="F824" s="2">
        <v>4156</v>
      </c>
      <c r="G824" t="s">
        <v>65</v>
      </c>
      <c r="H824" t="s">
        <v>70</v>
      </c>
      <c r="I824" t="s">
        <v>74</v>
      </c>
      <c r="J824" t="s">
        <v>84</v>
      </c>
      <c r="K824" t="s">
        <v>74</v>
      </c>
      <c r="L824">
        <v>15</v>
      </c>
      <c r="M824">
        <v>15</v>
      </c>
      <c r="N824" t="s">
        <v>153</v>
      </c>
      <c r="O824" t="s">
        <v>157</v>
      </c>
      <c r="P824" t="s">
        <v>171</v>
      </c>
      <c r="Q824">
        <v>0.73</v>
      </c>
      <c r="R824" s="9">
        <v>63971.360000000001</v>
      </c>
      <c r="S824" t="str">
        <f>IF(OR(Sheet1[[#This Row],[Salary_USD]]&lt;$V$13,Sheet1[[#This Row],[Salary_USD]]&gt;$V$12),"Outlier","Normal")</f>
        <v>Normal</v>
      </c>
    </row>
    <row r="825" spans="1:19" x14ac:dyDescent="0.25">
      <c r="A825" t="s">
        <v>19</v>
      </c>
      <c r="B825" t="s">
        <v>32</v>
      </c>
      <c r="C825" t="s">
        <v>50</v>
      </c>
      <c r="D825" t="s">
        <v>60</v>
      </c>
      <c r="E825" s="2">
        <v>1059483</v>
      </c>
      <c r="F825" s="2">
        <v>0</v>
      </c>
      <c r="G825" t="s">
        <v>66</v>
      </c>
      <c r="H825" t="s">
        <v>70</v>
      </c>
      <c r="I825" t="s">
        <v>77</v>
      </c>
      <c r="J825" t="s">
        <v>97</v>
      </c>
      <c r="K825" t="s">
        <v>122</v>
      </c>
      <c r="L825">
        <v>7</v>
      </c>
      <c r="M825">
        <v>7</v>
      </c>
      <c r="N825" t="s">
        <v>153</v>
      </c>
      <c r="O825" t="s">
        <v>157</v>
      </c>
      <c r="P825" t="s">
        <v>273</v>
      </c>
      <c r="Q825">
        <v>1.2E-2</v>
      </c>
      <c r="R825" s="9">
        <v>12713.796</v>
      </c>
      <c r="S825" t="str">
        <f>IF(OR(Sheet1[[#This Row],[Salary_USD]]&lt;$V$13,Sheet1[[#This Row],[Salary_USD]]&gt;$V$12),"Outlier","Normal")</f>
        <v>Normal</v>
      </c>
    </row>
    <row r="826" spans="1:19" x14ac:dyDescent="0.25">
      <c r="A826" t="s">
        <v>20</v>
      </c>
      <c r="B826" t="s">
        <v>29</v>
      </c>
      <c r="C826" t="s">
        <v>47</v>
      </c>
      <c r="D826" t="s">
        <v>54</v>
      </c>
      <c r="E826" s="2">
        <v>1006014</v>
      </c>
      <c r="F826" s="2">
        <v>77797</v>
      </c>
      <c r="G826" t="s">
        <v>66</v>
      </c>
      <c r="H826" t="s">
        <v>451</v>
      </c>
      <c r="I826" t="s">
        <v>74</v>
      </c>
      <c r="J826" t="s">
        <v>84</v>
      </c>
      <c r="K826" t="s">
        <v>74</v>
      </c>
      <c r="L826">
        <v>3</v>
      </c>
      <c r="M826">
        <v>3</v>
      </c>
      <c r="N826" t="s">
        <v>153</v>
      </c>
      <c r="O826" t="s">
        <v>157</v>
      </c>
      <c r="P826" t="s">
        <v>224</v>
      </c>
      <c r="Q826">
        <v>1.2E-2</v>
      </c>
      <c r="R826" s="9">
        <v>12072.168</v>
      </c>
      <c r="S826" t="str">
        <f>IF(OR(Sheet1[[#This Row],[Salary_USD]]&lt;$V$13,Sheet1[[#This Row],[Salary_USD]]&gt;$V$12),"Outlier","Normal")</f>
        <v>Normal</v>
      </c>
    </row>
    <row r="827" spans="1:19" x14ac:dyDescent="0.25">
      <c r="A827" t="s">
        <v>19</v>
      </c>
      <c r="B827" t="s">
        <v>35</v>
      </c>
      <c r="C827" t="s">
        <v>52</v>
      </c>
      <c r="D827" t="s">
        <v>55</v>
      </c>
      <c r="E827" s="2">
        <v>32568</v>
      </c>
      <c r="F827" s="2">
        <v>805</v>
      </c>
      <c r="G827" t="s">
        <v>68</v>
      </c>
      <c r="H827" t="s">
        <v>71</v>
      </c>
      <c r="I827" t="s">
        <v>75</v>
      </c>
      <c r="J827" t="s">
        <v>85</v>
      </c>
      <c r="K827" t="s">
        <v>114</v>
      </c>
      <c r="L827">
        <v>18</v>
      </c>
      <c r="M827">
        <v>18</v>
      </c>
      <c r="N827" t="s">
        <v>148</v>
      </c>
      <c r="O827" t="s">
        <v>154</v>
      </c>
      <c r="P827" t="s">
        <v>189</v>
      </c>
      <c r="Q827">
        <v>1.25</v>
      </c>
      <c r="R827" s="9">
        <v>40710</v>
      </c>
      <c r="S827" t="str">
        <f>IF(OR(Sheet1[[#This Row],[Salary_USD]]&lt;$V$13,Sheet1[[#This Row],[Salary_USD]]&gt;$V$12),"Outlier","Normal")</f>
        <v>Normal</v>
      </c>
    </row>
    <row r="828" spans="1:19" x14ac:dyDescent="0.25">
      <c r="A828" t="s">
        <v>19</v>
      </c>
      <c r="B828" t="s">
        <v>22</v>
      </c>
      <c r="C828" t="s">
        <v>40</v>
      </c>
      <c r="D828" t="s">
        <v>59</v>
      </c>
      <c r="E828" s="2">
        <v>125616</v>
      </c>
      <c r="F828" s="2">
        <v>0</v>
      </c>
      <c r="G828" t="s">
        <v>64</v>
      </c>
      <c r="H828" t="s">
        <v>69</v>
      </c>
      <c r="I828" t="s">
        <v>72</v>
      </c>
      <c r="J828" t="s">
        <v>95</v>
      </c>
      <c r="K828" t="s">
        <v>120</v>
      </c>
      <c r="L828">
        <v>4</v>
      </c>
      <c r="M828">
        <v>3</v>
      </c>
      <c r="N828" t="s">
        <v>148</v>
      </c>
      <c r="O828" t="s">
        <v>156</v>
      </c>
      <c r="P828" t="s">
        <v>212</v>
      </c>
      <c r="Q828">
        <v>0.65</v>
      </c>
      <c r="R828" s="9">
        <v>81650.400000000009</v>
      </c>
      <c r="S828" t="str">
        <f>IF(OR(Sheet1[[#This Row],[Salary_USD]]&lt;$V$13,Sheet1[[#This Row],[Salary_USD]]&gt;$V$12),"Outlier","Normal")</f>
        <v>Normal</v>
      </c>
    </row>
    <row r="829" spans="1:19" x14ac:dyDescent="0.25">
      <c r="A829" t="s">
        <v>19</v>
      </c>
      <c r="B829" t="s">
        <v>34</v>
      </c>
      <c r="C829" t="s">
        <v>40</v>
      </c>
      <c r="D829" t="s">
        <v>451</v>
      </c>
      <c r="E829" s="2">
        <v>786004</v>
      </c>
      <c r="F829" s="2">
        <v>103817</v>
      </c>
      <c r="G829" t="s">
        <v>66</v>
      </c>
      <c r="H829" t="s">
        <v>71</v>
      </c>
      <c r="I829" t="s">
        <v>76</v>
      </c>
      <c r="J829" t="s">
        <v>100</v>
      </c>
      <c r="K829" t="s">
        <v>126</v>
      </c>
      <c r="L829">
        <v>20</v>
      </c>
      <c r="M829">
        <v>20</v>
      </c>
      <c r="N829" t="s">
        <v>148</v>
      </c>
      <c r="O829" t="s">
        <v>157</v>
      </c>
      <c r="P829" t="s">
        <v>190</v>
      </c>
      <c r="Q829">
        <v>1.2E-2</v>
      </c>
      <c r="R829" s="9">
        <v>9432.0480000000007</v>
      </c>
      <c r="S829" t="str">
        <f>IF(OR(Sheet1[[#This Row],[Salary_USD]]&lt;$V$13,Sheet1[[#This Row],[Salary_USD]]&gt;$V$12),"Outlier","Normal")</f>
        <v>Normal</v>
      </c>
    </row>
    <row r="830" spans="1:19" x14ac:dyDescent="0.25">
      <c r="A830" t="s">
        <v>19</v>
      </c>
      <c r="B830" t="s">
        <v>28</v>
      </c>
      <c r="C830" t="s">
        <v>50</v>
      </c>
      <c r="D830" t="s">
        <v>54</v>
      </c>
      <c r="E830" s="2">
        <v>68368</v>
      </c>
      <c r="F830" s="2">
        <v>2584</v>
      </c>
      <c r="G830" t="s">
        <v>65</v>
      </c>
      <c r="H830" t="s">
        <v>70</v>
      </c>
      <c r="I830" t="s">
        <v>81</v>
      </c>
      <c r="J830" t="s">
        <v>101</v>
      </c>
      <c r="K830" t="s">
        <v>127</v>
      </c>
      <c r="L830">
        <v>25</v>
      </c>
      <c r="M830">
        <v>22</v>
      </c>
      <c r="N830" t="s">
        <v>151</v>
      </c>
      <c r="O830" t="s">
        <v>156</v>
      </c>
      <c r="P830" t="s">
        <v>181</v>
      </c>
      <c r="Q830">
        <v>0.73</v>
      </c>
      <c r="R830" s="9">
        <v>49908.639999999999</v>
      </c>
      <c r="S830" t="str">
        <f>IF(OR(Sheet1[[#This Row],[Salary_USD]]&lt;$V$13,Sheet1[[#This Row],[Salary_USD]]&gt;$V$12),"Outlier","Normal")</f>
        <v>Normal</v>
      </c>
    </row>
    <row r="831" spans="1:19" x14ac:dyDescent="0.25">
      <c r="A831" t="s">
        <v>19</v>
      </c>
      <c r="B831" t="s">
        <v>23</v>
      </c>
      <c r="C831" t="s">
        <v>41</v>
      </c>
      <c r="D831" t="s">
        <v>60</v>
      </c>
      <c r="E831" s="2">
        <v>80527</v>
      </c>
      <c r="F831" s="2">
        <v>986</v>
      </c>
      <c r="G831" t="s">
        <v>67</v>
      </c>
      <c r="H831" t="s">
        <v>70</v>
      </c>
      <c r="I831" t="s">
        <v>77</v>
      </c>
      <c r="J831" t="s">
        <v>87</v>
      </c>
      <c r="K831" t="s">
        <v>144</v>
      </c>
      <c r="L831">
        <v>20</v>
      </c>
      <c r="M831">
        <v>20</v>
      </c>
      <c r="N831" t="s">
        <v>151</v>
      </c>
      <c r="O831" t="s">
        <v>156</v>
      </c>
      <c r="P831" t="s">
        <v>419</v>
      </c>
      <c r="Q831">
        <v>1</v>
      </c>
      <c r="R831" s="9">
        <v>80527</v>
      </c>
      <c r="S831" t="str">
        <f>IF(OR(Sheet1[[#This Row],[Salary_USD]]&lt;$V$13,Sheet1[[#This Row],[Salary_USD]]&gt;$V$12),"Outlier","Normal")</f>
        <v>Normal</v>
      </c>
    </row>
    <row r="832" spans="1:19" x14ac:dyDescent="0.25">
      <c r="A832" t="s">
        <v>20</v>
      </c>
      <c r="B832" t="s">
        <v>24</v>
      </c>
      <c r="C832" t="s">
        <v>43</v>
      </c>
      <c r="D832" t="s">
        <v>56</v>
      </c>
      <c r="E832" s="2">
        <v>77975</v>
      </c>
      <c r="F832" s="2">
        <v>15159</v>
      </c>
      <c r="G832" t="s">
        <v>64</v>
      </c>
      <c r="H832" t="s">
        <v>71</v>
      </c>
      <c r="I832" t="s">
        <v>73</v>
      </c>
      <c r="J832" t="s">
        <v>99</v>
      </c>
      <c r="K832" t="s">
        <v>125</v>
      </c>
      <c r="L832">
        <v>5</v>
      </c>
      <c r="M832">
        <v>3</v>
      </c>
      <c r="N832" t="s">
        <v>150</v>
      </c>
      <c r="O832" t="s">
        <v>156</v>
      </c>
      <c r="P832" t="s">
        <v>335</v>
      </c>
      <c r="Q832">
        <v>0.65</v>
      </c>
      <c r="R832" s="9">
        <v>50683.75</v>
      </c>
      <c r="S832" t="str">
        <f>IF(OR(Sheet1[[#This Row],[Salary_USD]]&lt;$V$13,Sheet1[[#This Row],[Salary_USD]]&gt;$V$12),"Outlier","Normal")</f>
        <v>Normal</v>
      </c>
    </row>
    <row r="833" spans="1:19" x14ac:dyDescent="0.25">
      <c r="A833" t="s">
        <v>20</v>
      </c>
      <c r="B833" t="s">
        <v>29</v>
      </c>
      <c r="C833" t="s">
        <v>45</v>
      </c>
      <c r="D833" t="s">
        <v>56</v>
      </c>
      <c r="E833" s="2">
        <v>64921</v>
      </c>
      <c r="F833" s="2">
        <v>9906</v>
      </c>
      <c r="G833" t="s">
        <v>67</v>
      </c>
      <c r="H833" t="s">
        <v>71</v>
      </c>
      <c r="I833" t="s">
        <v>79</v>
      </c>
      <c r="J833" t="s">
        <v>107</v>
      </c>
      <c r="K833" t="s">
        <v>134</v>
      </c>
      <c r="L833">
        <v>0</v>
      </c>
      <c r="M833">
        <v>0</v>
      </c>
      <c r="N833" t="s">
        <v>152</v>
      </c>
      <c r="O833" t="s">
        <v>155</v>
      </c>
      <c r="P833" t="s">
        <v>174</v>
      </c>
      <c r="Q833">
        <v>1</v>
      </c>
      <c r="R833" s="9">
        <v>64921</v>
      </c>
      <c r="S833" t="str">
        <f>IF(OR(Sheet1[[#This Row],[Salary_USD]]&lt;$V$13,Sheet1[[#This Row],[Salary_USD]]&gt;$V$12),"Outlier","Normal")</f>
        <v>Normal</v>
      </c>
    </row>
    <row r="834" spans="1:19" x14ac:dyDescent="0.25">
      <c r="A834" t="s">
        <v>19</v>
      </c>
      <c r="B834" t="s">
        <v>35</v>
      </c>
      <c r="C834" t="s">
        <v>41</v>
      </c>
      <c r="D834" t="s">
        <v>54</v>
      </c>
      <c r="E834" s="2">
        <v>62212</v>
      </c>
      <c r="F834" s="2">
        <v>666</v>
      </c>
      <c r="G834" t="s">
        <v>63</v>
      </c>
      <c r="H834" t="s">
        <v>451</v>
      </c>
      <c r="I834" t="s">
        <v>72</v>
      </c>
      <c r="J834" t="s">
        <v>95</v>
      </c>
      <c r="K834" t="s">
        <v>120</v>
      </c>
      <c r="L834">
        <v>12</v>
      </c>
      <c r="M834">
        <v>9</v>
      </c>
      <c r="N834" t="s">
        <v>148</v>
      </c>
      <c r="O834" t="s">
        <v>154</v>
      </c>
      <c r="P834" t="s">
        <v>175</v>
      </c>
      <c r="Q834">
        <v>1.1000000000000001</v>
      </c>
      <c r="R834" s="9">
        <v>68433.200000000012</v>
      </c>
      <c r="S834" t="str">
        <f>IF(OR(Sheet1[[#This Row],[Salary_USD]]&lt;$V$13,Sheet1[[#This Row],[Salary_USD]]&gt;$V$12),"Outlier","Normal")</f>
        <v>Normal</v>
      </c>
    </row>
    <row r="835" spans="1:19" x14ac:dyDescent="0.25">
      <c r="A835" t="s">
        <v>19</v>
      </c>
      <c r="B835" t="s">
        <v>32</v>
      </c>
      <c r="C835" t="s">
        <v>38</v>
      </c>
      <c r="D835" t="s">
        <v>58</v>
      </c>
      <c r="E835" s="2">
        <v>67141</v>
      </c>
      <c r="F835" s="2">
        <v>5494</v>
      </c>
      <c r="G835" t="s">
        <v>63</v>
      </c>
      <c r="H835" t="s">
        <v>71</v>
      </c>
      <c r="I835" t="s">
        <v>78</v>
      </c>
      <c r="J835" t="s">
        <v>90</v>
      </c>
      <c r="K835" t="s">
        <v>138</v>
      </c>
      <c r="L835">
        <v>12</v>
      </c>
      <c r="M835">
        <v>12</v>
      </c>
      <c r="N835" t="s">
        <v>152</v>
      </c>
      <c r="O835" t="s">
        <v>156</v>
      </c>
      <c r="P835" t="s">
        <v>173</v>
      </c>
      <c r="Q835">
        <v>1.1000000000000001</v>
      </c>
      <c r="R835" s="9">
        <v>73855.100000000006</v>
      </c>
      <c r="S835" t="str">
        <f>IF(OR(Sheet1[[#This Row],[Salary_USD]]&lt;$V$13,Sheet1[[#This Row],[Salary_USD]]&gt;$V$12),"Outlier","Normal")</f>
        <v>Normal</v>
      </c>
    </row>
    <row r="836" spans="1:19" x14ac:dyDescent="0.25">
      <c r="A836" t="s">
        <v>19</v>
      </c>
      <c r="B836" t="s">
        <v>31</v>
      </c>
      <c r="C836" t="s">
        <v>39</v>
      </c>
      <c r="D836" t="s">
        <v>54</v>
      </c>
      <c r="E836" s="2">
        <v>73399</v>
      </c>
      <c r="F836" s="2">
        <v>10865</v>
      </c>
      <c r="G836" t="s">
        <v>68</v>
      </c>
      <c r="H836" t="s">
        <v>56</v>
      </c>
      <c r="I836" t="s">
        <v>76</v>
      </c>
      <c r="J836" t="s">
        <v>92</v>
      </c>
      <c r="K836" t="s">
        <v>119</v>
      </c>
      <c r="L836">
        <v>3</v>
      </c>
      <c r="M836">
        <v>0</v>
      </c>
      <c r="N836" t="s">
        <v>152</v>
      </c>
      <c r="O836" t="s">
        <v>155</v>
      </c>
      <c r="P836" t="s">
        <v>165</v>
      </c>
      <c r="Q836">
        <v>1.25</v>
      </c>
      <c r="R836" s="9">
        <v>91748.75</v>
      </c>
      <c r="S836" t="str">
        <f>IF(OR(Sheet1[[#This Row],[Salary_USD]]&lt;$V$13,Sheet1[[#This Row],[Salary_USD]]&gt;$V$12),"Outlier","Normal")</f>
        <v>Normal</v>
      </c>
    </row>
    <row r="837" spans="1:19" x14ac:dyDescent="0.25">
      <c r="A837" t="s">
        <v>19</v>
      </c>
      <c r="B837" t="s">
        <v>35</v>
      </c>
      <c r="C837" t="s">
        <v>36</v>
      </c>
      <c r="D837" t="s">
        <v>54</v>
      </c>
      <c r="E837" s="2">
        <v>1466189</v>
      </c>
      <c r="F837" s="2">
        <v>280208</v>
      </c>
      <c r="G837" t="s">
        <v>66</v>
      </c>
      <c r="H837" t="s">
        <v>69</v>
      </c>
      <c r="I837" t="s">
        <v>78</v>
      </c>
      <c r="J837" t="s">
        <v>90</v>
      </c>
      <c r="K837" t="s">
        <v>147</v>
      </c>
      <c r="L837">
        <v>18</v>
      </c>
      <c r="M837">
        <v>17</v>
      </c>
      <c r="N837" t="s">
        <v>152</v>
      </c>
      <c r="O837" t="s">
        <v>154</v>
      </c>
      <c r="P837" t="s">
        <v>219</v>
      </c>
      <c r="Q837">
        <v>1.2E-2</v>
      </c>
      <c r="R837" s="9">
        <v>17594.268</v>
      </c>
      <c r="S837" t="str">
        <f>IF(OR(Sheet1[[#This Row],[Salary_USD]]&lt;$V$13,Sheet1[[#This Row],[Salary_USD]]&gt;$V$12),"Outlier","Normal")</f>
        <v>Normal</v>
      </c>
    </row>
    <row r="838" spans="1:19" x14ac:dyDescent="0.25">
      <c r="A838" t="s">
        <v>19</v>
      </c>
      <c r="B838" t="s">
        <v>28</v>
      </c>
      <c r="C838" t="s">
        <v>50</v>
      </c>
      <c r="D838" t="s">
        <v>54</v>
      </c>
      <c r="E838" s="2">
        <v>102312</v>
      </c>
      <c r="F838" s="2">
        <v>6498</v>
      </c>
      <c r="G838" t="s">
        <v>64</v>
      </c>
      <c r="H838" t="s">
        <v>69</v>
      </c>
      <c r="I838" t="s">
        <v>75</v>
      </c>
      <c r="J838" t="s">
        <v>108</v>
      </c>
      <c r="K838" t="s">
        <v>135</v>
      </c>
      <c r="L838">
        <v>20</v>
      </c>
      <c r="M838">
        <v>20</v>
      </c>
      <c r="N838" t="s">
        <v>149</v>
      </c>
      <c r="O838" t="s">
        <v>154</v>
      </c>
      <c r="P838" t="s">
        <v>420</v>
      </c>
      <c r="Q838">
        <v>0.65</v>
      </c>
      <c r="R838" s="9">
        <v>66502.8</v>
      </c>
      <c r="S838" t="str">
        <f>IF(OR(Sheet1[[#This Row],[Salary_USD]]&lt;$V$13,Sheet1[[#This Row],[Salary_USD]]&gt;$V$12),"Outlier","Normal")</f>
        <v>Normal</v>
      </c>
    </row>
    <row r="839" spans="1:19" x14ac:dyDescent="0.25">
      <c r="A839" t="s">
        <v>21</v>
      </c>
      <c r="B839" t="s">
        <v>24</v>
      </c>
      <c r="C839" t="s">
        <v>44</v>
      </c>
      <c r="D839" t="s">
        <v>61</v>
      </c>
      <c r="E839" s="2">
        <v>726406</v>
      </c>
      <c r="F839" s="2">
        <v>54719</v>
      </c>
      <c r="G839" t="s">
        <v>66</v>
      </c>
      <c r="H839" t="s">
        <v>451</v>
      </c>
      <c r="I839" t="s">
        <v>78</v>
      </c>
      <c r="J839" t="s">
        <v>104</v>
      </c>
      <c r="K839" t="s">
        <v>131</v>
      </c>
      <c r="L839">
        <v>10</v>
      </c>
      <c r="M839">
        <v>10</v>
      </c>
      <c r="N839" t="s">
        <v>152</v>
      </c>
      <c r="O839" t="s">
        <v>154</v>
      </c>
      <c r="P839" t="s">
        <v>178</v>
      </c>
      <c r="Q839">
        <v>1.2E-2</v>
      </c>
      <c r="R839" s="9">
        <v>8716.8719999999994</v>
      </c>
      <c r="S839" t="str">
        <f>IF(OR(Sheet1[[#This Row],[Salary_USD]]&lt;$V$13,Sheet1[[#This Row],[Salary_USD]]&gt;$V$12),"Outlier","Normal")</f>
        <v>Normal</v>
      </c>
    </row>
    <row r="840" spans="1:19" x14ac:dyDescent="0.25">
      <c r="A840" t="s">
        <v>17</v>
      </c>
      <c r="B840" t="s">
        <v>29</v>
      </c>
      <c r="C840" t="s">
        <v>40</v>
      </c>
      <c r="D840" t="s">
        <v>54</v>
      </c>
      <c r="E840" s="2">
        <v>84681</v>
      </c>
      <c r="F840" s="2">
        <v>5279</v>
      </c>
      <c r="G840" t="s">
        <v>63</v>
      </c>
      <c r="H840" t="s">
        <v>69</v>
      </c>
      <c r="I840" t="s">
        <v>81</v>
      </c>
      <c r="J840" t="s">
        <v>94</v>
      </c>
      <c r="K840" t="s">
        <v>129</v>
      </c>
      <c r="L840">
        <v>18</v>
      </c>
      <c r="M840">
        <v>18</v>
      </c>
      <c r="N840" t="s">
        <v>149</v>
      </c>
      <c r="O840" t="s">
        <v>156</v>
      </c>
      <c r="P840" t="s">
        <v>208</v>
      </c>
      <c r="Q840">
        <v>1.1000000000000001</v>
      </c>
      <c r="R840" s="9">
        <v>93149.1</v>
      </c>
      <c r="S840" t="str">
        <f>IF(OR(Sheet1[[#This Row],[Salary_USD]]&lt;$V$13,Sheet1[[#This Row],[Salary_USD]]&gt;$V$12),"Outlier","Normal")</f>
        <v>Normal</v>
      </c>
    </row>
    <row r="841" spans="1:19" x14ac:dyDescent="0.25">
      <c r="A841" t="s">
        <v>17</v>
      </c>
      <c r="B841" t="s">
        <v>35</v>
      </c>
      <c r="C841" t="s">
        <v>40</v>
      </c>
      <c r="D841" t="s">
        <v>54</v>
      </c>
      <c r="E841" s="2">
        <v>70153</v>
      </c>
      <c r="F841" s="2">
        <v>14700</v>
      </c>
      <c r="G841" t="s">
        <v>63</v>
      </c>
      <c r="H841" t="s">
        <v>56</v>
      </c>
      <c r="I841" t="s">
        <v>80</v>
      </c>
      <c r="J841" t="s">
        <v>93</v>
      </c>
      <c r="K841" t="s">
        <v>93</v>
      </c>
      <c r="L841">
        <v>15</v>
      </c>
      <c r="M841">
        <v>15</v>
      </c>
      <c r="N841" t="s">
        <v>149</v>
      </c>
      <c r="O841" t="s">
        <v>157</v>
      </c>
      <c r="P841" t="s">
        <v>421</v>
      </c>
      <c r="Q841">
        <v>1.1000000000000001</v>
      </c>
      <c r="R841" s="9">
        <v>77168.3</v>
      </c>
      <c r="S841" t="str">
        <f>IF(OR(Sheet1[[#This Row],[Salary_USD]]&lt;$V$13,Sheet1[[#This Row],[Salary_USD]]&gt;$V$12),"Outlier","Normal")</f>
        <v>Normal</v>
      </c>
    </row>
    <row r="842" spans="1:19" x14ac:dyDescent="0.25">
      <c r="A842" t="s">
        <v>19</v>
      </c>
      <c r="B842" t="s">
        <v>32</v>
      </c>
      <c r="C842" t="s">
        <v>51</v>
      </c>
      <c r="D842" t="s">
        <v>58</v>
      </c>
      <c r="E842" s="2">
        <v>56965</v>
      </c>
      <c r="F842" s="2">
        <v>4812</v>
      </c>
      <c r="G842" t="s">
        <v>63</v>
      </c>
      <c r="H842" t="s">
        <v>56</v>
      </c>
      <c r="I842" t="s">
        <v>80</v>
      </c>
      <c r="J842" t="s">
        <v>93</v>
      </c>
      <c r="K842" t="s">
        <v>93</v>
      </c>
      <c r="L842">
        <v>9</v>
      </c>
      <c r="M842">
        <v>9</v>
      </c>
      <c r="N842" t="s">
        <v>149</v>
      </c>
      <c r="O842" t="s">
        <v>157</v>
      </c>
      <c r="P842" t="s">
        <v>178</v>
      </c>
      <c r="Q842">
        <v>1.1000000000000001</v>
      </c>
      <c r="R842" s="9">
        <v>62661.500000000007</v>
      </c>
      <c r="S842" t="str">
        <f>IF(OR(Sheet1[[#This Row],[Salary_USD]]&lt;$V$13,Sheet1[[#This Row],[Salary_USD]]&gt;$V$12),"Outlier","Normal")</f>
        <v>Normal</v>
      </c>
    </row>
    <row r="843" spans="1:19" x14ac:dyDescent="0.25">
      <c r="A843" t="s">
        <v>19</v>
      </c>
      <c r="B843" t="s">
        <v>35</v>
      </c>
      <c r="C843" t="s">
        <v>48</v>
      </c>
      <c r="D843" t="s">
        <v>61</v>
      </c>
      <c r="E843" s="2">
        <v>103903</v>
      </c>
      <c r="F843" s="2">
        <v>2099</v>
      </c>
      <c r="G843" t="s">
        <v>67</v>
      </c>
      <c r="H843" t="s">
        <v>69</v>
      </c>
      <c r="I843" t="s">
        <v>76</v>
      </c>
      <c r="J843" t="s">
        <v>100</v>
      </c>
      <c r="K843" t="s">
        <v>132</v>
      </c>
      <c r="L843">
        <v>7</v>
      </c>
      <c r="M843">
        <v>5</v>
      </c>
      <c r="N843" t="s">
        <v>148</v>
      </c>
      <c r="O843" t="s">
        <v>156</v>
      </c>
      <c r="P843" t="s">
        <v>178</v>
      </c>
      <c r="Q843">
        <v>1</v>
      </c>
      <c r="R843" s="9">
        <v>103903</v>
      </c>
      <c r="S843" t="str">
        <f>IF(OR(Sheet1[[#This Row],[Salary_USD]]&lt;$V$13,Sheet1[[#This Row],[Salary_USD]]&gt;$V$12),"Outlier","Normal")</f>
        <v>Normal</v>
      </c>
    </row>
    <row r="844" spans="1:19" x14ac:dyDescent="0.25">
      <c r="A844" t="s">
        <v>18</v>
      </c>
      <c r="B844" t="s">
        <v>32</v>
      </c>
      <c r="C844" t="s">
        <v>52</v>
      </c>
      <c r="D844" t="s">
        <v>56</v>
      </c>
      <c r="E844" s="2">
        <v>63426</v>
      </c>
      <c r="F844" s="2">
        <v>8998</v>
      </c>
      <c r="G844" t="s">
        <v>63</v>
      </c>
      <c r="H844" t="s">
        <v>69</v>
      </c>
      <c r="I844" t="s">
        <v>81</v>
      </c>
      <c r="J844" t="s">
        <v>101</v>
      </c>
      <c r="K844" t="s">
        <v>127</v>
      </c>
      <c r="L844">
        <v>0</v>
      </c>
      <c r="M844">
        <v>0</v>
      </c>
      <c r="N844" t="s">
        <v>148</v>
      </c>
      <c r="O844" t="s">
        <v>155</v>
      </c>
      <c r="P844" t="s">
        <v>171</v>
      </c>
      <c r="Q844">
        <v>1.1000000000000001</v>
      </c>
      <c r="R844" s="9">
        <v>69768.600000000006</v>
      </c>
      <c r="S844" t="str">
        <f>IF(OR(Sheet1[[#This Row],[Salary_USD]]&lt;$V$13,Sheet1[[#This Row],[Salary_USD]]&gt;$V$12),"Outlier","Normal")</f>
        <v>Normal</v>
      </c>
    </row>
    <row r="845" spans="1:19" x14ac:dyDescent="0.25">
      <c r="A845" t="s">
        <v>19</v>
      </c>
      <c r="B845" t="s">
        <v>32</v>
      </c>
      <c r="C845" t="s">
        <v>38</v>
      </c>
      <c r="D845" t="s">
        <v>56</v>
      </c>
      <c r="E845" s="2">
        <v>32971</v>
      </c>
      <c r="F845" s="2">
        <v>0</v>
      </c>
      <c r="G845" t="s">
        <v>68</v>
      </c>
      <c r="H845" t="s">
        <v>71</v>
      </c>
      <c r="I845" t="s">
        <v>81</v>
      </c>
      <c r="J845" t="s">
        <v>103</v>
      </c>
      <c r="K845" t="s">
        <v>130</v>
      </c>
      <c r="L845">
        <v>2</v>
      </c>
      <c r="M845">
        <v>2</v>
      </c>
      <c r="N845" t="s">
        <v>150</v>
      </c>
      <c r="O845" t="s">
        <v>154</v>
      </c>
      <c r="P845" t="s">
        <v>372</v>
      </c>
      <c r="Q845">
        <v>1.25</v>
      </c>
      <c r="R845" s="9">
        <v>41213.75</v>
      </c>
      <c r="S845" t="str">
        <f>IF(OR(Sheet1[[#This Row],[Salary_USD]]&lt;$V$13,Sheet1[[#This Row],[Salary_USD]]&gt;$V$12),"Outlier","Normal")</f>
        <v>Normal</v>
      </c>
    </row>
    <row r="846" spans="1:19" x14ac:dyDescent="0.25">
      <c r="A846" t="s">
        <v>18</v>
      </c>
      <c r="B846" t="s">
        <v>35</v>
      </c>
      <c r="C846" t="s">
        <v>51</v>
      </c>
      <c r="D846" t="s">
        <v>58</v>
      </c>
      <c r="E846" s="2">
        <v>43042</v>
      </c>
      <c r="F846" s="2">
        <v>0</v>
      </c>
      <c r="G846" t="s">
        <v>64</v>
      </c>
      <c r="H846" t="s">
        <v>71</v>
      </c>
      <c r="I846" t="s">
        <v>80</v>
      </c>
      <c r="J846" t="s">
        <v>93</v>
      </c>
      <c r="K846" t="s">
        <v>93</v>
      </c>
      <c r="L846">
        <v>0</v>
      </c>
      <c r="M846">
        <v>0</v>
      </c>
      <c r="N846" t="s">
        <v>148</v>
      </c>
      <c r="O846" t="s">
        <v>154</v>
      </c>
      <c r="P846" t="s">
        <v>178</v>
      </c>
      <c r="Q846">
        <v>0.65</v>
      </c>
      <c r="R846" s="9">
        <v>27977.3</v>
      </c>
      <c r="S846" t="str">
        <f>IF(OR(Sheet1[[#This Row],[Salary_USD]]&lt;$V$13,Sheet1[[#This Row],[Salary_USD]]&gt;$V$12),"Outlier","Normal")</f>
        <v>Normal</v>
      </c>
    </row>
    <row r="847" spans="1:19" x14ac:dyDescent="0.25">
      <c r="A847" t="s">
        <v>19</v>
      </c>
      <c r="B847" t="s">
        <v>22</v>
      </c>
      <c r="C847" t="s">
        <v>36</v>
      </c>
      <c r="D847" t="s">
        <v>56</v>
      </c>
      <c r="E847" s="2">
        <v>116713</v>
      </c>
      <c r="F847" s="2">
        <v>22796</v>
      </c>
      <c r="G847" t="s">
        <v>64</v>
      </c>
      <c r="H847" t="s">
        <v>69</v>
      </c>
      <c r="I847" t="s">
        <v>74</v>
      </c>
      <c r="J847" t="s">
        <v>84</v>
      </c>
      <c r="K847" t="s">
        <v>74</v>
      </c>
      <c r="L847">
        <v>9</v>
      </c>
      <c r="M847">
        <v>9</v>
      </c>
      <c r="N847" t="s">
        <v>152</v>
      </c>
      <c r="O847" t="s">
        <v>155</v>
      </c>
      <c r="P847" t="s">
        <v>287</v>
      </c>
      <c r="Q847">
        <v>0.65</v>
      </c>
      <c r="R847" s="9">
        <v>75863.45</v>
      </c>
      <c r="S847" t="str">
        <f>IF(OR(Sheet1[[#This Row],[Salary_USD]]&lt;$V$13,Sheet1[[#This Row],[Salary_USD]]&gt;$V$12),"Outlier","Normal")</f>
        <v>Normal</v>
      </c>
    </row>
    <row r="848" spans="1:19" x14ac:dyDescent="0.25">
      <c r="A848" t="s">
        <v>17</v>
      </c>
      <c r="B848" t="s">
        <v>23</v>
      </c>
      <c r="C848" t="s">
        <v>38</v>
      </c>
      <c r="D848" t="s">
        <v>57</v>
      </c>
      <c r="E848" s="2">
        <v>64595</v>
      </c>
      <c r="F848" s="2">
        <v>568</v>
      </c>
      <c r="G848" t="s">
        <v>68</v>
      </c>
      <c r="H848" t="s">
        <v>69</v>
      </c>
      <c r="I848" t="s">
        <v>79</v>
      </c>
      <c r="J848" t="s">
        <v>107</v>
      </c>
      <c r="K848" t="s">
        <v>134</v>
      </c>
      <c r="L848">
        <v>20</v>
      </c>
      <c r="M848">
        <v>20</v>
      </c>
      <c r="N848" t="s">
        <v>150</v>
      </c>
      <c r="O848" t="s">
        <v>157</v>
      </c>
      <c r="P848" t="s">
        <v>422</v>
      </c>
      <c r="Q848">
        <v>1.25</v>
      </c>
      <c r="R848" s="9">
        <v>80743.75</v>
      </c>
      <c r="S848" t="str">
        <f>IF(OR(Sheet1[[#This Row],[Salary_USD]]&lt;$V$13,Sheet1[[#This Row],[Salary_USD]]&gt;$V$12),"Outlier","Normal")</f>
        <v>Normal</v>
      </c>
    </row>
    <row r="849" spans="1:19" x14ac:dyDescent="0.25">
      <c r="A849" t="s">
        <v>19</v>
      </c>
      <c r="B849" t="s">
        <v>29</v>
      </c>
      <c r="C849" t="s">
        <v>46</v>
      </c>
      <c r="D849" t="s">
        <v>57</v>
      </c>
      <c r="E849" s="2">
        <v>103620</v>
      </c>
      <c r="F849" s="2">
        <v>2305</v>
      </c>
      <c r="G849" t="s">
        <v>64</v>
      </c>
      <c r="H849" t="s">
        <v>70</v>
      </c>
      <c r="I849" t="s">
        <v>76</v>
      </c>
      <c r="J849" t="s">
        <v>86</v>
      </c>
      <c r="K849" t="s">
        <v>115</v>
      </c>
      <c r="L849">
        <v>18</v>
      </c>
      <c r="M849">
        <v>18</v>
      </c>
      <c r="N849" t="s">
        <v>152</v>
      </c>
      <c r="O849" t="s">
        <v>157</v>
      </c>
      <c r="P849" t="s">
        <v>374</v>
      </c>
      <c r="Q849">
        <v>0.65</v>
      </c>
      <c r="R849" s="9">
        <v>67353</v>
      </c>
      <c r="S849" t="str">
        <f>IF(OR(Sheet1[[#This Row],[Salary_USD]]&lt;$V$13,Sheet1[[#This Row],[Salary_USD]]&gt;$V$12),"Outlier","Normal")</f>
        <v>Normal</v>
      </c>
    </row>
    <row r="850" spans="1:19" x14ac:dyDescent="0.25">
      <c r="A850" t="s">
        <v>19</v>
      </c>
      <c r="B850" t="s">
        <v>23</v>
      </c>
      <c r="C850" t="s">
        <v>41</v>
      </c>
      <c r="D850" t="s">
        <v>451</v>
      </c>
      <c r="E850" s="2">
        <v>58580</v>
      </c>
      <c r="F850" s="2">
        <v>16869</v>
      </c>
      <c r="G850" t="s">
        <v>68</v>
      </c>
      <c r="H850" t="s">
        <v>451</v>
      </c>
      <c r="I850" t="s">
        <v>73</v>
      </c>
      <c r="J850" t="s">
        <v>99</v>
      </c>
      <c r="K850" t="s">
        <v>125</v>
      </c>
      <c r="L850">
        <v>15</v>
      </c>
      <c r="M850">
        <v>14</v>
      </c>
      <c r="N850" t="s">
        <v>152</v>
      </c>
      <c r="O850" t="s">
        <v>156</v>
      </c>
      <c r="P850" t="s">
        <v>296</v>
      </c>
      <c r="Q850">
        <v>1.25</v>
      </c>
      <c r="R850" s="9">
        <v>73225</v>
      </c>
      <c r="S850" t="str">
        <f>IF(OR(Sheet1[[#This Row],[Salary_USD]]&lt;$V$13,Sheet1[[#This Row],[Salary_USD]]&gt;$V$12),"Outlier","Normal")</f>
        <v>Normal</v>
      </c>
    </row>
    <row r="851" spans="1:19" x14ac:dyDescent="0.25">
      <c r="A851" t="s">
        <v>17</v>
      </c>
      <c r="B851" t="s">
        <v>26</v>
      </c>
      <c r="C851" t="s">
        <v>45</v>
      </c>
      <c r="D851" t="s">
        <v>61</v>
      </c>
      <c r="E851" s="2">
        <v>75733</v>
      </c>
      <c r="F851" s="2">
        <v>1280</v>
      </c>
      <c r="G851" t="s">
        <v>68</v>
      </c>
      <c r="H851" t="s">
        <v>71</v>
      </c>
      <c r="I851" t="s">
        <v>74</v>
      </c>
      <c r="J851" t="s">
        <v>84</v>
      </c>
      <c r="K851" t="s">
        <v>74</v>
      </c>
      <c r="L851">
        <v>25</v>
      </c>
      <c r="M851">
        <v>22</v>
      </c>
      <c r="N851" t="s">
        <v>153</v>
      </c>
      <c r="O851" t="s">
        <v>157</v>
      </c>
      <c r="P851" t="s">
        <v>159</v>
      </c>
      <c r="Q851">
        <v>1.25</v>
      </c>
      <c r="R851" s="9">
        <v>94666.25</v>
      </c>
      <c r="S851" t="str">
        <f>IF(OR(Sheet1[[#This Row],[Salary_USD]]&lt;$V$13,Sheet1[[#This Row],[Salary_USD]]&gt;$V$12),"Outlier","Normal")</f>
        <v>Normal</v>
      </c>
    </row>
    <row r="852" spans="1:19" x14ac:dyDescent="0.25">
      <c r="A852" t="s">
        <v>21</v>
      </c>
      <c r="B852" t="s">
        <v>29</v>
      </c>
      <c r="C852" t="s">
        <v>37</v>
      </c>
      <c r="D852" t="s">
        <v>54</v>
      </c>
      <c r="E852" s="2">
        <v>432230</v>
      </c>
      <c r="F852" s="2">
        <v>59137</v>
      </c>
      <c r="G852" t="s">
        <v>66</v>
      </c>
      <c r="H852" t="s">
        <v>69</v>
      </c>
      <c r="I852" t="s">
        <v>74</v>
      </c>
      <c r="J852" t="s">
        <v>84</v>
      </c>
      <c r="K852" t="s">
        <v>74</v>
      </c>
      <c r="L852">
        <v>10</v>
      </c>
      <c r="M852">
        <v>8</v>
      </c>
      <c r="N852" t="s">
        <v>149</v>
      </c>
      <c r="O852" t="s">
        <v>154</v>
      </c>
      <c r="P852" t="s">
        <v>209</v>
      </c>
      <c r="Q852">
        <v>1.2E-2</v>
      </c>
      <c r="R852" s="9">
        <v>5186.76</v>
      </c>
      <c r="S852" t="str">
        <f>IF(OR(Sheet1[[#This Row],[Salary_USD]]&lt;$V$13,Sheet1[[#This Row],[Salary_USD]]&gt;$V$12),"Outlier","Normal")</f>
        <v>Normal</v>
      </c>
    </row>
    <row r="853" spans="1:19" x14ac:dyDescent="0.25">
      <c r="A853" t="s">
        <v>20</v>
      </c>
      <c r="B853" t="s">
        <v>34</v>
      </c>
      <c r="C853" t="s">
        <v>46</v>
      </c>
      <c r="D853" t="s">
        <v>55</v>
      </c>
      <c r="E853" s="2">
        <v>91270</v>
      </c>
      <c r="F853" s="2">
        <v>2110</v>
      </c>
      <c r="G853" t="s">
        <v>65</v>
      </c>
      <c r="H853" t="s">
        <v>56</v>
      </c>
      <c r="I853" t="s">
        <v>80</v>
      </c>
      <c r="J853" t="s">
        <v>106</v>
      </c>
      <c r="K853" t="s">
        <v>106</v>
      </c>
      <c r="L853">
        <v>6</v>
      </c>
      <c r="M853">
        <v>6</v>
      </c>
      <c r="N853" t="s">
        <v>149</v>
      </c>
      <c r="O853" t="s">
        <v>156</v>
      </c>
      <c r="P853" t="s">
        <v>175</v>
      </c>
      <c r="Q853">
        <v>0.73</v>
      </c>
      <c r="R853" s="9">
        <v>66627.099999999991</v>
      </c>
      <c r="S853" t="str">
        <f>IF(OR(Sheet1[[#This Row],[Salary_USD]]&lt;$V$13,Sheet1[[#This Row],[Salary_USD]]&gt;$V$12),"Outlier","Normal")</f>
        <v>Normal</v>
      </c>
    </row>
    <row r="854" spans="1:19" x14ac:dyDescent="0.25">
      <c r="A854" t="s">
        <v>19</v>
      </c>
      <c r="B854" t="s">
        <v>451</v>
      </c>
      <c r="C854" t="s">
        <v>451</v>
      </c>
      <c r="D854" t="s">
        <v>451</v>
      </c>
      <c r="E854" s="2">
        <v>0</v>
      </c>
      <c r="F854" s="2">
        <v>0</v>
      </c>
      <c r="G854" t="s">
        <v>68</v>
      </c>
      <c r="H854" t="s">
        <v>451</v>
      </c>
      <c r="I854" t="s">
        <v>77</v>
      </c>
      <c r="J854" t="s">
        <v>111</v>
      </c>
      <c r="K854" t="s">
        <v>451</v>
      </c>
      <c r="L854">
        <v>0</v>
      </c>
      <c r="M854">
        <v>13</v>
      </c>
      <c r="N854" t="s">
        <v>150</v>
      </c>
      <c r="O854" t="s">
        <v>452</v>
      </c>
      <c r="P854" t="s">
        <v>423</v>
      </c>
      <c r="Q854">
        <v>1.25</v>
      </c>
      <c r="R854" s="9">
        <v>0</v>
      </c>
      <c r="S854" t="str">
        <f>IF(OR(Sheet1[[#This Row],[Salary_USD]]&lt;$V$13,Sheet1[[#This Row],[Salary_USD]]&gt;$V$12),"Outlier","Normal")</f>
        <v>Normal</v>
      </c>
    </row>
    <row r="855" spans="1:19" x14ac:dyDescent="0.25">
      <c r="A855" t="s">
        <v>19</v>
      </c>
      <c r="B855" t="s">
        <v>24</v>
      </c>
      <c r="C855" t="s">
        <v>44</v>
      </c>
      <c r="D855" t="s">
        <v>59</v>
      </c>
      <c r="E855" s="2">
        <v>111449</v>
      </c>
      <c r="F855" s="2">
        <v>16445</v>
      </c>
      <c r="G855" t="s">
        <v>64</v>
      </c>
      <c r="H855" t="s">
        <v>69</v>
      </c>
      <c r="I855" t="s">
        <v>81</v>
      </c>
      <c r="J855" t="s">
        <v>101</v>
      </c>
      <c r="K855" t="s">
        <v>127</v>
      </c>
      <c r="L855">
        <v>20</v>
      </c>
      <c r="M855">
        <v>17</v>
      </c>
      <c r="N855" t="s">
        <v>153</v>
      </c>
      <c r="O855" t="s">
        <v>155</v>
      </c>
      <c r="P855" t="s">
        <v>424</v>
      </c>
      <c r="Q855">
        <v>0.65</v>
      </c>
      <c r="R855" s="9">
        <v>72441.850000000006</v>
      </c>
      <c r="S855" t="str">
        <f>IF(OR(Sheet1[[#This Row],[Salary_USD]]&lt;$V$13,Sheet1[[#This Row],[Salary_USD]]&gt;$V$12),"Outlier","Normal")</f>
        <v>Normal</v>
      </c>
    </row>
    <row r="856" spans="1:19" x14ac:dyDescent="0.25">
      <c r="A856" t="s">
        <v>19</v>
      </c>
      <c r="B856" t="s">
        <v>32</v>
      </c>
      <c r="C856" t="s">
        <v>52</v>
      </c>
      <c r="D856" t="s">
        <v>54</v>
      </c>
      <c r="E856" s="2">
        <v>135694</v>
      </c>
      <c r="F856" s="2">
        <v>16695</v>
      </c>
      <c r="G856" t="s">
        <v>63</v>
      </c>
      <c r="H856" t="s">
        <v>451</v>
      </c>
      <c r="I856" t="s">
        <v>73</v>
      </c>
      <c r="J856" t="s">
        <v>99</v>
      </c>
      <c r="K856" t="s">
        <v>125</v>
      </c>
      <c r="L856">
        <v>18</v>
      </c>
      <c r="M856">
        <v>16</v>
      </c>
      <c r="N856" t="s">
        <v>152</v>
      </c>
      <c r="O856" t="s">
        <v>156</v>
      </c>
      <c r="P856" t="s">
        <v>162</v>
      </c>
      <c r="Q856">
        <v>1.1000000000000001</v>
      </c>
      <c r="R856" s="9">
        <v>149263.40000000002</v>
      </c>
      <c r="S856" t="str">
        <f>IF(OR(Sheet1[[#This Row],[Salary_USD]]&lt;$V$13,Sheet1[[#This Row],[Salary_USD]]&gt;$V$12),"Outlier","Normal")</f>
        <v>Normal</v>
      </c>
    </row>
    <row r="857" spans="1:19" x14ac:dyDescent="0.25">
      <c r="A857" t="s">
        <v>17</v>
      </c>
      <c r="B857" t="s">
        <v>22</v>
      </c>
      <c r="C857" t="s">
        <v>49</v>
      </c>
      <c r="D857" t="s">
        <v>60</v>
      </c>
      <c r="E857" s="2">
        <v>93429</v>
      </c>
      <c r="F857" s="2">
        <v>15924</v>
      </c>
      <c r="G857" t="s">
        <v>64</v>
      </c>
      <c r="H857" t="s">
        <v>71</v>
      </c>
      <c r="I857" t="s">
        <v>76</v>
      </c>
      <c r="J857" t="s">
        <v>92</v>
      </c>
      <c r="K857" t="s">
        <v>119</v>
      </c>
      <c r="L857">
        <v>20</v>
      </c>
      <c r="M857">
        <v>17</v>
      </c>
      <c r="N857" t="s">
        <v>153</v>
      </c>
      <c r="O857" t="s">
        <v>154</v>
      </c>
      <c r="P857" t="s">
        <v>167</v>
      </c>
      <c r="Q857">
        <v>0.65</v>
      </c>
      <c r="R857" s="9">
        <v>60728.85</v>
      </c>
      <c r="S857" t="str">
        <f>IF(OR(Sheet1[[#This Row],[Salary_USD]]&lt;$V$13,Sheet1[[#This Row],[Salary_USD]]&gt;$V$12),"Outlier","Normal")</f>
        <v>Normal</v>
      </c>
    </row>
    <row r="858" spans="1:19" x14ac:dyDescent="0.25">
      <c r="A858" t="s">
        <v>19</v>
      </c>
      <c r="B858" t="s">
        <v>24</v>
      </c>
      <c r="C858" t="s">
        <v>53</v>
      </c>
      <c r="D858" t="s">
        <v>54</v>
      </c>
      <c r="E858" s="2">
        <v>137171</v>
      </c>
      <c r="F858" s="2">
        <v>15646</v>
      </c>
      <c r="G858" t="s">
        <v>67</v>
      </c>
      <c r="H858" t="s">
        <v>69</v>
      </c>
      <c r="I858" t="s">
        <v>79</v>
      </c>
      <c r="J858" t="s">
        <v>107</v>
      </c>
      <c r="K858" t="s">
        <v>134</v>
      </c>
      <c r="L858">
        <v>9</v>
      </c>
      <c r="M858">
        <v>6</v>
      </c>
      <c r="N858" t="s">
        <v>150</v>
      </c>
      <c r="O858" t="s">
        <v>157</v>
      </c>
      <c r="P858" t="s">
        <v>402</v>
      </c>
      <c r="Q858">
        <v>1</v>
      </c>
      <c r="R858" s="9">
        <v>137171</v>
      </c>
      <c r="S858" t="str">
        <f>IF(OR(Sheet1[[#This Row],[Salary_USD]]&lt;$V$13,Sheet1[[#This Row],[Salary_USD]]&gt;$V$12),"Outlier","Normal")</f>
        <v>Normal</v>
      </c>
    </row>
    <row r="859" spans="1:19" x14ac:dyDescent="0.25">
      <c r="A859" t="s">
        <v>21</v>
      </c>
      <c r="B859" t="s">
        <v>35</v>
      </c>
      <c r="C859" t="s">
        <v>37</v>
      </c>
      <c r="D859" t="s">
        <v>451</v>
      </c>
      <c r="E859" s="2">
        <v>109676</v>
      </c>
      <c r="F859" s="2">
        <v>6447</v>
      </c>
      <c r="G859" t="s">
        <v>67</v>
      </c>
      <c r="H859" t="s">
        <v>56</v>
      </c>
      <c r="I859" t="s">
        <v>77</v>
      </c>
      <c r="J859" t="s">
        <v>89</v>
      </c>
      <c r="K859" t="s">
        <v>124</v>
      </c>
      <c r="L859">
        <v>20</v>
      </c>
      <c r="M859">
        <v>18</v>
      </c>
      <c r="N859" t="s">
        <v>152</v>
      </c>
      <c r="O859" t="s">
        <v>154</v>
      </c>
      <c r="P859" t="s">
        <v>212</v>
      </c>
      <c r="Q859">
        <v>1</v>
      </c>
      <c r="R859" s="9">
        <v>109676</v>
      </c>
      <c r="S859" t="str">
        <f>IF(OR(Sheet1[[#This Row],[Salary_USD]]&lt;$V$13,Sheet1[[#This Row],[Salary_USD]]&gt;$V$12),"Outlier","Normal")</f>
        <v>Normal</v>
      </c>
    </row>
    <row r="860" spans="1:19" x14ac:dyDescent="0.25">
      <c r="A860" t="s">
        <v>17</v>
      </c>
      <c r="B860" t="s">
        <v>23</v>
      </c>
      <c r="C860" t="s">
        <v>46</v>
      </c>
      <c r="D860" t="s">
        <v>58</v>
      </c>
      <c r="E860" s="2">
        <v>109159</v>
      </c>
      <c r="F860" s="2">
        <v>192</v>
      </c>
      <c r="G860" t="s">
        <v>67</v>
      </c>
      <c r="H860" t="s">
        <v>56</v>
      </c>
      <c r="I860" t="s">
        <v>81</v>
      </c>
      <c r="J860" t="s">
        <v>101</v>
      </c>
      <c r="K860" t="s">
        <v>127</v>
      </c>
      <c r="L860">
        <v>20</v>
      </c>
      <c r="M860">
        <v>19</v>
      </c>
      <c r="N860" t="s">
        <v>149</v>
      </c>
      <c r="O860" t="s">
        <v>155</v>
      </c>
      <c r="P860" t="s">
        <v>383</v>
      </c>
      <c r="Q860">
        <v>1</v>
      </c>
      <c r="R860" s="9">
        <v>109159</v>
      </c>
      <c r="S860" t="str">
        <f>IF(OR(Sheet1[[#This Row],[Salary_USD]]&lt;$V$13,Sheet1[[#This Row],[Salary_USD]]&gt;$V$12),"Outlier","Normal")</f>
        <v>Normal</v>
      </c>
    </row>
    <row r="861" spans="1:19" x14ac:dyDescent="0.25">
      <c r="A861" t="s">
        <v>17</v>
      </c>
      <c r="B861" t="s">
        <v>35</v>
      </c>
      <c r="C861" t="s">
        <v>48</v>
      </c>
      <c r="D861" t="s">
        <v>57</v>
      </c>
      <c r="E861" s="2">
        <v>43731</v>
      </c>
      <c r="F861" s="2">
        <v>0</v>
      </c>
      <c r="G861" t="s">
        <v>63</v>
      </c>
      <c r="H861" t="s">
        <v>71</v>
      </c>
      <c r="I861" t="s">
        <v>78</v>
      </c>
      <c r="J861" t="s">
        <v>90</v>
      </c>
      <c r="K861" t="s">
        <v>138</v>
      </c>
      <c r="L861">
        <v>25</v>
      </c>
      <c r="M861">
        <v>25</v>
      </c>
      <c r="N861" t="s">
        <v>152</v>
      </c>
      <c r="O861" t="s">
        <v>156</v>
      </c>
      <c r="P861" t="s">
        <v>334</v>
      </c>
      <c r="Q861">
        <v>1.1000000000000001</v>
      </c>
      <c r="R861" s="9">
        <v>48104.100000000006</v>
      </c>
      <c r="S861" t="str">
        <f>IF(OR(Sheet1[[#This Row],[Salary_USD]]&lt;$V$13,Sheet1[[#This Row],[Salary_USD]]&gt;$V$12),"Outlier","Normal")</f>
        <v>Normal</v>
      </c>
    </row>
    <row r="862" spans="1:19" x14ac:dyDescent="0.25">
      <c r="A862" t="s">
        <v>19</v>
      </c>
      <c r="B862" t="s">
        <v>34</v>
      </c>
      <c r="C862" t="s">
        <v>36</v>
      </c>
      <c r="D862" t="s">
        <v>57</v>
      </c>
      <c r="E862" s="2">
        <v>109405</v>
      </c>
      <c r="F862" s="2">
        <v>28</v>
      </c>
      <c r="G862" t="s">
        <v>64</v>
      </c>
      <c r="H862" t="s">
        <v>71</v>
      </c>
      <c r="I862" t="s">
        <v>78</v>
      </c>
      <c r="J862" t="s">
        <v>109</v>
      </c>
      <c r="K862" t="s">
        <v>137</v>
      </c>
      <c r="L862">
        <v>5</v>
      </c>
      <c r="M862">
        <v>4</v>
      </c>
      <c r="N862" t="s">
        <v>148</v>
      </c>
      <c r="O862" t="s">
        <v>155</v>
      </c>
      <c r="P862" t="s">
        <v>425</v>
      </c>
      <c r="Q862">
        <v>0.65</v>
      </c>
      <c r="R862" s="9">
        <v>71113.25</v>
      </c>
      <c r="S862" t="str">
        <f>IF(OR(Sheet1[[#This Row],[Salary_USD]]&lt;$V$13,Sheet1[[#This Row],[Salary_USD]]&gt;$V$12),"Outlier","Normal")</f>
        <v>Normal</v>
      </c>
    </row>
    <row r="863" spans="1:19" x14ac:dyDescent="0.25">
      <c r="A863" t="s">
        <v>17</v>
      </c>
      <c r="B863" t="s">
        <v>22</v>
      </c>
      <c r="C863" t="s">
        <v>44</v>
      </c>
      <c r="D863" t="s">
        <v>451</v>
      </c>
      <c r="E863" s="2">
        <v>36809</v>
      </c>
      <c r="F863" s="2">
        <v>5222</v>
      </c>
      <c r="G863" t="s">
        <v>63</v>
      </c>
      <c r="H863" t="s">
        <v>451</v>
      </c>
      <c r="I863" t="s">
        <v>76</v>
      </c>
      <c r="J863" t="s">
        <v>92</v>
      </c>
      <c r="K863" t="s">
        <v>119</v>
      </c>
      <c r="L863">
        <v>15</v>
      </c>
      <c r="M863">
        <v>14</v>
      </c>
      <c r="N863" t="s">
        <v>149</v>
      </c>
      <c r="O863" t="s">
        <v>155</v>
      </c>
      <c r="P863" t="s">
        <v>244</v>
      </c>
      <c r="Q863">
        <v>1.1000000000000001</v>
      </c>
      <c r="R863" s="9">
        <v>40489.9</v>
      </c>
      <c r="S863" t="str">
        <f>IF(OR(Sheet1[[#This Row],[Salary_USD]]&lt;$V$13,Sheet1[[#This Row],[Salary_USD]]&gt;$V$12),"Outlier","Normal")</f>
        <v>Normal</v>
      </c>
    </row>
    <row r="864" spans="1:19" x14ac:dyDescent="0.25">
      <c r="A864" t="s">
        <v>19</v>
      </c>
      <c r="B864" t="s">
        <v>29</v>
      </c>
      <c r="C864" t="s">
        <v>52</v>
      </c>
      <c r="D864" t="s">
        <v>60</v>
      </c>
      <c r="E864" s="2">
        <v>5000</v>
      </c>
      <c r="F864" s="2">
        <v>100</v>
      </c>
      <c r="G864" t="s">
        <v>68</v>
      </c>
      <c r="H864" t="s">
        <v>56</v>
      </c>
      <c r="I864" t="s">
        <v>77</v>
      </c>
      <c r="J864" t="s">
        <v>87</v>
      </c>
      <c r="K864" t="s">
        <v>144</v>
      </c>
      <c r="L864">
        <v>15</v>
      </c>
      <c r="M864">
        <v>14</v>
      </c>
      <c r="N864" t="s">
        <v>151</v>
      </c>
      <c r="O864" t="s">
        <v>156</v>
      </c>
      <c r="P864" t="s">
        <v>426</v>
      </c>
      <c r="Q864">
        <v>1.25</v>
      </c>
      <c r="R864" s="9">
        <v>6250</v>
      </c>
      <c r="S864" t="str">
        <f>IF(OR(Sheet1[[#This Row],[Salary_USD]]&lt;$V$13,Sheet1[[#This Row],[Salary_USD]]&gt;$V$12),"Outlier","Normal")</f>
        <v>Normal</v>
      </c>
    </row>
    <row r="865" spans="1:19" x14ac:dyDescent="0.25">
      <c r="A865" t="s">
        <v>20</v>
      </c>
      <c r="B865" t="s">
        <v>32</v>
      </c>
      <c r="C865" t="s">
        <v>51</v>
      </c>
      <c r="D865" t="s">
        <v>451</v>
      </c>
      <c r="E865" s="2">
        <v>83371</v>
      </c>
      <c r="F865" s="2">
        <v>3582</v>
      </c>
      <c r="G865" t="s">
        <v>64</v>
      </c>
      <c r="H865" t="s">
        <v>451</v>
      </c>
      <c r="I865" t="s">
        <v>73</v>
      </c>
      <c r="J865" t="s">
        <v>83</v>
      </c>
      <c r="K865" t="s">
        <v>113</v>
      </c>
      <c r="L865">
        <v>0</v>
      </c>
      <c r="M865">
        <v>0</v>
      </c>
      <c r="N865" t="s">
        <v>152</v>
      </c>
      <c r="O865" t="s">
        <v>154</v>
      </c>
      <c r="P865" t="s">
        <v>239</v>
      </c>
      <c r="Q865">
        <v>0.65</v>
      </c>
      <c r="R865" s="9">
        <v>54191.15</v>
      </c>
      <c r="S865" t="str">
        <f>IF(OR(Sheet1[[#This Row],[Salary_USD]]&lt;$V$13,Sheet1[[#This Row],[Salary_USD]]&gt;$V$12),"Outlier","Normal")</f>
        <v>Normal</v>
      </c>
    </row>
    <row r="866" spans="1:19" x14ac:dyDescent="0.25">
      <c r="A866" t="s">
        <v>19</v>
      </c>
      <c r="B866" t="s">
        <v>32</v>
      </c>
      <c r="C866" t="s">
        <v>37</v>
      </c>
      <c r="D866" t="s">
        <v>54</v>
      </c>
      <c r="E866" s="2">
        <v>93986</v>
      </c>
      <c r="F866" s="2">
        <v>721</v>
      </c>
      <c r="G866" t="s">
        <v>67</v>
      </c>
      <c r="H866" t="s">
        <v>70</v>
      </c>
      <c r="I866" t="s">
        <v>75</v>
      </c>
      <c r="J866" t="s">
        <v>96</v>
      </c>
      <c r="K866" t="s">
        <v>121</v>
      </c>
      <c r="L866">
        <v>6</v>
      </c>
      <c r="M866">
        <v>6</v>
      </c>
      <c r="N866" t="s">
        <v>153</v>
      </c>
      <c r="O866" t="s">
        <v>156</v>
      </c>
      <c r="P866" t="s">
        <v>209</v>
      </c>
      <c r="Q866">
        <v>1</v>
      </c>
      <c r="R866" s="9">
        <v>93986</v>
      </c>
      <c r="S866" t="str">
        <f>IF(OR(Sheet1[[#This Row],[Salary_USD]]&lt;$V$13,Sheet1[[#This Row],[Salary_USD]]&gt;$V$12),"Outlier","Normal")</f>
        <v>Normal</v>
      </c>
    </row>
    <row r="867" spans="1:19" x14ac:dyDescent="0.25">
      <c r="A867" t="s">
        <v>17</v>
      </c>
      <c r="B867" t="s">
        <v>29</v>
      </c>
      <c r="C867" t="s">
        <v>47</v>
      </c>
      <c r="D867" t="s">
        <v>451</v>
      </c>
      <c r="E867" s="2">
        <v>161907</v>
      </c>
      <c r="F867" s="2">
        <v>0</v>
      </c>
      <c r="G867" t="s">
        <v>67</v>
      </c>
      <c r="H867" t="s">
        <v>451</v>
      </c>
      <c r="I867" t="s">
        <v>76</v>
      </c>
      <c r="J867" t="s">
        <v>100</v>
      </c>
      <c r="K867" t="s">
        <v>132</v>
      </c>
      <c r="L867">
        <v>20</v>
      </c>
      <c r="M867">
        <v>18</v>
      </c>
      <c r="N867" t="s">
        <v>151</v>
      </c>
      <c r="O867" t="s">
        <v>154</v>
      </c>
      <c r="P867" t="s">
        <v>200</v>
      </c>
      <c r="Q867">
        <v>1</v>
      </c>
      <c r="R867" s="9">
        <v>161907</v>
      </c>
      <c r="S867" t="str">
        <f>IF(OR(Sheet1[[#This Row],[Salary_USD]]&lt;$V$13,Sheet1[[#This Row],[Salary_USD]]&gt;$V$12),"Outlier","Normal")</f>
        <v>Normal</v>
      </c>
    </row>
    <row r="868" spans="1:19" x14ac:dyDescent="0.25">
      <c r="A868" t="s">
        <v>19</v>
      </c>
      <c r="B868" t="s">
        <v>24</v>
      </c>
      <c r="C868" t="s">
        <v>44</v>
      </c>
      <c r="D868" t="s">
        <v>57</v>
      </c>
      <c r="E868" s="2">
        <v>29917</v>
      </c>
      <c r="F868" s="2">
        <v>180</v>
      </c>
      <c r="G868" t="s">
        <v>65</v>
      </c>
      <c r="H868" t="s">
        <v>56</v>
      </c>
      <c r="I868" t="s">
        <v>74</v>
      </c>
      <c r="J868" t="s">
        <v>84</v>
      </c>
      <c r="K868" t="s">
        <v>74</v>
      </c>
      <c r="L868">
        <v>7</v>
      </c>
      <c r="M868">
        <v>6</v>
      </c>
      <c r="N868" t="s">
        <v>152</v>
      </c>
      <c r="O868" t="s">
        <v>154</v>
      </c>
      <c r="P868" t="s">
        <v>180</v>
      </c>
      <c r="Q868">
        <v>0.73</v>
      </c>
      <c r="R868" s="9">
        <v>21839.41</v>
      </c>
      <c r="S868" t="str">
        <f>IF(OR(Sheet1[[#This Row],[Salary_USD]]&lt;$V$13,Sheet1[[#This Row],[Salary_USD]]&gt;$V$12),"Outlier","Normal")</f>
        <v>Normal</v>
      </c>
    </row>
    <row r="869" spans="1:19" x14ac:dyDescent="0.25">
      <c r="A869" t="s">
        <v>17</v>
      </c>
      <c r="B869" t="s">
        <v>35</v>
      </c>
      <c r="C869" t="s">
        <v>37</v>
      </c>
      <c r="D869" t="s">
        <v>62</v>
      </c>
      <c r="E869" s="2">
        <v>129372</v>
      </c>
      <c r="F869" s="2">
        <v>15645</v>
      </c>
      <c r="G869" t="s">
        <v>67</v>
      </c>
      <c r="H869" t="s">
        <v>69</v>
      </c>
      <c r="I869" t="s">
        <v>75</v>
      </c>
      <c r="J869" t="s">
        <v>108</v>
      </c>
      <c r="K869" t="s">
        <v>135</v>
      </c>
      <c r="L869">
        <v>12</v>
      </c>
      <c r="M869">
        <v>9</v>
      </c>
      <c r="N869" t="s">
        <v>153</v>
      </c>
      <c r="O869" t="s">
        <v>156</v>
      </c>
      <c r="P869" t="s">
        <v>175</v>
      </c>
      <c r="Q869">
        <v>1</v>
      </c>
      <c r="R869" s="9">
        <v>129372</v>
      </c>
      <c r="S869" t="str">
        <f>IF(OR(Sheet1[[#This Row],[Salary_USD]]&lt;$V$13,Sheet1[[#This Row],[Salary_USD]]&gt;$V$12),"Outlier","Normal")</f>
        <v>Normal</v>
      </c>
    </row>
    <row r="870" spans="1:19" x14ac:dyDescent="0.25">
      <c r="A870" t="s">
        <v>19</v>
      </c>
      <c r="B870" t="s">
        <v>35</v>
      </c>
      <c r="C870" t="s">
        <v>44</v>
      </c>
      <c r="D870" t="s">
        <v>57</v>
      </c>
      <c r="E870" s="2">
        <v>40990</v>
      </c>
      <c r="F870" s="2">
        <v>4769</v>
      </c>
      <c r="G870" t="s">
        <v>63</v>
      </c>
      <c r="H870" t="s">
        <v>71</v>
      </c>
      <c r="I870" t="s">
        <v>81</v>
      </c>
      <c r="J870" t="s">
        <v>101</v>
      </c>
      <c r="K870" t="s">
        <v>127</v>
      </c>
      <c r="L870">
        <v>4</v>
      </c>
      <c r="M870">
        <v>3</v>
      </c>
      <c r="N870" t="s">
        <v>151</v>
      </c>
      <c r="O870" t="s">
        <v>155</v>
      </c>
      <c r="P870" t="s">
        <v>255</v>
      </c>
      <c r="Q870">
        <v>1.1000000000000001</v>
      </c>
      <c r="R870" s="9">
        <v>45089.000000000007</v>
      </c>
      <c r="S870" t="str">
        <f>IF(OR(Sheet1[[#This Row],[Salary_USD]]&lt;$V$13,Sheet1[[#This Row],[Salary_USD]]&gt;$V$12),"Outlier","Normal")</f>
        <v>Normal</v>
      </c>
    </row>
    <row r="871" spans="1:19" x14ac:dyDescent="0.25">
      <c r="A871" t="s">
        <v>19</v>
      </c>
      <c r="B871" t="s">
        <v>33</v>
      </c>
      <c r="C871" t="s">
        <v>46</v>
      </c>
      <c r="D871" t="s">
        <v>62</v>
      </c>
      <c r="E871" s="2">
        <v>89375</v>
      </c>
      <c r="F871" s="2">
        <v>5602</v>
      </c>
      <c r="G871" t="s">
        <v>68</v>
      </c>
      <c r="H871" t="s">
        <v>71</v>
      </c>
      <c r="I871" t="s">
        <v>80</v>
      </c>
      <c r="J871" t="s">
        <v>106</v>
      </c>
      <c r="K871" t="s">
        <v>106</v>
      </c>
      <c r="L871">
        <v>25</v>
      </c>
      <c r="M871">
        <v>23</v>
      </c>
      <c r="N871" t="s">
        <v>151</v>
      </c>
      <c r="O871" t="s">
        <v>157</v>
      </c>
      <c r="P871" t="s">
        <v>182</v>
      </c>
      <c r="Q871">
        <v>1.25</v>
      </c>
      <c r="R871" s="9">
        <v>111718.75</v>
      </c>
      <c r="S871" t="str">
        <f>IF(OR(Sheet1[[#This Row],[Salary_USD]]&lt;$V$13,Sheet1[[#This Row],[Salary_USD]]&gt;$V$12),"Outlier","Normal")</f>
        <v>Normal</v>
      </c>
    </row>
    <row r="872" spans="1:19" x14ac:dyDescent="0.25">
      <c r="A872" t="s">
        <v>19</v>
      </c>
      <c r="B872" t="s">
        <v>24</v>
      </c>
      <c r="C872" t="s">
        <v>53</v>
      </c>
      <c r="D872" t="s">
        <v>61</v>
      </c>
      <c r="E872" s="2">
        <v>113409</v>
      </c>
      <c r="F872" s="2">
        <v>480</v>
      </c>
      <c r="G872" t="s">
        <v>63</v>
      </c>
      <c r="H872" t="s">
        <v>56</v>
      </c>
      <c r="I872" t="s">
        <v>72</v>
      </c>
      <c r="J872" t="s">
        <v>95</v>
      </c>
      <c r="K872" t="s">
        <v>120</v>
      </c>
      <c r="L872">
        <v>6</v>
      </c>
      <c r="M872">
        <v>6</v>
      </c>
      <c r="N872" t="s">
        <v>148</v>
      </c>
      <c r="O872" t="s">
        <v>154</v>
      </c>
      <c r="P872" t="s">
        <v>427</v>
      </c>
      <c r="Q872">
        <v>1.1000000000000001</v>
      </c>
      <c r="R872" s="9">
        <v>124749.90000000001</v>
      </c>
      <c r="S872" t="str">
        <f>IF(OR(Sheet1[[#This Row],[Salary_USD]]&lt;$V$13,Sheet1[[#This Row],[Salary_USD]]&gt;$V$12),"Outlier","Normal")</f>
        <v>Normal</v>
      </c>
    </row>
    <row r="873" spans="1:19" x14ac:dyDescent="0.25">
      <c r="A873" t="s">
        <v>19</v>
      </c>
      <c r="B873" t="s">
        <v>29</v>
      </c>
      <c r="C873" t="s">
        <v>41</v>
      </c>
      <c r="D873" t="s">
        <v>60</v>
      </c>
      <c r="E873" s="2">
        <v>13252</v>
      </c>
      <c r="F873" s="2">
        <v>184</v>
      </c>
      <c r="G873" t="s">
        <v>68</v>
      </c>
      <c r="H873" t="s">
        <v>56</v>
      </c>
      <c r="I873" t="s">
        <v>76</v>
      </c>
      <c r="J873" t="s">
        <v>100</v>
      </c>
      <c r="K873" t="s">
        <v>132</v>
      </c>
      <c r="L873">
        <v>7</v>
      </c>
      <c r="M873">
        <v>7</v>
      </c>
      <c r="N873" t="s">
        <v>151</v>
      </c>
      <c r="O873" t="s">
        <v>157</v>
      </c>
      <c r="P873" t="s">
        <v>173</v>
      </c>
      <c r="Q873">
        <v>1.25</v>
      </c>
      <c r="R873" s="9">
        <v>16565</v>
      </c>
      <c r="S873" t="str">
        <f>IF(OR(Sheet1[[#This Row],[Salary_USD]]&lt;$V$13,Sheet1[[#This Row],[Salary_USD]]&gt;$V$12),"Outlier","Normal")</f>
        <v>Normal</v>
      </c>
    </row>
    <row r="874" spans="1:19" x14ac:dyDescent="0.25">
      <c r="A874" t="s">
        <v>20</v>
      </c>
      <c r="B874" t="s">
        <v>31</v>
      </c>
      <c r="C874" t="s">
        <v>45</v>
      </c>
      <c r="D874" t="s">
        <v>57</v>
      </c>
      <c r="E874" s="2">
        <v>1546309</v>
      </c>
      <c r="F874" s="2">
        <v>223999</v>
      </c>
      <c r="G874" t="s">
        <v>66</v>
      </c>
      <c r="H874" t="s">
        <v>69</v>
      </c>
      <c r="I874" t="s">
        <v>76</v>
      </c>
      <c r="J874" t="s">
        <v>100</v>
      </c>
      <c r="K874" t="s">
        <v>126</v>
      </c>
      <c r="L874">
        <v>6</v>
      </c>
      <c r="M874">
        <v>5</v>
      </c>
      <c r="N874" t="s">
        <v>152</v>
      </c>
      <c r="O874" t="s">
        <v>154</v>
      </c>
      <c r="P874" t="s">
        <v>175</v>
      </c>
      <c r="Q874">
        <v>1.2E-2</v>
      </c>
      <c r="R874" s="9">
        <v>18555.707999999999</v>
      </c>
      <c r="S874" t="str">
        <f>IF(OR(Sheet1[[#This Row],[Salary_USD]]&lt;$V$13,Sheet1[[#This Row],[Salary_USD]]&gt;$V$12),"Outlier","Normal")</f>
        <v>Normal</v>
      </c>
    </row>
    <row r="875" spans="1:19" x14ac:dyDescent="0.25">
      <c r="A875" t="s">
        <v>19</v>
      </c>
      <c r="B875" t="s">
        <v>29</v>
      </c>
      <c r="C875" t="s">
        <v>48</v>
      </c>
      <c r="D875" t="s">
        <v>54</v>
      </c>
      <c r="E875" s="2">
        <v>1095386</v>
      </c>
      <c r="F875" s="2">
        <v>133034</v>
      </c>
      <c r="G875" t="s">
        <v>66</v>
      </c>
      <c r="H875" t="s">
        <v>56</v>
      </c>
      <c r="I875" t="s">
        <v>72</v>
      </c>
      <c r="J875" t="s">
        <v>95</v>
      </c>
      <c r="K875" t="s">
        <v>120</v>
      </c>
      <c r="L875">
        <v>3</v>
      </c>
      <c r="M875">
        <v>3</v>
      </c>
      <c r="N875" t="s">
        <v>153</v>
      </c>
      <c r="O875" t="s">
        <v>157</v>
      </c>
      <c r="P875" t="s">
        <v>165</v>
      </c>
      <c r="Q875">
        <v>1.2E-2</v>
      </c>
      <c r="R875" s="9">
        <v>13144.632</v>
      </c>
      <c r="S875" t="str">
        <f>IF(OR(Sheet1[[#This Row],[Salary_USD]]&lt;$V$13,Sheet1[[#This Row],[Salary_USD]]&gt;$V$12),"Outlier","Normal")</f>
        <v>Normal</v>
      </c>
    </row>
    <row r="876" spans="1:19" x14ac:dyDescent="0.25">
      <c r="A876" t="s">
        <v>21</v>
      </c>
      <c r="B876" t="s">
        <v>29</v>
      </c>
      <c r="C876" t="s">
        <v>43</v>
      </c>
      <c r="D876" t="s">
        <v>56</v>
      </c>
      <c r="E876" s="2">
        <v>87321</v>
      </c>
      <c r="F876" s="2">
        <v>217</v>
      </c>
      <c r="G876" t="s">
        <v>64</v>
      </c>
      <c r="H876" t="s">
        <v>69</v>
      </c>
      <c r="I876" t="s">
        <v>74</v>
      </c>
      <c r="J876" t="s">
        <v>84</v>
      </c>
      <c r="K876" t="s">
        <v>74</v>
      </c>
      <c r="L876">
        <v>18</v>
      </c>
      <c r="M876">
        <v>16</v>
      </c>
      <c r="N876" t="s">
        <v>150</v>
      </c>
      <c r="O876" t="s">
        <v>157</v>
      </c>
      <c r="P876" t="s">
        <v>199</v>
      </c>
      <c r="Q876">
        <v>0.65</v>
      </c>
      <c r="R876" s="9">
        <v>56758.65</v>
      </c>
      <c r="S876" t="str">
        <f>IF(OR(Sheet1[[#This Row],[Salary_USD]]&lt;$V$13,Sheet1[[#This Row],[Salary_USD]]&gt;$V$12),"Outlier","Normal")</f>
        <v>Normal</v>
      </c>
    </row>
    <row r="877" spans="1:19" x14ac:dyDescent="0.25">
      <c r="A877" t="s">
        <v>19</v>
      </c>
      <c r="B877" t="s">
        <v>29</v>
      </c>
      <c r="C877" t="s">
        <v>43</v>
      </c>
      <c r="D877" t="s">
        <v>61</v>
      </c>
      <c r="E877" s="2">
        <v>55751</v>
      </c>
      <c r="F877" s="2">
        <v>0</v>
      </c>
      <c r="G877" t="s">
        <v>65</v>
      </c>
      <c r="H877" t="s">
        <v>56</v>
      </c>
      <c r="I877" t="s">
        <v>75</v>
      </c>
      <c r="J877" t="s">
        <v>108</v>
      </c>
      <c r="K877" t="s">
        <v>135</v>
      </c>
      <c r="L877">
        <v>2</v>
      </c>
      <c r="M877">
        <v>1</v>
      </c>
      <c r="N877" t="s">
        <v>148</v>
      </c>
      <c r="O877" t="s">
        <v>154</v>
      </c>
      <c r="P877" t="s">
        <v>265</v>
      </c>
      <c r="Q877">
        <v>0.73</v>
      </c>
      <c r="R877" s="9">
        <v>40698.229999999996</v>
      </c>
      <c r="S877" t="str">
        <f>IF(OR(Sheet1[[#This Row],[Salary_USD]]&lt;$V$13,Sheet1[[#This Row],[Salary_USD]]&gt;$V$12),"Outlier","Normal")</f>
        <v>Normal</v>
      </c>
    </row>
    <row r="878" spans="1:19" x14ac:dyDescent="0.25">
      <c r="A878" t="s">
        <v>17</v>
      </c>
      <c r="B878" t="s">
        <v>35</v>
      </c>
      <c r="C878" t="s">
        <v>39</v>
      </c>
      <c r="D878" t="s">
        <v>59</v>
      </c>
      <c r="E878" s="2">
        <v>87086</v>
      </c>
      <c r="F878" s="2">
        <v>1271</v>
      </c>
      <c r="G878" t="s">
        <v>67</v>
      </c>
      <c r="H878" t="s">
        <v>56</v>
      </c>
      <c r="I878" t="s">
        <v>79</v>
      </c>
      <c r="J878" t="s">
        <v>91</v>
      </c>
      <c r="K878" t="s">
        <v>118</v>
      </c>
      <c r="L878">
        <v>8</v>
      </c>
      <c r="M878">
        <v>8</v>
      </c>
      <c r="N878" t="s">
        <v>152</v>
      </c>
      <c r="O878" t="s">
        <v>155</v>
      </c>
      <c r="P878" t="s">
        <v>299</v>
      </c>
      <c r="Q878">
        <v>1</v>
      </c>
      <c r="R878" s="9">
        <v>87086</v>
      </c>
      <c r="S878" t="str">
        <f>IF(OR(Sheet1[[#This Row],[Salary_USD]]&lt;$V$13,Sheet1[[#This Row],[Salary_USD]]&gt;$V$12),"Outlier","Normal")</f>
        <v>Normal</v>
      </c>
    </row>
    <row r="879" spans="1:19" x14ac:dyDescent="0.25">
      <c r="A879" t="s">
        <v>17</v>
      </c>
      <c r="B879" t="s">
        <v>35</v>
      </c>
      <c r="C879" t="s">
        <v>46</v>
      </c>
      <c r="D879" t="s">
        <v>54</v>
      </c>
      <c r="E879" s="2">
        <v>77118</v>
      </c>
      <c r="F879" s="2">
        <v>20600</v>
      </c>
      <c r="G879" t="s">
        <v>65</v>
      </c>
      <c r="H879" t="s">
        <v>451</v>
      </c>
      <c r="I879" t="s">
        <v>72</v>
      </c>
      <c r="J879" t="s">
        <v>95</v>
      </c>
      <c r="K879" t="s">
        <v>120</v>
      </c>
      <c r="L879">
        <v>9</v>
      </c>
      <c r="M879">
        <v>9</v>
      </c>
      <c r="N879" t="s">
        <v>148</v>
      </c>
      <c r="O879" t="s">
        <v>156</v>
      </c>
      <c r="P879" t="s">
        <v>189</v>
      </c>
      <c r="Q879">
        <v>0.73</v>
      </c>
      <c r="R879" s="9">
        <v>56296.14</v>
      </c>
      <c r="S879" t="str">
        <f>IF(OR(Sheet1[[#This Row],[Salary_USD]]&lt;$V$13,Sheet1[[#This Row],[Salary_USD]]&gt;$V$12),"Outlier","Normal")</f>
        <v>Normal</v>
      </c>
    </row>
    <row r="880" spans="1:19" x14ac:dyDescent="0.25">
      <c r="A880" t="s">
        <v>17</v>
      </c>
      <c r="B880" t="s">
        <v>35</v>
      </c>
      <c r="C880" t="s">
        <v>45</v>
      </c>
      <c r="D880" t="s">
        <v>61</v>
      </c>
      <c r="E880" s="2">
        <v>490869</v>
      </c>
      <c r="F880" s="2">
        <v>20215</v>
      </c>
      <c r="G880" t="s">
        <v>66</v>
      </c>
      <c r="H880" t="s">
        <v>451</v>
      </c>
      <c r="I880" t="s">
        <v>78</v>
      </c>
      <c r="J880" t="s">
        <v>105</v>
      </c>
      <c r="K880" t="s">
        <v>142</v>
      </c>
      <c r="L880">
        <v>12</v>
      </c>
      <c r="M880">
        <v>9</v>
      </c>
      <c r="N880" t="s">
        <v>149</v>
      </c>
      <c r="O880" t="s">
        <v>157</v>
      </c>
      <c r="P880" t="s">
        <v>219</v>
      </c>
      <c r="Q880">
        <v>1.2E-2</v>
      </c>
      <c r="R880" s="9">
        <v>5890.4279999999999</v>
      </c>
      <c r="S880" t="str">
        <f>IF(OR(Sheet1[[#This Row],[Salary_USD]]&lt;$V$13,Sheet1[[#This Row],[Salary_USD]]&gt;$V$12),"Outlier","Normal")</f>
        <v>Normal</v>
      </c>
    </row>
    <row r="881" spans="1:19" x14ac:dyDescent="0.25">
      <c r="A881" t="s">
        <v>20</v>
      </c>
      <c r="B881" t="s">
        <v>35</v>
      </c>
      <c r="C881" t="s">
        <v>37</v>
      </c>
      <c r="D881" t="s">
        <v>61</v>
      </c>
      <c r="E881" s="2">
        <v>91230</v>
      </c>
      <c r="F881" s="2">
        <v>1210</v>
      </c>
      <c r="G881" t="s">
        <v>64</v>
      </c>
      <c r="H881" t="s">
        <v>69</v>
      </c>
      <c r="I881" t="s">
        <v>77</v>
      </c>
      <c r="J881" t="s">
        <v>87</v>
      </c>
      <c r="K881" t="s">
        <v>144</v>
      </c>
      <c r="L881">
        <v>4</v>
      </c>
      <c r="M881">
        <v>3</v>
      </c>
      <c r="N881" t="s">
        <v>149</v>
      </c>
      <c r="O881" t="s">
        <v>156</v>
      </c>
      <c r="P881" t="s">
        <v>296</v>
      </c>
      <c r="Q881">
        <v>0.65</v>
      </c>
      <c r="R881" s="9">
        <v>59299.5</v>
      </c>
      <c r="S881" t="str">
        <f>IF(OR(Sheet1[[#This Row],[Salary_USD]]&lt;$V$13,Sheet1[[#This Row],[Salary_USD]]&gt;$V$12),"Outlier","Normal")</f>
        <v>Normal</v>
      </c>
    </row>
    <row r="882" spans="1:19" x14ac:dyDescent="0.25">
      <c r="A882" t="s">
        <v>17</v>
      </c>
      <c r="B882" t="s">
        <v>26</v>
      </c>
      <c r="C882" t="s">
        <v>45</v>
      </c>
      <c r="D882" t="s">
        <v>61</v>
      </c>
      <c r="E882" s="2">
        <v>49692</v>
      </c>
      <c r="F882" s="2">
        <v>4214</v>
      </c>
      <c r="G882" t="s">
        <v>63</v>
      </c>
      <c r="H882" t="s">
        <v>70</v>
      </c>
      <c r="I882" t="s">
        <v>79</v>
      </c>
      <c r="J882" t="s">
        <v>91</v>
      </c>
      <c r="K882" t="s">
        <v>118</v>
      </c>
      <c r="L882">
        <v>20</v>
      </c>
      <c r="M882">
        <v>20</v>
      </c>
      <c r="N882" t="s">
        <v>150</v>
      </c>
      <c r="O882" t="s">
        <v>154</v>
      </c>
      <c r="P882" t="s">
        <v>212</v>
      </c>
      <c r="Q882">
        <v>1.1000000000000001</v>
      </c>
      <c r="R882" s="9">
        <v>54661.200000000004</v>
      </c>
      <c r="S882" t="str">
        <f>IF(OR(Sheet1[[#This Row],[Salary_USD]]&lt;$V$13,Sheet1[[#This Row],[Salary_USD]]&gt;$V$12),"Outlier","Normal")</f>
        <v>Normal</v>
      </c>
    </row>
    <row r="883" spans="1:19" x14ac:dyDescent="0.25">
      <c r="A883" t="s">
        <v>17</v>
      </c>
      <c r="B883" t="s">
        <v>35</v>
      </c>
      <c r="C883" t="s">
        <v>39</v>
      </c>
      <c r="D883" t="s">
        <v>61</v>
      </c>
      <c r="E883" s="2">
        <v>793430</v>
      </c>
      <c r="F883" s="2">
        <v>57353</v>
      </c>
      <c r="G883" t="s">
        <v>66</v>
      </c>
      <c r="H883" t="s">
        <v>71</v>
      </c>
      <c r="I883" t="s">
        <v>74</v>
      </c>
      <c r="J883" t="s">
        <v>84</v>
      </c>
      <c r="K883" t="s">
        <v>74</v>
      </c>
      <c r="L883">
        <v>25</v>
      </c>
      <c r="M883">
        <v>25</v>
      </c>
      <c r="N883" t="s">
        <v>148</v>
      </c>
      <c r="O883" t="s">
        <v>156</v>
      </c>
      <c r="P883" t="s">
        <v>165</v>
      </c>
      <c r="Q883">
        <v>1.2E-2</v>
      </c>
      <c r="R883" s="9">
        <v>9521.16</v>
      </c>
      <c r="S883" t="str">
        <f>IF(OR(Sheet1[[#This Row],[Salary_USD]]&lt;$V$13,Sheet1[[#This Row],[Salary_USD]]&gt;$V$12),"Outlier","Normal")</f>
        <v>Normal</v>
      </c>
    </row>
    <row r="884" spans="1:19" x14ac:dyDescent="0.25">
      <c r="A884" t="s">
        <v>19</v>
      </c>
      <c r="B884" t="s">
        <v>31</v>
      </c>
      <c r="C884" t="s">
        <v>52</v>
      </c>
      <c r="D884" t="s">
        <v>54</v>
      </c>
      <c r="E884" s="2">
        <v>671445</v>
      </c>
      <c r="F884" s="2">
        <v>146691</v>
      </c>
      <c r="G884" t="s">
        <v>66</v>
      </c>
      <c r="H884" t="s">
        <v>71</v>
      </c>
      <c r="I884" t="s">
        <v>74</v>
      </c>
      <c r="J884" t="s">
        <v>84</v>
      </c>
      <c r="K884" t="s">
        <v>74</v>
      </c>
      <c r="L884">
        <v>3</v>
      </c>
      <c r="M884">
        <v>3</v>
      </c>
      <c r="N884" t="s">
        <v>149</v>
      </c>
      <c r="O884" t="s">
        <v>154</v>
      </c>
      <c r="P884" t="s">
        <v>212</v>
      </c>
      <c r="Q884">
        <v>1.2E-2</v>
      </c>
      <c r="R884" s="9">
        <v>8057.34</v>
      </c>
      <c r="S884" t="str">
        <f>IF(OR(Sheet1[[#This Row],[Salary_USD]]&lt;$V$13,Sheet1[[#This Row],[Salary_USD]]&gt;$V$12),"Outlier","Normal")</f>
        <v>Normal</v>
      </c>
    </row>
    <row r="885" spans="1:19" x14ac:dyDescent="0.25">
      <c r="A885" t="s">
        <v>19</v>
      </c>
      <c r="B885" t="s">
        <v>23</v>
      </c>
      <c r="C885" t="s">
        <v>41</v>
      </c>
      <c r="D885" t="s">
        <v>451</v>
      </c>
      <c r="E885" s="2">
        <v>51654</v>
      </c>
      <c r="F885" s="2">
        <v>1208</v>
      </c>
      <c r="G885" t="s">
        <v>63</v>
      </c>
      <c r="H885" t="s">
        <v>56</v>
      </c>
      <c r="I885" t="s">
        <v>80</v>
      </c>
      <c r="J885" t="s">
        <v>106</v>
      </c>
      <c r="K885" t="s">
        <v>106</v>
      </c>
      <c r="L885">
        <v>20</v>
      </c>
      <c r="M885">
        <v>20</v>
      </c>
      <c r="N885" t="s">
        <v>150</v>
      </c>
      <c r="O885" t="s">
        <v>154</v>
      </c>
      <c r="P885" t="s">
        <v>265</v>
      </c>
      <c r="Q885">
        <v>1.1000000000000001</v>
      </c>
      <c r="R885" s="9">
        <v>56819.4</v>
      </c>
      <c r="S885" t="str">
        <f>IF(OR(Sheet1[[#This Row],[Salary_USD]]&lt;$V$13,Sheet1[[#This Row],[Salary_USD]]&gt;$V$12),"Outlier","Normal")</f>
        <v>Normal</v>
      </c>
    </row>
    <row r="886" spans="1:19" x14ac:dyDescent="0.25">
      <c r="A886" t="s">
        <v>17</v>
      </c>
      <c r="B886" t="s">
        <v>35</v>
      </c>
      <c r="C886" t="s">
        <v>48</v>
      </c>
      <c r="D886" t="s">
        <v>54</v>
      </c>
      <c r="E886" s="2">
        <v>83291</v>
      </c>
      <c r="F886" s="2">
        <v>13187</v>
      </c>
      <c r="G886" t="s">
        <v>64</v>
      </c>
      <c r="H886" t="s">
        <v>451</v>
      </c>
      <c r="I886" t="s">
        <v>78</v>
      </c>
      <c r="J886" t="s">
        <v>88</v>
      </c>
      <c r="K886" t="s">
        <v>117</v>
      </c>
      <c r="L886">
        <v>15</v>
      </c>
      <c r="M886">
        <v>15</v>
      </c>
      <c r="N886" t="s">
        <v>150</v>
      </c>
      <c r="O886" t="s">
        <v>155</v>
      </c>
      <c r="P886" t="s">
        <v>399</v>
      </c>
      <c r="Q886">
        <v>0.65</v>
      </c>
      <c r="R886" s="9">
        <v>54139.15</v>
      </c>
      <c r="S886" t="str">
        <f>IF(OR(Sheet1[[#This Row],[Salary_USD]]&lt;$V$13,Sheet1[[#This Row],[Salary_USD]]&gt;$V$12),"Outlier","Normal")</f>
        <v>Normal</v>
      </c>
    </row>
    <row r="887" spans="1:19" x14ac:dyDescent="0.25">
      <c r="A887" t="s">
        <v>20</v>
      </c>
      <c r="B887" t="s">
        <v>29</v>
      </c>
      <c r="C887" t="s">
        <v>49</v>
      </c>
      <c r="D887" t="s">
        <v>57</v>
      </c>
      <c r="E887" s="2">
        <v>868346</v>
      </c>
      <c r="F887" s="2">
        <v>0</v>
      </c>
      <c r="G887" t="s">
        <v>66</v>
      </c>
      <c r="H887" t="s">
        <v>71</v>
      </c>
      <c r="I887" t="s">
        <v>80</v>
      </c>
      <c r="J887" t="s">
        <v>93</v>
      </c>
      <c r="K887" t="s">
        <v>93</v>
      </c>
      <c r="L887">
        <v>5</v>
      </c>
      <c r="M887">
        <v>5</v>
      </c>
      <c r="N887" t="s">
        <v>148</v>
      </c>
      <c r="O887" t="s">
        <v>156</v>
      </c>
      <c r="P887" t="s">
        <v>428</v>
      </c>
      <c r="Q887">
        <v>1.2E-2</v>
      </c>
      <c r="R887" s="9">
        <v>10420.152</v>
      </c>
      <c r="S887" t="str">
        <f>IF(OR(Sheet1[[#This Row],[Salary_USD]]&lt;$V$13,Sheet1[[#This Row],[Salary_USD]]&gt;$V$12),"Outlier","Normal")</f>
        <v>Normal</v>
      </c>
    </row>
    <row r="888" spans="1:19" x14ac:dyDescent="0.25">
      <c r="A888" t="s">
        <v>21</v>
      </c>
      <c r="B888" t="s">
        <v>24</v>
      </c>
      <c r="C888" t="s">
        <v>51</v>
      </c>
      <c r="D888" t="s">
        <v>451</v>
      </c>
      <c r="E888" s="2">
        <v>64212</v>
      </c>
      <c r="F888" s="2">
        <v>1662</v>
      </c>
      <c r="G888" t="s">
        <v>64</v>
      </c>
      <c r="H888" t="s">
        <v>71</v>
      </c>
      <c r="I888" t="s">
        <v>76</v>
      </c>
      <c r="J888" t="s">
        <v>100</v>
      </c>
      <c r="K888" t="s">
        <v>126</v>
      </c>
      <c r="L888">
        <v>12</v>
      </c>
      <c r="M888">
        <v>11</v>
      </c>
      <c r="N888" t="s">
        <v>148</v>
      </c>
      <c r="O888" t="s">
        <v>157</v>
      </c>
      <c r="P888" t="s">
        <v>180</v>
      </c>
      <c r="Q888">
        <v>0.65</v>
      </c>
      <c r="R888" s="9">
        <v>41737.800000000003</v>
      </c>
      <c r="S888" t="str">
        <f>IF(OR(Sheet1[[#This Row],[Salary_USD]]&lt;$V$13,Sheet1[[#This Row],[Salary_USD]]&gt;$V$12),"Outlier","Normal")</f>
        <v>Normal</v>
      </c>
    </row>
    <row r="889" spans="1:19" x14ac:dyDescent="0.25">
      <c r="A889" t="s">
        <v>19</v>
      </c>
      <c r="B889" t="s">
        <v>32</v>
      </c>
      <c r="C889" t="s">
        <v>44</v>
      </c>
      <c r="D889" t="s">
        <v>60</v>
      </c>
      <c r="E889" s="2">
        <v>116470</v>
      </c>
      <c r="F889" s="2">
        <v>17074</v>
      </c>
      <c r="G889" t="s">
        <v>64</v>
      </c>
      <c r="H889" t="s">
        <v>69</v>
      </c>
      <c r="I889" t="s">
        <v>80</v>
      </c>
      <c r="J889" t="s">
        <v>106</v>
      </c>
      <c r="K889" t="s">
        <v>106</v>
      </c>
      <c r="L889">
        <v>5</v>
      </c>
      <c r="M889">
        <v>4</v>
      </c>
      <c r="N889" t="s">
        <v>151</v>
      </c>
      <c r="O889" t="s">
        <v>155</v>
      </c>
      <c r="P889" t="s">
        <v>429</v>
      </c>
      <c r="Q889">
        <v>0.65</v>
      </c>
      <c r="R889" s="9">
        <v>75705.5</v>
      </c>
      <c r="S889" t="str">
        <f>IF(OR(Sheet1[[#This Row],[Salary_USD]]&lt;$V$13,Sheet1[[#This Row],[Salary_USD]]&gt;$V$12),"Outlier","Normal")</f>
        <v>Normal</v>
      </c>
    </row>
    <row r="890" spans="1:19" x14ac:dyDescent="0.25">
      <c r="A890" t="s">
        <v>19</v>
      </c>
      <c r="B890" t="s">
        <v>32</v>
      </c>
      <c r="C890" t="s">
        <v>39</v>
      </c>
      <c r="D890" t="s">
        <v>58</v>
      </c>
      <c r="E890" s="2">
        <v>97535</v>
      </c>
      <c r="F890" s="2">
        <v>28869</v>
      </c>
      <c r="G890" t="s">
        <v>63</v>
      </c>
      <c r="H890" t="s">
        <v>69</v>
      </c>
      <c r="I890" t="s">
        <v>73</v>
      </c>
      <c r="J890" t="s">
        <v>83</v>
      </c>
      <c r="K890" t="s">
        <v>113</v>
      </c>
      <c r="L890">
        <v>10</v>
      </c>
      <c r="M890">
        <v>7</v>
      </c>
      <c r="N890" t="s">
        <v>153</v>
      </c>
      <c r="O890" t="s">
        <v>156</v>
      </c>
      <c r="P890" t="s">
        <v>283</v>
      </c>
      <c r="Q890">
        <v>1.1000000000000001</v>
      </c>
      <c r="R890" s="9">
        <v>107288.50000000001</v>
      </c>
      <c r="S890" t="str">
        <f>IF(OR(Sheet1[[#This Row],[Salary_USD]]&lt;$V$13,Sheet1[[#This Row],[Salary_USD]]&gt;$V$12),"Outlier","Normal")</f>
        <v>Normal</v>
      </c>
    </row>
    <row r="891" spans="1:19" x14ac:dyDescent="0.25">
      <c r="A891" t="s">
        <v>21</v>
      </c>
      <c r="B891" t="s">
        <v>26</v>
      </c>
      <c r="C891" t="s">
        <v>43</v>
      </c>
      <c r="D891" t="s">
        <v>55</v>
      </c>
      <c r="E891" s="2">
        <v>807373</v>
      </c>
      <c r="F891" s="2">
        <v>44554</v>
      </c>
      <c r="G891" t="s">
        <v>66</v>
      </c>
      <c r="H891" t="s">
        <v>451</v>
      </c>
      <c r="I891" t="s">
        <v>79</v>
      </c>
      <c r="J891" t="s">
        <v>91</v>
      </c>
      <c r="K891" t="s">
        <v>118</v>
      </c>
      <c r="L891">
        <v>25</v>
      </c>
      <c r="M891">
        <v>23</v>
      </c>
      <c r="N891" t="s">
        <v>153</v>
      </c>
      <c r="O891" t="s">
        <v>157</v>
      </c>
      <c r="P891" t="s">
        <v>288</v>
      </c>
      <c r="Q891">
        <v>1.2E-2</v>
      </c>
      <c r="R891" s="9">
        <v>9688.4760000000006</v>
      </c>
      <c r="S891" t="str">
        <f>IF(OR(Sheet1[[#This Row],[Salary_USD]]&lt;$V$13,Sheet1[[#This Row],[Salary_USD]]&gt;$V$12),"Outlier","Normal")</f>
        <v>Normal</v>
      </c>
    </row>
    <row r="892" spans="1:19" x14ac:dyDescent="0.25">
      <c r="A892" t="s">
        <v>19</v>
      </c>
      <c r="B892" t="s">
        <v>35</v>
      </c>
      <c r="C892" t="s">
        <v>39</v>
      </c>
      <c r="D892" t="s">
        <v>60</v>
      </c>
      <c r="E892" s="2">
        <v>86057</v>
      </c>
      <c r="F892" s="2">
        <v>8165</v>
      </c>
      <c r="G892" t="s">
        <v>64</v>
      </c>
      <c r="H892" t="s">
        <v>56</v>
      </c>
      <c r="I892" t="s">
        <v>76</v>
      </c>
      <c r="J892" t="s">
        <v>100</v>
      </c>
      <c r="K892" t="s">
        <v>126</v>
      </c>
      <c r="L892">
        <v>12</v>
      </c>
      <c r="M892">
        <v>12</v>
      </c>
      <c r="N892" t="s">
        <v>151</v>
      </c>
      <c r="O892" t="s">
        <v>155</v>
      </c>
      <c r="P892" t="s">
        <v>185</v>
      </c>
      <c r="Q892">
        <v>0.65</v>
      </c>
      <c r="R892" s="9">
        <v>55937.05</v>
      </c>
      <c r="S892" t="str">
        <f>IF(OR(Sheet1[[#This Row],[Salary_USD]]&lt;$V$13,Sheet1[[#This Row],[Salary_USD]]&gt;$V$12),"Outlier","Normal")</f>
        <v>Normal</v>
      </c>
    </row>
    <row r="893" spans="1:19" x14ac:dyDescent="0.25">
      <c r="A893" t="s">
        <v>20</v>
      </c>
      <c r="B893" t="s">
        <v>26</v>
      </c>
      <c r="C893" t="s">
        <v>50</v>
      </c>
      <c r="D893" t="s">
        <v>57</v>
      </c>
      <c r="E893" s="2">
        <v>56213</v>
      </c>
      <c r="F893" s="2">
        <v>2154</v>
      </c>
      <c r="G893" t="s">
        <v>65</v>
      </c>
      <c r="H893" t="s">
        <v>71</v>
      </c>
      <c r="I893" t="s">
        <v>73</v>
      </c>
      <c r="J893" t="s">
        <v>99</v>
      </c>
      <c r="K893" t="s">
        <v>125</v>
      </c>
      <c r="L893">
        <v>5</v>
      </c>
      <c r="M893">
        <v>5</v>
      </c>
      <c r="N893" t="s">
        <v>151</v>
      </c>
      <c r="O893" t="s">
        <v>154</v>
      </c>
      <c r="P893" t="s">
        <v>362</v>
      </c>
      <c r="Q893">
        <v>0.73</v>
      </c>
      <c r="R893" s="9">
        <v>41035.49</v>
      </c>
      <c r="S893" t="str">
        <f>IF(OR(Sheet1[[#This Row],[Salary_USD]]&lt;$V$13,Sheet1[[#This Row],[Salary_USD]]&gt;$V$12),"Outlier","Normal")</f>
        <v>Normal</v>
      </c>
    </row>
    <row r="894" spans="1:19" x14ac:dyDescent="0.25">
      <c r="A894" t="s">
        <v>19</v>
      </c>
      <c r="B894" t="s">
        <v>31</v>
      </c>
      <c r="C894" t="s">
        <v>36</v>
      </c>
      <c r="D894" t="s">
        <v>54</v>
      </c>
      <c r="E894" s="2">
        <v>25433</v>
      </c>
      <c r="F894" s="2">
        <v>3865</v>
      </c>
      <c r="G894" t="s">
        <v>63</v>
      </c>
      <c r="H894" t="s">
        <v>71</v>
      </c>
      <c r="I894" t="s">
        <v>77</v>
      </c>
      <c r="J894" t="s">
        <v>111</v>
      </c>
      <c r="K894" t="s">
        <v>146</v>
      </c>
      <c r="L894">
        <v>7</v>
      </c>
      <c r="M894">
        <v>5</v>
      </c>
      <c r="N894" t="s">
        <v>148</v>
      </c>
      <c r="O894" t="s">
        <v>156</v>
      </c>
      <c r="P894" t="s">
        <v>255</v>
      </c>
      <c r="Q894">
        <v>1.1000000000000001</v>
      </c>
      <c r="R894" s="9">
        <v>27976.300000000003</v>
      </c>
      <c r="S894" t="str">
        <f>IF(OR(Sheet1[[#This Row],[Salary_USD]]&lt;$V$13,Sheet1[[#This Row],[Salary_USD]]&gt;$V$12),"Outlier","Normal")</f>
        <v>Normal</v>
      </c>
    </row>
    <row r="895" spans="1:19" x14ac:dyDescent="0.25">
      <c r="A895" t="s">
        <v>19</v>
      </c>
      <c r="B895" t="s">
        <v>34</v>
      </c>
      <c r="C895" t="s">
        <v>48</v>
      </c>
      <c r="D895" t="s">
        <v>59</v>
      </c>
      <c r="E895" s="2">
        <v>116425</v>
      </c>
      <c r="F895" s="2">
        <v>832</v>
      </c>
      <c r="G895" t="s">
        <v>63</v>
      </c>
      <c r="H895" t="s">
        <v>56</v>
      </c>
      <c r="I895" t="s">
        <v>72</v>
      </c>
      <c r="J895" t="s">
        <v>82</v>
      </c>
      <c r="K895" t="s">
        <v>112</v>
      </c>
      <c r="L895">
        <v>4</v>
      </c>
      <c r="M895">
        <v>4</v>
      </c>
      <c r="N895" t="s">
        <v>153</v>
      </c>
      <c r="O895" t="s">
        <v>155</v>
      </c>
      <c r="P895" t="s">
        <v>297</v>
      </c>
      <c r="Q895">
        <v>1.1000000000000001</v>
      </c>
      <c r="R895" s="9">
        <v>128067.50000000001</v>
      </c>
      <c r="S895" t="str">
        <f>IF(OR(Sheet1[[#This Row],[Salary_USD]]&lt;$V$13,Sheet1[[#This Row],[Salary_USD]]&gt;$V$12),"Outlier","Normal")</f>
        <v>Normal</v>
      </c>
    </row>
    <row r="896" spans="1:19" x14ac:dyDescent="0.25">
      <c r="A896" t="s">
        <v>20</v>
      </c>
      <c r="B896" t="s">
        <v>29</v>
      </c>
      <c r="C896" t="s">
        <v>50</v>
      </c>
      <c r="D896" t="s">
        <v>54</v>
      </c>
      <c r="E896" s="2">
        <v>88922</v>
      </c>
      <c r="F896" s="2">
        <v>0</v>
      </c>
      <c r="G896" t="s">
        <v>64</v>
      </c>
      <c r="H896" t="s">
        <v>71</v>
      </c>
      <c r="I896" t="s">
        <v>73</v>
      </c>
      <c r="J896" t="s">
        <v>102</v>
      </c>
      <c r="K896" t="s">
        <v>102</v>
      </c>
      <c r="L896">
        <v>5</v>
      </c>
      <c r="M896">
        <v>4</v>
      </c>
      <c r="N896" t="s">
        <v>149</v>
      </c>
      <c r="O896" t="s">
        <v>156</v>
      </c>
      <c r="P896" t="s">
        <v>178</v>
      </c>
      <c r="Q896">
        <v>0.65</v>
      </c>
      <c r="R896" s="9">
        <v>57799.3</v>
      </c>
      <c r="S896" t="str">
        <f>IF(OR(Sheet1[[#This Row],[Salary_USD]]&lt;$V$13,Sheet1[[#This Row],[Salary_USD]]&gt;$V$12),"Outlier","Normal")</f>
        <v>Normal</v>
      </c>
    </row>
    <row r="897" spans="1:19" x14ac:dyDescent="0.25">
      <c r="A897" t="s">
        <v>19</v>
      </c>
      <c r="B897" t="s">
        <v>24</v>
      </c>
      <c r="C897" t="s">
        <v>53</v>
      </c>
      <c r="D897" t="s">
        <v>60</v>
      </c>
      <c r="E897" s="2">
        <v>81823</v>
      </c>
      <c r="F897" s="2">
        <v>0</v>
      </c>
      <c r="G897" t="s">
        <v>68</v>
      </c>
      <c r="H897" t="s">
        <v>70</v>
      </c>
      <c r="I897" t="s">
        <v>81</v>
      </c>
      <c r="J897" t="s">
        <v>98</v>
      </c>
      <c r="K897" t="s">
        <v>123</v>
      </c>
      <c r="L897">
        <v>2</v>
      </c>
      <c r="M897">
        <v>2</v>
      </c>
      <c r="N897" t="s">
        <v>150</v>
      </c>
      <c r="O897" t="s">
        <v>157</v>
      </c>
      <c r="P897" t="s">
        <v>173</v>
      </c>
      <c r="Q897">
        <v>1.25</v>
      </c>
      <c r="R897" s="9">
        <v>102278.75</v>
      </c>
      <c r="S897" t="str">
        <f>IF(OR(Sheet1[[#This Row],[Salary_USD]]&lt;$V$13,Sheet1[[#This Row],[Salary_USD]]&gt;$V$12),"Outlier","Normal")</f>
        <v>Normal</v>
      </c>
    </row>
    <row r="898" spans="1:19" x14ac:dyDescent="0.25">
      <c r="A898" t="s">
        <v>20</v>
      </c>
      <c r="B898" t="s">
        <v>33</v>
      </c>
      <c r="C898" t="s">
        <v>39</v>
      </c>
      <c r="D898" t="s">
        <v>451</v>
      </c>
      <c r="E898" s="2">
        <v>121483</v>
      </c>
      <c r="F898" s="2">
        <v>2505</v>
      </c>
      <c r="G898" t="s">
        <v>67</v>
      </c>
      <c r="H898" t="s">
        <v>70</v>
      </c>
      <c r="I898" t="s">
        <v>77</v>
      </c>
      <c r="J898" t="s">
        <v>97</v>
      </c>
      <c r="K898" t="s">
        <v>122</v>
      </c>
      <c r="L898">
        <v>7</v>
      </c>
      <c r="M898">
        <v>7</v>
      </c>
      <c r="N898" t="s">
        <v>153</v>
      </c>
      <c r="O898" t="s">
        <v>155</v>
      </c>
      <c r="P898" t="s">
        <v>272</v>
      </c>
      <c r="Q898">
        <v>1</v>
      </c>
      <c r="R898" s="9">
        <v>121483</v>
      </c>
      <c r="S898" t="str">
        <f>IF(OR(Sheet1[[#This Row],[Salary_USD]]&lt;$V$13,Sheet1[[#This Row],[Salary_USD]]&gt;$V$12),"Outlier","Normal")</f>
        <v>Normal</v>
      </c>
    </row>
    <row r="899" spans="1:19" x14ac:dyDescent="0.25">
      <c r="A899" t="s">
        <v>17</v>
      </c>
      <c r="B899" t="s">
        <v>24</v>
      </c>
      <c r="C899" t="s">
        <v>45</v>
      </c>
      <c r="D899" t="s">
        <v>54</v>
      </c>
      <c r="E899" s="2">
        <v>67643</v>
      </c>
      <c r="F899" s="2">
        <v>3191</v>
      </c>
      <c r="G899" t="s">
        <v>65</v>
      </c>
      <c r="H899" t="s">
        <v>451</v>
      </c>
      <c r="I899" t="s">
        <v>78</v>
      </c>
      <c r="J899" t="s">
        <v>109</v>
      </c>
      <c r="K899" t="s">
        <v>137</v>
      </c>
      <c r="L899">
        <v>20</v>
      </c>
      <c r="M899">
        <v>20</v>
      </c>
      <c r="N899" t="s">
        <v>148</v>
      </c>
      <c r="O899" t="s">
        <v>157</v>
      </c>
      <c r="P899" t="s">
        <v>169</v>
      </c>
      <c r="Q899">
        <v>0.73</v>
      </c>
      <c r="R899" s="9">
        <v>49379.39</v>
      </c>
      <c r="S899" t="str">
        <f>IF(OR(Sheet1[[#This Row],[Salary_USD]]&lt;$V$13,Sheet1[[#This Row],[Salary_USD]]&gt;$V$12),"Outlier","Normal")</f>
        <v>Normal</v>
      </c>
    </row>
    <row r="900" spans="1:19" x14ac:dyDescent="0.25">
      <c r="A900" t="s">
        <v>19</v>
      </c>
      <c r="B900" t="s">
        <v>35</v>
      </c>
      <c r="C900" t="s">
        <v>46</v>
      </c>
      <c r="D900" t="s">
        <v>57</v>
      </c>
      <c r="E900" s="2">
        <v>488678</v>
      </c>
      <c r="F900" s="2">
        <v>8115</v>
      </c>
      <c r="G900" t="s">
        <v>66</v>
      </c>
      <c r="H900" t="s">
        <v>71</v>
      </c>
      <c r="I900" t="s">
        <v>72</v>
      </c>
      <c r="J900" t="s">
        <v>82</v>
      </c>
      <c r="K900" t="s">
        <v>112</v>
      </c>
      <c r="L900">
        <v>20</v>
      </c>
      <c r="M900">
        <v>20</v>
      </c>
      <c r="N900" t="s">
        <v>149</v>
      </c>
      <c r="O900" t="s">
        <v>156</v>
      </c>
      <c r="P900" t="s">
        <v>165</v>
      </c>
      <c r="Q900">
        <v>1.2E-2</v>
      </c>
      <c r="R900" s="9">
        <v>5864.1360000000004</v>
      </c>
      <c r="S900" t="str">
        <f>IF(OR(Sheet1[[#This Row],[Salary_USD]]&lt;$V$13,Sheet1[[#This Row],[Salary_USD]]&gt;$V$12),"Outlier","Normal")</f>
        <v>Normal</v>
      </c>
    </row>
    <row r="901" spans="1:19" x14ac:dyDescent="0.25">
      <c r="A901" t="s">
        <v>17</v>
      </c>
      <c r="B901" t="s">
        <v>34</v>
      </c>
      <c r="C901" t="s">
        <v>36</v>
      </c>
      <c r="D901" t="s">
        <v>55</v>
      </c>
      <c r="E901" s="2">
        <v>560249</v>
      </c>
      <c r="F901" s="2">
        <v>0</v>
      </c>
      <c r="G901" t="s">
        <v>66</v>
      </c>
      <c r="H901" t="s">
        <v>70</v>
      </c>
      <c r="I901" t="s">
        <v>78</v>
      </c>
      <c r="J901" t="s">
        <v>88</v>
      </c>
      <c r="K901" t="s">
        <v>128</v>
      </c>
      <c r="L901">
        <v>18</v>
      </c>
      <c r="M901">
        <v>17</v>
      </c>
      <c r="N901" t="s">
        <v>151</v>
      </c>
      <c r="O901" t="s">
        <v>156</v>
      </c>
      <c r="P901" t="s">
        <v>181</v>
      </c>
      <c r="Q901">
        <v>1.2E-2</v>
      </c>
      <c r="R901" s="9">
        <v>6722.9880000000003</v>
      </c>
      <c r="S901" t="str">
        <f>IF(OR(Sheet1[[#This Row],[Salary_USD]]&lt;$V$13,Sheet1[[#This Row],[Salary_USD]]&gt;$V$12),"Outlier","Normal")</f>
        <v>Normal</v>
      </c>
    </row>
    <row r="902" spans="1:19" x14ac:dyDescent="0.25">
      <c r="A902" t="s">
        <v>20</v>
      </c>
      <c r="B902" t="s">
        <v>23</v>
      </c>
      <c r="C902" t="s">
        <v>37</v>
      </c>
      <c r="D902" t="s">
        <v>56</v>
      </c>
      <c r="E902" s="2">
        <v>58869</v>
      </c>
      <c r="F902" s="2">
        <v>2792</v>
      </c>
      <c r="G902" t="s">
        <v>65</v>
      </c>
      <c r="H902" t="s">
        <v>56</v>
      </c>
      <c r="I902" t="s">
        <v>78</v>
      </c>
      <c r="J902" t="s">
        <v>105</v>
      </c>
      <c r="K902" t="s">
        <v>142</v>
      </c>
      <c r="L902">
        <v>6</v>
      </c>
      <c r="M902">
        <v>6</v>
      </c>
      <c r="N902" t="s">
        <v>153</v>
      </c>
      <c r="O902" t="s">
        <v>156</v>
      </c>
      <c r="P902" t="s">
        <v>175</v>
      </c>
      <c r="Q902">
        <v>0.73</v>
      </c>
      <c r="R902" s="9">
        <v>42974.369999999995</v>
      </c>
      <c r="S902" t="str">
        <f>IF(OR(Sheet1[[#This Row],[Salary_USD]]&lt;$V$13,Sheet1[[#This Row],[Salary_USD]]&gt;$V$12),"Outlier","Normal")</f>
        <v>Normal</v>
      </c>
    </row>
    <row r="903" spans="1:19" x14ac:dyDescent="0.25">
      <c r="A903" t="s">
        <v>17</v>
      </c>
      <c r="B903" t="s">
        <v>35</v>
      </c>
      <c r="C903" t="s">
        <v>43</v>
      </c>
      <c r="D903" t="s">
        <v>54</v>
      </c>
      <c r="E903" s="2">
        <v>82296</v>
      </c>
      <c r="F903" s="2">
        <v>13355</v>
      </c>
      <c r="G903" t="s">
        <v>68</v>
      </c>
      <c r="H903" t="s">
        <v>69</v>
      </c>
      <c r="I903" t="s">
        <v>80</v>
      </c>
      <c r="J903" t="s">
        <v>93</v>
      </c>
      <c r="K903" t="s">
        <v>93</v>
      </c>
      <c r="L903">
        <v>10</v>
      </c>
      <c r="M903">
        <v>10</v>
      </c>
      <c r="N903" t="s">
        <v>152</v>
      </c>
      <c r="O903" t="s">
        <v>154</v>
      </c>
      <c r="P903" t="s">
        <v>221</v>
      </c>
      <c r="Q903">
        <v>1.25</v>
      </c>
      <c r="R903" s="9">
        <v>102870</v>
      </c>
      <c r="S903" t="str">
        <f>IF(OR(Sheet1[[#This Row],[Salary_USD]]&lt;$V$13,Sheet1[[#This Row],[Salary_USD]]&gt;$V$12),"Outlier","Normal")</f>
        <v>Normal</v>
      </c>
    </row>
    <row r="904" spans="1:19" x14ac:dyDescent="0.25">
      <c r="A904" t="s">
        <v>20</v>
      </c>
      <c r="B904" t="s">
        <v>33</v>
      </c>
      <c r="C904" t="s">
        <v>53</v>
      </c>
      <c r="D904" t="s">
        <v>56</v>
      </c>
      <c r="E904" s="2">
        <v>1363738</v>
      </c>
      <c r="F904" s="2">
        <v>251202</v>
      </c>
      <c r="G904" t="s">
        <v>66</v>
      </c>
      <c r="H904" t="s">
        <v>56</v>
      </c>
      <c r="I904" t="s">
        <v>77</v>
      </c>
      <c r="J904" t="s">
        <v>110</v>
      </c>
      <c r="K904" t="s">
        <v>139</v>
      </c>
      <c r="L904">
        <v>0</v>
      </c>
      <c r="M904">
        <v>0</v>
      </c>
      <c r="N904" t="s">
        <v>149</v>
      </c>
      <c r="O904" t="s">
        <v>155</v>
      </c>
      <c r="P904" t="s">
        <v>430</v>
      </c>
      <c r="Q904">
        <v>1.2E-2</v>
      </c>
      <c r="R904" s="9">
        <v>16364.856</v>
      </c>
      <c r="S904" t="str">
        <f>IF(OR(Sheet1[[#This Row],[Salary_USD]]&lt;$V$13,Sheet1[[#This Row],[Salary_USD]]&gt;$V$12),"Outlier","Normal")</f>
        <v>Normal</v>
      </c>
    </row>
    <row r="905" spans="1:19" x14ac:dyDescent="0.25">
      <c r="A905" t="s">
        <v>21</v>
      </c>
      <c r="B905" t="s">
        <v>32</v>
      </c>
      <c r="C905" t="s">
        <v>38</v>
      </c>
      <c r="D905" t="s">
        <v>57</v>
      </c>
      <c r="E905" s="2">
        <v>53125</v>
      </c>
      <c r="F905" s="2">
        <v>7020</v>
      </c>
      <c r="G905" t="s">
        <v>63</v>
      </c>
      <c r="H905" t="s">
        <v>451</v>
      </c>
      <c r="I905" t="s">
        <v>75</v>
      </c>
      <c r="J905" t="s">
        <v>96</v>
      </c>
      <c r="K905" t="s">
        <v>121</v>
      </c>
      <c r="L905">
        <v>8</v>
      </c>
      <c r="M905">
        <v>8</v>
      </c>
      <c r="N905" t="s">
        <v>148</v>
      </c>
      <c r="O905" t="s">
        <v>157</v>
      </c>
      <c r="P905" t="s">
        <v>358</v>
      </c>
      <c r="Q905">
        <v>1.1000000000000001</v>
      </c>
      <c r="R905" s="9">
        <v>58437.500000000007</v>
      </c>
      <c r="S905" t="str">
        <f>IF(OR(Sheet1[[#This Row],[Salary_USD]]&lt;$V$13,Sheet1[[#This Row],[Salary_USD]]&gt;$V$12),"Outlier","Normal")</f>
        <v>Normal</v>
      </c>
    </row>
    <row r="906" spans="1:19" x14ac:dyDescent="0.25">
      <c r="A906" t="s">
        <v>19</v>
      </c>
      <c r="B906" t="s">
        <v>32</v>
      </c>
      <c r="C906" t="s">
        <v>40</v>
      </c>
      <c r="D906" t="s">
        <v>60</v>
      </c>
      <c r="E906" s="2">
        <v>106162</v>
      </c>
      <c r="F906" s="2">
        <v>9739</v>
      </c>
      <c r="G906" t="s">
        <v>67</v>
      </c>
      <c r="H906" t="s">
        <v>56</v>
      </c>
      <c r="I906" t="s">
        <v>73</v>
      </c>
      <c r="J906" t="s">
        <v>99</v>
      </c>
      <c r="K906" t="s">
        <v>125</v>
      </c>
      <c r="L906">
        <v>25</v>
      </c>
      <c r="M906">
        <v>22</v>
      </c>
      <c r="N906" t="s">
        <v>149</v>
      </c>
      <c r="O906" t="s">
        <v>156</v>
      </c>
      <c r="P906" t="s">
        <v>229</v>
      </c>
      <c r="Q906">
        <v>1</v>
      </c>
      <c r="R906" s="9">
        <v>106162</v>
      </c>
      <c r="S906" t="str">
        <f>IF(OR(Sheet1[[#This Row],[Salary_USD]]&lt;$V$13,Sheet1[[#This Row],[Salary_USD]]&gt;$V$12),"Outlier","Normal")</f>
        <v>Normal</v>
      </c>
    </row>
    <row r="907" spans="1:19" x14ac:dyDescent="0.25">
      <c r="A907" t="s">
        <v>17</v>
      </c>
      <c r="B907" t="s">
        <v>23</v>
      </c>
      <c r="C907" t="s">
        <v>49</v>
      </c>
      <c r="D907" t="s">
        <v>54</v>
      </c>
      <c r="E907" s="2">
        <v>636769</v>
      </c>
      <c r="F907" s="2">
        <v>29049</v>
      </c>
      <c r="G907" t="s">
        <v>66</v>
      </c>
      <c r="H907" t="s">
        <v>451</v>
      </c>
      <c r="I907" t="s">
        <v>77</v>
      </c>
      <c r="J907" t="s">
        <v>111</v>
      </c>
      <c r="K907" t="s">
        <v>146</v>
      </c>
      <c r="L907">
        <v>12</v>
      </c>
      <c r="M907">
        <v>12</v>
      </c>
      <c r="N907" t="s">
        <v>150</v>
      </c>
      <c r="O907" t="s">
        <v>156</v>
      </c>
      <c r="P907" t="s">
        <v>167</v>
      </c>
      <c r="Q907">
        <v>1.2E-2</v>
      </c>
      <c r="R907" s="9">
        <v>7641.2280000000001</v>
      </c>
      <c r="S907" t="str">
        <f>IF(OR(Sheet1[[#This Row],[Salary_USD]]&lt;$V$13,Sheet1[[#This Row],[Salary_USD]]&gt;$V$12),"Outlier","Normal")</f>
        <v>Normal</v>
      </c>
    </row>
    <row r="908" spans="1:19" x14ac:dyDescent="0.25">
      <c r="A908" t="s">
        <v>20</v>
      </c>
      <c r="B908" t="s">
        <v>29</v>
      </c>
      <c r="C908" t="s">
        <v>46</v>
      </c>
      <c r="D908" t="s">
        <v>58</v>
      </c>
      <c r="E908" s="2">
        <v>67692</v>
      </c>
      <c r="F908" s="2">
        <v>0</v>
      </c>
      <c r="G908" t="s">
        <v>64</v>
      </c>
      <c r="H908" t="s">
        <v>56</v>
      </c>
      <c r="I908" t="s">
        <v>76</v>
      </c>
      <c r="J908" t="s">
        <v>86</v>
      </c>
      <c r="K908" t="s">
        <v>115</v>
      </c>
      <c r="L908">
        <v>5</v>
      </c>
      <c r="M908">
        <v>5</v>
      </c>
      <c r="N908" t="s">
        <v>153</v>
      </c>
      <c r="O908" t="s">
        <v>157</v>
      </c>
      <c r="P908" t="s">
        <v>166</v>
      </c>
      <c r="Q908">
        <v>0.65</v>
      </c>
      <c r="R908" s="9">
        <v>43999.8</v>
      </c>
      <c r="S908" t="str">
        <f>IF(OR(Sheet1[[#This Row],[Salary_USD]]&lt;$V$13,Sheet1[[#This Row],[Salary_USD]]&gt;$V$12),"Outlier","Normal")</f>
        <v>Normal</v>
      </c>
    </row>
    <row r="909" spans="1:19" x14ac:dyDescent="0.25">
      <c r="A909" t="s">
        <v>19</v>
      </c>
      <c r="B909" t="s">
        <v>29</v>
      </c>
      <c r="C909" t="s">
        <v>43</v>
      </c>
      <c r="D909" t="s">
        <v>62</v>
      </c>
      <c r="E909" s="2">
        <v>60852</v>
      </c>
      <c r="F909" s="2">
        <v>1366</v>
      </c>
      <c r="G909" t="s">
        <v>68</v>
      </c>
      <c r="H909" t="s">
        <v>71</v>
      </c>
      <c r="I909" t="s">
        <v>76</v>
      </c>
      <c r="J909" t="s">
        <v>92</v>
      </c>
      <c r="K909" t="s">
        <v>119</v>
      </c>
      <c r="L909">
        <v>8</v>
      </c>
      <c r="M909">
        <v>8</v>
      </c>
      <c r="N909" t="s">
        <v>149</v>
      </c>
      <c r="O909" t="s">
        <v>156</v>
      </c>
      <c r="P909" t="s">
        <v>250</v>
      </c>
      <c r="Q909">
        <v>1.25</v>
      </c>
      <c r="R909" s="9">
        <v>76065</v>
      </c>
      <c r="S909" t="str">
        <f>IF(OR(Sheet1[[#This Row],[Salary_USD]]&lt;$V$13,Sheet1[[#This Row],[Salary_USD]]&gt;$V$12),"Outlier","Normal")</f>
        <v>Normal</v>
      </c>
    </row>
    <row r="910" spans="1:19" x14ac:dyDescent="0.25">
      <c r="A910" t="s">
        <v>19</v>
      </c>
      <c r="B910" t="s">
        <v>29</v>
      </c>
      <c r="C910" t="s">
        <v>38</v>
      </c>
      <c r="D910" t="s">
        <v>59</v>
      </c>
      <c r="E910" s="2">
        <v>76251</v>
      </c>
      <c r="F910" s="2">
        <v>4241</v>
      </c>
      <c r="G910" t="s">
        <v>63</v>
      </c>
      <c r="H910" t="s">
        <v>69</v>
      </c>
      <c r="I910" t="s">
        <v>79</v>
      </c>
      <c r="J910" t="s">
        <v>107</v>
      </c>
      <c r="K910" t="s">
        <v>134</v>
      </c>
      <c r="L910">
        <v>15</v>
      </c>
      <c r="M910">
        <v>15</v>
      </c>
      <c r="N910" t="s">
        <v>151</v>
      </c>
      <c r="O910" t="s">
        <v>154</v>
      </c>
      <c r="P910" t="s">
        <v>431</v>
      </c>
      <c r="Q910">
        <v>1.1000000000000001</v>
      </c>
      <c r="R910" s="9">
        <v>83876.100000000006</v>
      </c>
      <c r="S910" t="str">
        <f>IF(OR(Sheet1[[#This Row],[Salary_USD]]&lt;$V$13,Sheet1[[#This Row],[Salary_USD]]&gt;$V$12),"Outlier","Normal")</f>
        <v>Normal</v>
      </c>
    </row>
    <row r="911" spans="1:19" x14ac:dyDescent="0.25">
      <c r="A911" t="s">
        <v>17</v>
      </c>
      <c r="B911" t="s">
        <v>32</v>
      </c>
      <c r="C911" t="s">
        <v>39</v>
      </c>
      <c r="D911" t="s">
        <v>54</v>
      </c>
      <c r="E911" s="2">
        <v>1630160</v>
      </c>
      <c r="F911" s="2">
        <v>232652</v>
      </c>
      <c r="G911" t="s">
        <v>66</v>
      </c>
      <c r="H911" t="s">
        <v>70</v>
      </c>
      <c r="I911" t="s">
        <v>76</v>
      </c>
      <c r="J911" t="s">
        <v>100</v>
      </c>
      <c r="K911" t="s">
        <v>132</v>
      </c>
      <c r="L911">
        <v>20</v>
      </c>
      <c r="M911">
        <v>18</v>
      </c>
      <c r="N911" t="s">
        <v>152</v>
      </c>
      <c r="O911" t="s">
        <v>154</v>
      </c>
      <c r="P911" t="s">
        <v>400</v>
      </c>
      <c r="Q911">
        <v>1.2E-2</v>
      </c>
      <c r="R911" s="9">
        <v>19561.920000000002</v>
      </c>
      <c r="S911" t="str">
        <f>IF(OR(Sheet1[[#This Row],[Salary_USD]]&lt;$V$13,Sheet1[[#This Row],[Salary_USD]]&gt;$V$12),"Outlier","Normal")</f>
        <v>Normal</v>
      </c>
    </row>
    <row r="912" spans="1:19" x14ac:dyDescent="0.25">
      <c r="A912" t="s">
        <v>19</v>
      </c>
      <c r="B912" t="s">
        <v>33</v>
      </c>
      <c r="C912" t="s">
        <v>40</v>
      </c>
      <c r="D912" t="s">
        <v>59</v>
      </c>
      <c r="E912" s="2">
        <v>126434</v>
      </c>
      <c r="F912" s="2">
        <v>4473</v>
      </c>
      <c r="G912" t="s">
        <v>63</v>
      </c>
      <c r="H912" t="s">
        <v>451</v>
      </c>
      <c r="I912" t="s">
        <v>76</v>
      </c>
      <c r="J912" t="s">
        <v>86</v>
      </c>
      <c r="K912" t="s">
        <v>115</v>
      </c>
      <c r="L912">
        <v>20</v>
      </c>
      <c r="M912">
        <v>17</v>
      </c>
      <c r="N912" t="s">
        <v>151</v>
      </c>
      <c r="O912" t="s">
        <v>155</v>
      </c>
      <c r="P912" t="s">
        <v>250</v>
      </c>
      <c r="Q912">
        <v>1.1000000000000001</v>
      </c>
      <c r="R912" s="9">
        <v>139077.40000000002</v>
      </c>
      <c r="S912" t="str">
        <f>IF(OR(Sheet1[[#This Row],[Salary_USD]]&lt;$V$13,Sheet1[[#This Row],[Salary_USD]]&gt;$V$12),"Outlier","Normal")</f>
        <v>Normal</v>
      </c>
    </row>
    <row r="913" spans="1:19" x14ac:dyDescent="0.25">
      <c r="A913" t="s">
        <v>19</v>
      </c>
      <c r="B913" t="s">
        <v>34</v>
      </c>
      <c r="C913" t="s">
        <v>41</v>
      </c>
      <c r="D913" t="s">
        <v>57</v>
      </c>
      <c r="E913" s="2">
        <v>81213</v>
      </c>
      <c r="F913" s="2">
        <v>4940</v>
      </c>
      <c r="G913" t="s">
        <v>67</v>
      </c>
      <c r="H913" t="s">
        <v>56</v>
      </c>
      <c r="I913" t="s">
        <v>79</v>
      </c>
      <c r="J913" t="s">
        <v>107</v>
      </c>
      <c r="K913" t="s">
        <v>134</v>
      </c>
      <c r="L913">
        <v>2</v>
      </c>
      <c r="M913">
        <v>2</v>
      </c>
      <c r="N913" t="s">
        <v>151</v>
      </c>
      <c r="O913" t="s">
        <v>154</v>
      </c>
      <c r="P913" t="s">
        <v>229</v>
      </c>
      <c r="Q913">
        <v>1</v>
      </c>
      <c r="R913" s="9">
        <v>81213</v>
      </c>
      <c r="S913" t="str">
        <f>IF(OR(Sheet1[[#This Row],[Salary_USD]]&lt;$V$13,Sheet1[[#This Row],[Salary_USD]]&gt;$V$12),"Outlier","Normal")</f>
        <v>Normal</v>
      </c>
    </row>
    <row r="914" spans="1:19" x14ac:dyDescent="0.25">
      <c r="A914" t="s">
        <v>17</v>
      </c>
      <c r="B914" t="s">
        <v>32</v>
      </c>
      <c r="C914" t="s">
        <v>38</v>
      </c>
      <c r="D914" t="s">
        <v>54</v>
      </c>
      <c r="E914" s="2">
        <v>36865</v>
      </c>
      <c r="F914" s="2">
        <v>1931</v>
      </c>
      <c r="G914" t="s">
        <v>68</v>
      </c>
      <c r="H914" t="s">
        <v>70</v>
      </c>
      <c r="I914" t="s">
        <v>81</v>
      </c>
      <c r="J914" t="s">
        <v>101</v>
      </c>
      <c r="K914" t="s">
        <v>127</v>
      </c>
      <c r="L914">
        <v>8</v>
      </c>
      <c r="M914">
        <v>5</v>
      </c>
      <c r="N914" t="s">
        <v>149</v>
      </c>
      <c r="O914" t="s">
        <v>157</v>
      </c>
      <c r="P914" t="s">
        <v>297</v>
      </c>
      <c r="Q914">
        <v>1.25</v>
      </c>
      <c r="R914" s="9">
        <v>46081.25</v>
      </c>
      <c r="S914" t="str">
        <f>IF(OR(Sheet1[[#This Row],[Salary_USD]]&lt;$V$13,Sheet1[[#This Row],[Salary_USD]]&gt;$V$12),"Outlier","Normal")</f>
        <v>Normal</v>
      </c>
    </row>
    <row r="915" spans="1:19" x14ac:dyDescent="0.25">
      <c r="A915" t="s">
        <v>20</v>
      </c>
      <c r="B915" t="s">
        <v>35</v>
      </c>
      <c r="C915" t="s">
        <v>52</v>
      </c>
      <c r="D915" t="s">
        <v>61</v>
      </c>
      <c r="E915" s="2">
        <v>94676</v>
      </c>
      <c r="F915" s="2">
        <v>3026</v>
      </c>
      <c r="G915" t="s">
        <v>63</v>
      </c>
      <c r="H915" t="s">
        <v>69</v>
      </c>
      <c r="I915" t="s">
        <v>76</v>
      </c>
      <c r="J915" t="s">
        <v>86</v>
      </c>
      <c r="K915" t="s">
        <v>115</v>
      </c>
      <c r="L915">
        <v>2</v>
      </c>
      <c r="M915">
        <v>2</v>
      </c>
      <c r="N915" t="s">
        <v>150</v>
      </c>
      <c r="O915" t="s">
        <v>156</v>
      </c>
      <c r="P915" t="s">
        <v>165</v>
      </c>
      <c r="Q915">
        <v>1.1000000000000001</v>
      </c>
      <c r="R915" s="9">
        <v>104143.6</v>
      </c>
      <c r="S915" t="str">
        <f>IF(OR(Sheet1[[#This Row],[Salary_USD]]&lt;$V$13,Sheet1[[#This Row],[Salary_USD]]&gt;$V$12),"Outlier","Normal")</f>
        <v>Normal</v>
      </c>
    </row>
    <row r="916" spans="1:19" x14ac:dyDescent="0.25">
      <c r="A916" t="s">
        <v>21</v>
      </c>
      <c r="B916" t="s">
        <v>35</v>
      </c>
      <c r="C916" t="s">
        <v>50</v>
      </c>
      <c r="D916" t="s">
        <v>57</v>
      </c>
      <c r="E916" s="2">
        <v>171910</v>
      </c>
      <c r="F916" s="2">
        <v>2800</v>
      </c>
      <c r="G916" t="s">
        <v>66</v>
      </c>
      <c r="H916" t="s">
        <v>69</v>
      </c>
      <c r="I916" t="s">
        <v>78</v>
      </c>
      <c r="J916" t="s">
        <v>104</v>
      </c>
      <c r="K916" t="s">
        <v>131</v>
      </c>
      <c r="L916">
        <v>12</v>
      </c>
      <c r="M916">
        <v>9</v>
      </c>
      <c r="N916" t="s">
        <v>153</v>
      </c>
      <c r="O916" t="s">
        <v>156</v>
      </c>
      <c r="P916" t="s">
        <v>222</v>
      </c>
      <c r="Q916">
        <v>1.2E-2</v>
      </c>
      <c r="R916" s="9">
        <v>2062.92</v>
      </c>
      <c r="S916" t="str">
        <f>IF(OR(Sheet1[[#This Row],[Salary_USD]]&lt;$V$13,Sheet1[[#This Row],[Salary_USD]]&gt;$V$12),"Outlier","Normal")</f>
        <v>Normal</v>
      </c>
    </row>
    <row r="917" spans="1:19" x14ac:dyDescent="0.25">
      <c r="A917" t="s">
        <v>19</v>
      </c>
      <c r="B917" t="s">
        <v>29</v>
      </c>
      <c r="C917" t="s">
        <v>44</v>
      </c>
      <c r="D917" t="s">
        <v>57</v>
      </c>
      <c r="E917" s="2">
        <v>66455</v>
      </c>
      <c r="F917" s="2">
        <v>987</v>
      </c>
      <c r="G917" t="s">
        <v>68</v>
      </c>
      <c r="H917" t="s">
        <v>56</v>
      </c>
      <c r="I917" t="s">
        <v>74</v>
      </c>
      <c r="J917" t="s">
        <v>84</v>
      </c>
      <c r="K917" t="s">
        <v>74</v>
      </c>
      <c r="L917">
        <v>4</v>
      </c>
      <c r="M917">
        <v>1</v>
      </c>
      <c r="N917" t="s">
        <v>150</v>
      </c>
      <c r="O917" t="s">
        <v>156</v>
      </c>
      <c r="P917" t="s">
        <v>353</v>
      </c>
      <c r="Q917">
        <v>1.25</v>
      </c>
      <c r="R917" s="9">
        <v>83068.75</v>
      </c>
      <c r="S917" t="str">
        <f>IF(OR(Sheet1[[#This Row],[Salary_USD]]&lt;$V$13,Sheet1[[#This Row],[Salary_USD]]&gt;$V$12),"Outlier","Normal")</f>
        <v>Normal</v>
      </c>
    </row>
    <row r="918" spans="1:19" x14ac:dyDescent="0.25">
      <c r="A918" t="s">
        <v>20</v>
      </c>
      <c r="B918" t="s">
        <v>35</v>
      </c>
      <c r="C918" t="s">
        <v>40</v>
      </c>
      <c r="D918" t="s">
        <v>58</v>
      </c>
      <c r="E918" s="2">
        <v>85581</v>
      </c>
      <c r="F918" s="2">
        <v>683</v>
      </c>
      <c r="G918" t="s">
        <v>68</v>
      </c>
      <c r="H918" t="s">
        <v>71</v>
      </c>
      <c r="I918" t="s">
        <v>75</v>
      </c>
      <c r="J918" t="s">
        <v>85</v>
      </c>
      <c r="K918" t="s">
        <v>114</v>
      </c>
      <c r="L918">
        <v>1</v>
      </c>
      <c r="M918">
        <v>1</v>
      </c>
      <c r="N918" t="s">
        <v>152</v>
      </c>
      <c r="O918" t="s">
        <v>155</v>
      </c>
      <c r="P918" t="s">
        <v>372</v>
      </c>
      <c r="Q918">
        <v>1.25</v>
      </c>
      <c r="R918" s="9">
        <v>106976.25</v>
      </c>
      <c r="S918" t="str">
        <f>IF(OR(Sheet1[[#This Row],[Salary_USD]]&lt;$V$13,Sheet1[[#This Row],[Salary_USD]]&gt;$V$12),"Outlier","Normal")</f>
        <v>Normal</v>
      </c>
    </row>
    <row r="919" spans="1:19" x14ac:dyDescent="0.25">
      <c r="A919" t="s">
        <v>20</v>
      </c>
      <c r="B919" t="s">
        <v>35</v>
      </c>
      <c r="C919" t="s">
        <v>45</v>
      </c>
      <c r="D919" t="s">
        <v>60</v>
      </c>
      <c r="E919" s="2">
        <v>54092</v>
      </c>
      <c r="F919" s="2">
        <v>7126</v>
      </c>
      <c r="G919" t="s">
        <v>63</v>
      </c>
      <c r="H919" t="s">
        <v>70</v>
      </c>
      <c r="I919" t="s">
        <v>74</v>
      </c>
      <c r="J919" t="s">
        <v>84</v>
      </c>
      <c r="K919" t="s">
        <v>74</v>
      </c>
      <c r="L919">
        <v>4</v>
      </c>
      <c r="M919">
        <v>4</v>
      </c>
      <c r="N919" t="s">
        <v>153</v>
      </c>
      <c r="O919" t="s">
        <v>154</v>
      </c>
      <c r="P919" t="s">
        <v>413</v>
      </c>
      <c r="Q919">
        <v>1.1000000000000001</v>
      </c>
      <c r="R919" s="9">
        <v>59501.200000000004</v>
      </c>
      <c r="S919" t="str">
        <f>IF(OR(Sheet1[[#This Row],[Salary_USD]]&lt;$V$13,Sheet1[[#This Row],[Salary_USD]]&gt;$V$12),"Outlier","Normal")</f>
        <v>Normal</v>
      </c>
    </row>
    <row r="920" spans="1:19" x14ac:dyDescent="0.25">
      <c r="A920" t="s">
        <v>20</v>
      </c>
      <c r="B920" t="s">
        <v>34</v>
      </c>
      <c r="C920" t="s">
        <v>48</v>
      </c>
      <c r="D920" t="s">
        <v>60</v>
      </c>
      <c r="E920" s="2">
        <v>889636</v>
      </c>
      <c r="F920" s="2">
        <v>0</v>
      </c>
      <c r="G920" t="s">
        <v>66</v>
      </c>
      <c r="H920" t="s">
        <v>69</v>
      </c>
      <c r="I920" t="s">
        <v>79</v>
      </c>
      <c r="J920" t="s">
        <v>91</v>
      </c>
      <c r="K920" t="s">
        <v>118</v>
      </c>
      <c r="L920">
        <v>0</v>
      </c>
      <c r="M920">
        <v>0</v>
      </c>
      <c r="N920" t="s">
        <v>151</v>
      </c>
      <c r="O920" t="s">
        <v>155</v>
      </c>
      <c r="P920" t="s">
        <v>171</v>
      </c>
      <c r="Q920">
        <v>1.2E-2</v>
      </c>
      <c r="R920" s="9">
        <v>10675.632</v>
      </c>
      <c r="S920" t="str">
        <f>IF(OR(Sheet1[[#This Row],[Salary_USD]]&lt;$V$13,Sheet1[[#This Row],[Salary_USD]]&gt;$V$12),"Outlier","Normal")</f>
        <v>Normal</v>
      </c>
    </row>
    <row r="921" spans="1:19" x14ac:dyDescent="0.25">
      <c r="A921" t="s">
        <v>20</v>
      </c>
      <c r="B921" t="s">
        <v>24</v>
      </c>
      <c r="C921" t="s">
        <v>47</v>
      </c>
      <c r="D921" t="s">
        <v>59</v>
      </c>
      <c r="E921" s="2">
        <v>94059</v>
      </c>
      <c r="F921" s="2">
        <v>25953</v>
      </c>
      <c r="G921" t="s">
        <v>68</v>
      </c>
      <c r="H921" t="s">
        <v>56</v>
      </c>
      <c r="I921" t="s">
        <v>78</v>
      </c>
      <c r="J921" t="s">
        <v>109</v>
      </c>
      <c r="K921" t="s">
        <v>137</v>
      </c>
      <c r="L921">
        <v>2</v>
      </c>
      <c r="M921">
        <v>1</v>
      </c>
      <c r="N921" t="s">
        <v>150</v>
      </c>
      <c r="O921" t="s">
        <v>156</v>
      </c>
      <c r="P921" t="s">
        <v>207</v>
      </c>
      <c r="Q921">
        <v>1.25</v>
      </c>
      <c r="R921" s="9">
        <v>117573.75</v>
      </c>
      <c r="S921" t="str">
        <f>IF(OR(Sheet1[[#This Row],[Salary_USD]]&lt;$V$13,Sheet1[[#This Row],[Salary_USD]]&gt;$V$12),"Outlier","Normal")</f>
        <v>Normal</v>
      </c>
    </row>
    <row r="922" spans="1:19" x14ac:dyDescent="0.25">
      <c r="A922" t="s">
        <v>20</v>
      </c>
      <c r="B922" t="s">
        <v>22</v>
      </c>
      <c r="C922" t="s">
        <v>47</v>
      </c>
      <c r="D922" t="s">
        <v>58</v>
      </c>
      <c r="E922" s="2">
        <v>67451</v>
      </c>
      <c r="F922" s="2">
        <v>12518</v>
      </c>
      <c r="G922" t="s">
        <v>67</v>
      </c>
      <c r="H922" t="s">
        <v>451</v>
      </c>
      <c r="I922" t="s">
        <v>81</v>
      </c>
      <c r="J922" t="s">
        <v>101</v>
      </c>
      <c r="K922" t="s">
        <v>127</v>
      </c>
      <c r="L922">
        <v>1</v>
      </c>
      <c r="M922">
        <v>1</v>
      </c>
      <c r="N922" t="s">
        <v>149</v>
      </c>
      <c r="O922" t="s">
        <v>155</v>
      </c>
      <c r="P922" t="s">
        <v>432</v>
      </c>
      <c r="Q922">
        <v>1</v>
      </c>
      <c r="R922" s="9">
        <v>67451</v>
      </c>
      <c r="S922" t="str">
        <f>IF(OR(Sheet1[[#This Row],[Salary_USD]]&lt;$V$13,Sheet1[[#This Row],[Salary_USD]]&gt;$V$12),"Outlier","Normal")</f>
        <v>Normal</v>
      </c>
    </row>
    <row r="923" spans="1:19" x14ac:dyDescent="0.25">
      <c r="A923" t="s">
        <v>19</v>
      </c>
      <c r="B923" t="s">
        <v>22</v>
      </c>
      <c r="C923" t="s">
        <v>50</v>
      </c>
      <c r="D923" t="s">
        <v>60</v>
      </c>
      <c r="E923" s="2">
        <v>858685</v>
      </c>
      <c r="F923" s="2">
        <v>28302</v>
      </c>
      <c r="G923" t="s">
        <v>66</v>
      </c>
      <c r="H923" t="s">
        <v>69</v>
      </c>
      <c r="I923" t="s">
        <v>72</v>
      </c>
      <c r="J923" t="s">
        <v>95</v>
      </c>
      <c r="K923" t="s">
        <v>120</v>
      </c>
      <c r="L923">
        <v>3</v>
      </c>
      <c r="M923">
        <v>0</v>
      </c>
      <c r="N923" t="s">
        <v>152</v>
      </c>
      <c r="O923" t="s">
        <v>157</v>
      </c>
      <c r="P923" t="s">
        <v>348</v>
      </c>
      <c r="Q923">
        <v>1.2E-2</v>
      </c>
      <c r="R923" s="9">
        <v>10304.219999999999</v>
      </c>
      <c r="S923" t="str">
        <f>IF(OR(Sheet1[[#This Row],[Salary_USD]]&lt;$V$13,Sheet1[[#This Row],[Salary_USD]]&gt;$V$12),"Outlier","Normal")</f>
        <v>Normal</v>
      </c>
    </row>
    <row r="924" spans="1:19" x14ac:dyDescent="0.25">
      <c r="A924" t="s">
        <v>20</v>
      </c>
      <c r="B924" t="s">
        <v>26</v>
      </c>
      <c r="C924" t="s">
        <v>47</v>
      </c>
      <c r="D924" t="s">
        <v>61</v>
      </c>
      <c r="E924" s="2">
        <v>106036</v>
      </c>
      <c r="F924" s="2">
        <v>5544</v>
      </c>
      <c r="G924" t="s">
        <v>63</v>
      </c>
      <c r="H924" t="s">
        <v>451</v>
      </c>
      <c r="I924" t="s">
        <v>77</v>
      </c>
      <c r="J924" t="s">
        <v>111</v>
      </c>
      <c r="K924" t="s">
        <v>141</v>
      </c>
      <c r="L924">
        <v>7</v>
      </c>
      <c r="M924">
        <v>7</v>
      </c>
      <c r="N924" t="s">
        <v>153</v>
      </c>
      <c r="O924" t="s">
        <v>155</v>
      </c>
      <c r="P924" t="s">
        <v>230</v>
      </c>
      <c r="Q924">
        <v>1.1000000000000001</v>
      </c>
      <c r="R924" s="9">
        <v>116639.6</v>
      </c>
      <c r="S924" t="str">
        <f>IF(OR(Sheet1[[#This Row],[Salary_USD]]&lt;$V$13,Sheet1[[#This Row],[Salary_USD]]&gt;$V$12),"Outlier","Normal")</f>
        <v>Normal</v>
      </c>
    </row>
    <row r="925" spans="1:19" x14ac:dyDescent="0.25">
      <c r="A925" t="s">
        <v>19</v>
      </c>
      <c r="B925" t="s">
        <v>24</v>
      </c>
      <c r="C925" t="s">
        <v>51</v>
      </c>
      <c r="D925" t="s">
        <v>59</v>
      </c>
      <c r="E925" s="2">
        <v>91961</v>
      </c>
      <c r="F925" s="2">
        <v>0</v>
      </c>
      <c r="G925" t="s">
        <v>64</v>
      </c>
      <c r="H925" t="s">
        <v>71</v>
      </c>
      <c r="I925" t="s">
        <v>80</v>
      </c>
      <c r="J925" t="s">
        <v>106</v>
      </c>
      <c r="K925" t="s">
        <v>106</v>
      </c>
      <c r="L925">
        <v>6</v>
      </c>
      <c r="M925">
        <v>3</v>
      </c>
      <c r="N925" t="s">
        <v>153</v>
      </c>
      <c r="O925" t="s">
        <v>156</v>
      </c>
      <c r="P925" t="s">
        <v>173</v>
      </c>
      <c r="Q925">
        <v>0.65</v>
      </c>
      <c r="R925" s="9">
        <v>59774.65</v>
      </c>
      <c r="S925" t="str">
        <f>IF(OR(Sheet1[[#This Row],[Salary_USD]]&lt;$V$13,Sheet1[[#This Row],[Salary_USD]]&gt;$V$12),"Outlier","Normal")</f>
        <v>Normal</v>
      </c>
    </row>
    <row r="926" spans="1:19" x14ac:dyDescent="0.25">
      <c r="A926" t="s">
        <v>20</v>
      </c>
      <c r="B926" t="s">
        <v>24</v>
      </c>
      <c r="C926" t="s">
        <v>44</v>
      </c>
      <c r="D926" t="s">
        <v>54</v>
      </c>
      <c r="E926" s="2">
        <v>43185</v>
      </c>
      <c r="F926" s="2">
        <v>2685</v>
      </c>
      <c r="G926" t="s">
        <v>68</v>
      </c>
      <c r="H926" t="s">
        <v>451</v>
      </c>
      <c r="I926" t="s">
        <v>77</v>
      </c>
      <c r="J926" t="s">
        <v>110</v>
      </c>
      <c r="K926" t="s">
        <v>145</v>
      </c>
      <c r="L926">
        <v>5</v>
      </c>
      <c r="M926">
        <v>5</v>
      </c>
      <c r="N926" t="s">
        <v>152</v>
      </c>
      <c r="O926" t="s">
        <v>155</v>
      </c>
      <c r="P926" t="s">
        <v>174</v>
      </c>
      <c r="Q926">
        <v>1.25</v>
      </c>
      <c r="R926" s="9">
        <v>53981.25</v>
      </c>
      <c r="S926" t="str">
        <f>IF(OR(Sheet1[[#This Row],[Salary_USD]]&lt;$V$13,Sheet1[[#This Row],[Salary_USD]]&gt;$V$12),"Outlier","Normal")</f>
        <v>Normal</v>
      </c>
    </row>
    <row r="927" spans="1:19" x14ac:dyDescent="0.25">
      <c r="A927" t="s">
        <v>19</v>
      </c>
      <c r="B927" t="s">
        <v>22</v>
      </c>
      <c r="C927" t="s">
        <v>43</v>
      </c>
      <c r="D927" t="s">
        <v>451</v>
      </c>
      <c r="E927" s="2">
        <v>754105</v>
      </c>
      <c r="F927" s="2">
        <v>0</v>
      </c>
      <c r="G927" t="s">
        <v>66</v>
      </c>
      <c r="H927" t="s">
        <v>56</v>
      </c>
      <c r="I927" t="s">
        <v>80</v>
      </c>
      <c r="J927" t="s">
        <v>93</v>
      </c>
      <c r="K927" t="s">
        <v>93</v>
      </c>
      <c r="L927">
        <v>12</v>
      </c>
      <c r="M927">
        <v>9</v>
      </c>
      <c r="N927" t="s">
        <v>152</v>
      </c>
      <c r="O927" t="s">
        <v>154</v>
      </c>
      <c r="P927" t="s">
        <v>318</v>
      </c>
      <c r="Q927">
        <v>1.2E-2</v>
      </c>
      <c r="R927" s="9">
        <v>9049.26</v>
      </c>
      <c r="S927" t="str">
        <f>IF(OR(Sheet1[[#This Row],[Salary_USD]]&lt;$V$13,Sheet1[[#This Row],[Salary_USD]]&gt;$V$12),"Outlier","Normal")</f>
        <v>Normal</v>
      </c>
    </row>
    <row r="928" spans="1:19" x14ac:dyDescent="0.25">
      <c r="A928" t="s">
        <v>18</v>
      </c>
      <c r="B928" t="s">
        <v>35</v>
      </c>
      <c r="C928" t="s">
        <v>44</v>
      </c>
      <c r="D928" t="s">
        <v>54</v>
      </c>
      <c r="E928" s="2">
        <v>7601</v>
      </c>
      <c r="F928" s="2">
        <v>532</v>
      </c>
      <c r="G928" t="s">
        <v>68</v>
      </c>
      <c r="H928" t="s">
        <v>451</v>
      </c>
      <c r="I928" t="s">
        <v>79</v>
      </c>
      <c r="J928" t="s">
        <v>107</v>
      </c>
      <c r="K928" t="s">
        <v>134</v>
      </c>
      <c r="L928">
        <v>1</v>
      </c>
      <c r="M928">
        <v>0</v>
      </c>
      <c r="N928" t="s">
        <v>153</v>
      </c>
      <c r="O928" t="s">
        <v>156</v>
      </c>
      <c r="P928" t="s">
        <v>243</v>
      </c>
      <c r="Q928">
        <v>1.25</v>
      </c>
      <c r="R928" s="9">
        <v>9501.25</v>
      </c>
      <c r="S928" t="str">
        <f>IF(OR(Sheet1[[#This Row],[Salary_USD]]&lt;$V$13,Sheet1[[#This Row],[Salary_USD]]&gt;$V$12),"Outlier","Normal")</f>
        <v>Normal</v>
      </c>
    </row>
    <row r="929" spans="1:19" x14ac:dyDescent="0.25">
      <c r="A929" t="s">
        <v>20</v>
      </c>
      <c r="B929" t="s">
        <v>35</v>
      </c>
      <c r="C929" t="s">
        <v>43</v>
      </c>
      <c r="D929" t="s">
        <v>58</v>
      </c>
      <c r="E929" s="2">
        <v>85630</v>
      </c>
      <c r="F929" s="2">
        <v>1005</v>
      </c>
      <c r="G929" t="s">
        <v>64</v>
      </c>
      <c r="H929" t="s">
        <v>56</v>
      </c>
      <c r="I929" t="s">
        <v>76</v>
      </c>
      <c r="J929" t="s">
        <v>92</v>
      </c>
      <c r="K929" t="s">
        <v>119</v>
      </c>
      <c r="L929">
        <v>7</v>
      </c>
      <c r="M929">
        <v>7</v>
      </c>
      <c r="N929" t="s">
        <v>150</v>
      </c>
      <c r="O929" t="s">
        <v>155</v>
      </c>
      <c r="P929" t="s">
        <v>433</v>
      </c>
      <c r="Q929">
        <v>0.65</v>
      </c>
      <c r="R929" s="9">
        <v>55659.5</v>
      </c>
      <c r="S929" t="str">
        <f>IF(OR(Sheet1[[#This Row],[Salary_USD]]&lt;$V$13,Sheet1[[#This Row],[Salary_USD]]&gt;$V$12),"Outlier","Normal")</f>
        <v>Normal</v>
      </c>
    </row>
    <row r="930" spans="1:19" x14ac:dyDescent="0.25">
      <c r="A930" t="s">
        <v>20</v>
      </c>
      <c r="B930" t="s">
        <v>24</v>
      </c>
      <c r="C930" t="s">
        <v>40</v>
      </c>
      <c r="D930" t="s">
        <v>58</v>
      </c>
      <c r="E930" s="2">
        <v>1102795</v>
      </c>
      <c r="F930" s="2">
        <v>50515</v>
      </c>
      <c r="G930" t="s">
        <v>66</v>
      </c>
      <c r="H930" t="s">
        <v>70</v>
      </c>
      <c r="I930" t="s">
        <v>79</v>
      </c>
      <c r="J930" t="s">
        <v>91</v>
      </c>
      <c r="K930" t="s">
        <v>118</v>
      </c>
      <c r="L930">
        <v>0</v>
      </c>
      <c r="M930">
        <v>0</v>
      </c>
      <c r="N930" t="s">
        <v>148</v>
      </c>
      <c r="O930" t="s">
        <v>156</v>
      </c>
      <c r="P930" t="s">
        <v>434</v>
      </c>
      <c r="Q930">
        <v>1.2E-2</v>
      </c>
      <c r="R930" s="9">
        <v>13233.54</v>
      </c>
      <c r="S930" t="str">
        <f>IF(OR(Sheet1[[#This Row],[Salary_USD]]&lt;$V$13,Sheet1[[#This Row],[Salary_USD]]&gt;$V$12),"Outlier","Normal")</f>
        <v>Normal</v>
      </c>
    </row>
    <row r="931" spans="1:19" x14ac:dyDescent="0.25">
      <c r="A931" t="s">
        <v>20</v>
      </c>
      <c r="B931" t="s">
        <v>35</v>
      </c>
      <c r="C931" t="s">
        <v>49</v>
      </c>
      <c r="D931" t="s">
        <v>62</v>
      </c>
      <c r="E931" s="2">
        <v>141285</v>
      </c>
      <c r="F931" s="2">
        <v>1449</v>
      </c>
      <c r="G931" t="s">
        <v>64</v>
      </c>
      <c r="H931" t="s">
        <v>71</v>
      </c>
      <c r="I931" t="s">
        <v>72</v>
      </c>
      <c r="J931" t="s">
        <v>82</v>
      </c>
      <c r="K931" t="s">
        <v>112</v>
      </c>
      <c r="L931">
        <v>1</v>
      </c>
      <c r="M931">
        <v>0</v>
      </c>
      <c r="N931" t="s">
        <v>149</v>
      </c>
      <c r="O931" t="s">
        <v>157</v>
      </c>
      <c r="P931" t="s">
        <v>175</v>
      </c>
      <c r="Q931">
        <v>0.65</v>
      </c>
      <c r="R931" s="9">
        <v>91835.25</v>
      </c>
      <c r="S931" t="str">
        <f>IF(OR(Sheet1[[#This Row],[Salary_USD]]&lt;$V$13,Sheet1[[#This Row],[Salary_USD]]&gt;$V$12),"Outlier","Normal")</f>
        <v>Normal</v>
      </c>
    </row>
    <row r="932" spans="1:19" x14ac:dyDescent="0.25">
      <c r="A932" t="s">
        <v>19</v>
      </c>
      <c r="B932" t="s">
        <v>28</v>
      </c>
      <c r="C932" t="s">
        <v>52</v>
      </c>
      <c r="D932" t="s">
        <v>54</v>
      </c>
      <c r="E932" s="2">
        <v>85306</v>
      </c>
      <c r="F932" s="2">
        <v>4185</v>
      </c>
      <c r="G932" t="s">
        <v>64</v>
      </c>
      <c r="H932" t="s">
        <v>56</v>
      </c>
      <c r="I932" t="s">
        <v>76</v>
      </c>
      <c r="J932" t="s">
        <v>100</v>
      </c>
      <c r="K932" t="s">
        <v>132</v>
      </c>
      <c r="L932">
        <v>5</v>
      </c>
      <c r="M932">
        <v>3</v>
      </c>
      <c r="N932" t="s">
        <v>149</v>
      </c>
      <c r="O932" t="s">
        <v>157</v>
      </c>
      <c r="P932" t="s">
        <v>322</v>
      </c>
      <c r="Q932">
        <v>0.65</v>
      </c>
      <c r="R932" s="9">
        <v>55448.9</v>
      </c>
      <c r="S932" t="str">
        <f>IF(OR(Sheet1[[#This Row],[Salary_USD]]&lt;$V$13,Sheet1[[#This Row],[Salary_USD]]&gt;$V$12),"Outlier","Normal")</f>
        <v>Normal</v>
      </c>
    </row>
    <row r="933" spans="1:19" x14ac:dyDescent="0.25">
      <c r="A933" t="s">
        <v>20</v>
      </c>
      <c r="B933" t="s">
        <v>35</v>
      </c>
      <c r="C933" t="s">
        <v>43</v>
      </c>
      <c r="D933" t="s">
        <v>59</v>
      </c>
      <c r="E933" s="2">
        <v>1128824</v>
      </c>
      <c r="F933" s="2">
        <v>277996</v>
      </c>
      <c r="G933" t="s">
        <v>66</v>
      </c>
      <c r="H933" t="s">
        <v>56</v>
      </c>
      <c r="I933" t="s">
        <v>77</v>
      </c>
      <c r="J933" t="s">
        <v>111</v>
      </c>
      <c r="K933" t="s">
        <v>146</v>
      </c>
      <c r="L933">
        <v>2</v>
      </c>
      <c r="M933">
        <v>2</v>
      </c>
      <c r="N933" t="s">
        <v>151</v>
      </c>
      <c r="O933" t="s">
        <v>155</v>
      </c>
      <c r="P933" t="s">
        <v>262</v>
      </c>
      <c r="Q933">
        <v>1.2E-2</v>
      </c>
      <c r="R933" s="9">
        <v>13545.888000000001</v>
      </c>
      <c r="S933" t="str">
        <f>IF(OR(Sheet1[[#This Row],[Salary_USD]]&lt;$V$13,Sheet1[[#This Row],[Salary_USD]]&gt;$V$12),"Outlier","Normal")</f>
        <v>Normal</v>
      </c>
    </row>
    <row r="934" spans="1:19" x14ac:dyDescent="0.25">
      <c r="A934" t="s">
        <v>19</v>
      </c>
      <c r="B934" t="s">
        <v>32</v>
      </c>
      <c r="C934" t="s">
        <v>36</v>
      </c>
      <c r="D934" t="s">
        <v>54</v>
      </c>
      <c r="E934" s="2">
        <v>78516</v>
      </c>
      <c r="F934" s="2">
        <v>876</v>
      </c>
      <c r="G934" t="s">
        <v>65</v>
      </c>
      <c r="H934" t="s">
        <v>451</v>
      </c>
      <c r="I934" t="s">
        <v>80</v>
      </c>
      <c r="J934" t="s">
        <v>106</v>
      </c>
      <c r="K934" t="s">
        <v>106</v>
      </c>
      <c r="L934">
        <v>5</v>
      </c>
      <c r="M934">
        <v>4</v>
      </c>
      <c r="N934" t="s">
        <v>149</v>
      </c>
      <c r="O934" t="s">
        <v>157</v>
      </c>
      <c r="P934" t="s">
        <v>165</v>
      </c>
      <c r="Q934">
        <v>0.73</v>
      </c>
      <c r="R934" s="9">
        <v>57316.68</v>
      </c>
      <c r="S934" t="str">
        <f>IF(OR(Sheet1[[#This Row],[Salary_USD]]&lt;$V$13,Sheet1[[#This Row],[Salary_USD]]&gt;$V$12),"Outlier","Normal")</f>
        <v>Normal</v>
      </c>
    </row>
    <row r="935" spans="1:19" x14ac:dyDescent="0.25">
      <c r="A935" t="s">
        <v>19</v>
      </c>
      <c r="B935" t="s">
        <v>26</v>
      </c>
      <c r="C935" t="s">
        <v>40</v>
      </c>
      <c r="D935" t="s">
        <v>60</v>
      </c>
      <c r="E935" s="2">
        <v>1142559</v>
      </c>
      <c r="F935" s="2">
        <v>40640</v>
      </c>
      <c r="G935" t="s">
        <v>66</v>
      </c>
      <c r="H935" t="s">
        <v>70</v>
      </c>
      <c r="I935" t="s">
        <v>81</v>
      </c>
      <c r="J935" t="s">
        <v>98</v>
      </c>
      <c r="K935" t="s">
        <v>123</v>
      </c>
      <c r="L935">
        <v>7</v>
      </c>
      <c r="M935">
        <v>4</v>
      </c>
      <c r="N935" t="s">
        <v>148</v>
      </c>
      <c r="O935" t="s">
        <v>155</v>
      </c>
      <c r="P935" t="s">
        <v>224</v>
      </c>
      <c r="Q935">
        <v>1.2E-2</v>
      </c>
      <c r="R935" s="9">
        <v>13710.708000000001</v>
      </c>
      <c r="S935" t="str">
        <f>IF(OR(Sheet1[[#This Row],[Salary_USD]]&lt;$V$13,Sheet1[[#This Row],[Salary_USD]]&gt;$V$12),"Outlier","Normal")</f>
        <v>Normal</v>
      </c>
    </row>
    <row r="936" spans="1:19" x14ac:dyDescent="0.25">
      <c r="A936" t="s">
        <v>19</v>
      </c>
      <c r="B936" t="s">
        <v>29</v>
      </c>
      <c r="C936" t="s">
        <v>36</v>
      </c>
      <c r="D936" t="s">
        <v>60</v>
      </c>
      <c r="E936" s="2">
        <v>10906</v>
      </c>
      <c r="F936" s="2">
        <v>820</v>
      </c>
      <c r="G936" t="s">
        <v>63</v>
      </c>
      <c r="H936" t="s">
        <v>69</v>
      </c>
      <c r="I936" t="s">
        <v>78</v>
      </c>
      <c r="J936" t="s">
        <v>109</v>
      </c>
      <c r="K936" t="s">
        <v>137</v>
      </c>
      <c r="L936">
        <v>15</v>
      </c>
      <c r="M936">
        <v>15</v>
      </c>
      <c r="N936" t="s">
        <v>153</v>
      </c>
      <c r="O936" t="s">
        <v>157</v>
      </c>
      <c r="P936" t="s">
        <v>162</v>
      </c>
      <c r="Q936">
        <v>1.1000000000000001</v>
      </c>
      <c r="R936" s="9">
        <v>11996.6</v>
      </c>
      <c r="S936" t="str">
        <f>IF(OR(Sheet1[[#This Row],[Salary_USD]]&lt;$V$13,Sheet1[[#This Row],[Salary_USD]]&gt;$V$12),"Outlier","Normal")</f>
        <v>Normal</v>
      </c>
    </row>
    <row r="937" spans="1:19" x14ac:dyDescent="0.25">
      <c r="A937" t="s">
        <v>21</v>
      </c>
      <c r="B937" t="s">
        <v>29</v>
      </c>
      <c r="C937" t="s">
        <v>42</v>
      </c>
      <c r="D937" t="s">
        <v>62</v>
      </c>
      <c r="E937" s="2">
        <v>832913</v>
      </c>
      <c r="F937" s="2">
        <v>0</v>
      </c>
      <c r="G937" t="s">
        <v>66</v>
      </c>
      <c r="H937" t="s">
        <v>451</v>
      </c>
      <c r="I937" t="s">
        <v>81</v>
      </c>
      <c r="J937" t="s">
        <v>103</v>
      </c>
      <c r="K937" t="s">
        <v>140</v>
      </c>
      <c r="L937">
        <v>10</v>
      </c>
      <c r="M937">
        <v>10</v>
      </c>
      <c r="N937" t="s">
        <v>152</v>
      </c>
      <c r="O937" t="s">
        <v>157</v>
      </c>
      <c r="P937" t="s">
        <v>435</v>
      </c>
      <c r="Q937">
        <v>1.2E-2</v>
      </c>
      <c r="R937" s="9">
        <v>9994.9560000000001</v>
      </c>
      <c r="S937" t="str">
        <f>IF(OR(Sheet1[[#This Row],[Salary_USD]]&lt;$V$13,Sheet1[[#This Row],[Salary_USD]]&gt;$V$12),"Outlier","Normal")</f>
        <v>Normal</v>
      </c>
    </row>
    <row r="938" spans="1:19" x14ac:dyDescent="0.25">
      <c r="A938" t="s">
        <v>17</v>
      </c>
      <c r="B938" t="s">
        <v>35</v>
      </c>
      <c r="C938" t="s">
        <v>51</v>
      </c>
      <c r="D938" t="s">
        <v>59</v>
      </c>
      <c r="E938" s="2">
        <v>59745</v>
      </c>
      <c r="F938" s="2">
        <v>1967</v>
      </c>
      <c r="G938" t="s">
        <v>67</v>
      </c>
      <c r="H938" t="s">
        <v>69</v>
      </c>
      <c r="I938" t="s">
        <v>74</v>
      </c>
      <c r="J938" t="s">
        <v>84</v>
      </c>
      <c r="K938" t="s">
        <v>74</v>
      </c>
      <c r="L938">
        <v>15</v>
      </c>
      <c r="M938">
        <v>12</v>
      </c>
      <c r="N938" t="s">
        <v>150</v>
      </c>
      <c r="O938" t="s">
        <v>156</v>
      </c>
      <c r="P938" t="s">
        <v>166</v>
      </c>
      <c r="Q938">
        <v>1</v>
      </c>
      <c r="R938" s="9">
        <v>59745</v>
      </c>
      <c r="S938" t="str">
        <f>IF(OR(Sheet1[[#This Row],[Salary_USD]]&lt;$V$13,Sheet1[[#This Row],[Salary_USD]]&gt;$V$12),"Outlier","Normal")</f>
        <v>Normal</v>
      </c>
    </row>
    <row r="939" spans="1:19" x14ac:dyDescent="0.25">
      <c r="A939" t="s">
        <v>21</v>
      </c>
      <c r="B939" t="s">
        <v>32</v>
      </c>
      <c r="C939" t="s">
        <v>52</v>
      </c>
      <c r="D939" t="s">
        <v>54</v>
      </c>
      <c r="E939" s="2">
        <v>63974</v>
      </c>
      <c r="F939" s="2">
        <v>1357</v>
      </c>
      <c r="G939" t="s">
        <v>67</v>
      </c>
      <c r="H939" t="s">
        <v>70</v>
      </c>
      <c r="I939" t="s">
        <v>81</v>
      </c>
      <c r="J939" t="s">
        <v>94</v>
      </c>
      <c r="K939" t="s">
        <v>129</v>
      </c>
      <c r="L939">
        <v>15</v>
      </c>
      <c r="M939">
        <v>15</v>
      </c>
      <c r="N939" t="s">
        <v>152</v>
      </c>
      <c r="O939" t="s">
        <v>155</v>
      </c>
      <c r="P939" t="s">
        <v>190</v>
      </c>
      <c r="Q939">
        <v>1</v>
      </c>
      <c r="R939" s="9">
        <v>63974</v>
      </c>
      <c r="S939" t="str">
        <f>IF(OR(Sheet1[[#This Row],[Salary_USD]]&lt;$V$13,Sheet1[[#This Row],[Salary_USD]]&gt;$V$12),"Outlier","Normal")</f>
        <v>Normal</v>
      </c>
    </row>
    <row r="940" spans="1:19" x14ac:dyDescent="0.25">
      <c r="A940" t="s">
        <v>19</v>
      </c>
      <c r="B940" t="s">
        <v>23</v>
      </c>
      <c r="C940" t="s">
        <v>37</v>
      </c>
      <c r="D940" t="s">
        <v>56</v>
      </c>
      <c r="E940" s="2">
        <v>53253</v>
      </c>
      <c r="F940" s="2">
        <v>2032</v>
      </c>
      <c r="G940" t="s">
        <v>67</v>
      </c>
      <c r="H940" t="s">
        <v>69</v>
      </c>
      <c r="I940" t="s">
        <v>80</v>
      </c>
      <c r="J940" t="s">
        <v>106</v>
      </c>
      <c r="K940" t="s">
        <v>106</v>
      </c>
      <c r="L940">
        <v>3</v>
      </c>
      <c r="M940">
        <v>2</v>
      </c>
      <c r="N940" t="s">
        <v>152</v>
      </c>
      <c r="O940" t="s">
        <v>156</v>
      </c>
      <c r="P940" t="s">
        <v>174</v>
      </c>
      <c r="Q940">
        <v>1</v>
      </c>
      <c r="R940" s="9">
        <v>53253</v>
      </c>
      <c r="S940" t="str">
        <f>IF(OR(Sheet1[[#This Row],[Salary_USD]]&lt;$V$13,Sheet1[[#This Row],[Salary_USD]]&gt;$V$12),"Outlier","Normal")</f>
        <v>Normal</v>
      </c>
    </row>
    <row r="941" spans="1:19" x14ac:dyDescent="0.25">
      <c r="A941" t="s">
        <v>20</v>
      </c>
      <c r="B941" t="s">
        <v>31</v>
      </c>
      <c r="C941" t="s">
        <v>45</v>
      </c>
      <c r="D941" t="s">
        <v>60</v>
      </c>
      <c r="E941" s="2">
        <v>105972</v>
      </c>
      <c r="F941" s="2">
        <v>4541</v>
      </c>
      <c r="G941" t="s">
        <v>65</v>
      </c>
      <c r="H941" t="s">
        <v>451</v>
      </c>
      <c r="I941" t="s">
        <v>78</v>
      </c>
      <c r="J941" t="s">
        <v>90</v>
      </c>
      <c r="K941" t="s">
        <v>147</v>
      </c>
      <c r="L941">
        <v>7</v>
      </c>
      <c r="M941">
        <v>4</v>
      </c>
      <c r="N941" t="s">
        <v>152</v>
      </c>
      <c r="O941" t="s">
        <v>156</v>
      </c>
      <c r="P941" t="s">
        <v>209</v>
      </c>
      <c r="Q941">
        <v>0.73</v>
      </c>
      <c r="R941" s="9">
        <v>77359.56</v>
      </c>
      <c r="S941" t="str">
        <f>IF(OR(Sheet1[[#This Row],[Salary_USD]]&lt;$V$13,Sheet1[[#This Row],[Salary_USD]]&gt;$V$12),"Outlier","Normal")</f>
        <v>Normal</v>
      </c>
    </row>
    <row r="942" spans="1:19" x14ac:dyDescent="0.25">
      <c r="A942" t="s">
        <v>19</v>
      </c>
      <c r="B942" t="s">
        <v>22</v>
      </c>
      <c r="C942" t="s">
        <v>53</v>
      </c>
      <c r="D942" t="s">
        <v>55</v>
      </c>
      <c r="E942" s="2">
        <v>23856</v>
      </c>
      <c r="F942" s="2">
        <v>758</v>
      </c>
      <c r="G942" t="s">
        <v>64</v>
      </c>
      <c r="H942" t="s">
        <v>71</v>
      </c>
      <c r="I942" t="s">
        <v>81</v>
      </c>
      <c r="J942" t="s">
        <v>94</v>
      </c>
      <c r="K942" t="s">
        <v>129</v>
      </c>
      <c r="L942">
        <v>18</v>
      </c>
      <c r="M942">
        <v>15</v>
      </c>
      <c r="N942" t="s">
        <v>153</v>
      </c>
      <c r="O942" t="s">
        <v>155</v>
      </c>
      <c r="P942" t="s">
        <v>436</v>
      </c>
      <c r="Q942">
        <v>0.65</v>
      </c>
      <c r="R942" s="9">
        <v>15506.4</v>
      </c>
      <c r="S942" t="str">
        <f>IF(OR(Sheet1[[#This Row],[Salary_USD]]&lt;$V$13,Sheet1[[#This Row],[Salary_USD]]&gt;$V$12),"Outlier","Normal")</f>
        <v>Normal</v>
      </c>
    </row>
    <row r="943" spans="1:19" x14ac:dyDescent="0.25">
      <c r="A943" t="s">
        <v>19</v>
      </c>
      <c r="B943" t="s">
        <v>23</v>
      </c>
      <c r="C943" t="s">
        <v>44</v>
      </c>
      <c r="D943" t="s">
        <v>56</v>
      </c>
      <c r="E943" s="2">
        <v>1517823</v>
      </c>
      <c r="F943" s="2">
        <v>71638</v>
      </c>
      <c r="G943" t="s">
        <v>66</v>
      </c>
      <c r="H943" t="s">
        <v>71</v>
      </c>
      <c r="I943" t="s">
        <v>81</v>
      </c>
      <c r="J943" t="s">
        <v>101</v>
      </c>
      <c r="K943" t="s">
        <v>127</v>
      </c>
      <c r="L943">
        <v>9</v>
      </c>
      <c r="M943">
        <v>9</v>
      </c>
      <c r="N943" t="s">
        <v>152</v>
      </c>
      <c r="O943" t="s">
        <v>154</v>
      </c>
      <c r="P943" t="s">
        <v>179</v>
      </c>
      <c r="Q943">
        <v>1.2E-2</v>
      </c>
      <c r="R943" s="9">
        <v>18213.876</v>
      </c>
      <c r="S943" t="str">
        <f>IF(OR(Sheet1[[#This Row],[Salary_USD]]&lt;$V$13,Sheet1[[#This Row],[Salary_USD]]&gt;$V$12),"Outlier","Normal")</f>
        <v>Normal</v>
      </c>
    </row>
    <row r="944" spans="1:19" x14ac:dyDescent="0.25">
      <c r="A944" t="s">
        <v>20</v>
      </c>
      <c r="B944" t="s">
        <v>29</v>
      </c>
      <c r="C944" t="s">
        <v>45</v>
      </c>
      <c r="D944" t="s">
        <v>58</v>
      </c>
      <c r="E944" s="2">
        <v>1148449</v>
      </c>
      <c r="F944" s="2">
        <v>0</v>
      </c>
      <c r="G944" t="s">
        <v>66</v>
      </c>
      <c r="H944" t="s">
        <v>70</v>
      </c>
      <c r="I944" t="s">
        <v>73</v>
      </c>
      <c r="J944" t="s">
        <v>99</v>
      </c>
      <c r="K944" t="s">
        <v>125</v>
      </c>
      <c r="L944">
        <v>7</v>
      </c>
      <c r="M944">
        <v>6</v>
      </c>
      <c r="N944" t="s">
        <v>150</v>
      </c>
      <c r="O944" t="s">
        <v>156</v>
      </c>
      <c r="P944" t="s">
        <v>271</v>
      </c>
      <c r="Q944">
        <v>1.2E-2</v>
      </c>
      <c r="R944" s="9">
        <v>13781.388000000001</v>
      </c>
      <c r="S944" t="str">
        <f>IF(OR(Sheet1[[#This Row],[Salary_USD]]&lt;$V$13,Sheet1[[#This Row],[Salary_USD]]&gt;$V$12),"Outlier","Normal")</f>
        <v>Normal</v>
      </c>
    </row>
    <row r="945" spans="1:19" x14ac:dyDescent="0.25">
      <c r="A945" t="s">
        <v>19</v>
      </c>
      <c r="B945" t="s">
        <v>35</v>
      </c>
      <c r="C945" t="s">
        <v>37</v>
      </c>
      <c r="D945" t="s">
        <v>55</v>
      </c>
      <c r="E945" s="2">
        <v>123625</v>
      </c>
      <c r="F945" s="2">
        <v>4872</v>
      </c>
      <c r="G945" t="s">
        <v>67</v>
      </c>
      <c r="H945" t="s">
        <v>70</v>
      </c>
      <c r="I945" t="s">
        <v>72</v>
      </c>
      <c r="J945" t="s">
        <v>82</v>
      </c>
      <c r="K945" t="s">
        <v>112</v>
      </c>
      <c r="L945">
        <v>15</v>
      </c>
      <c r="M945">
        <v>12</v>
      </c>
      <c r="N945" t="s">
        <v>148</v>
      </c>
      <c r="O945" t="s">
        <v>154</v>
      </c>
      <c r="P945" t="s">
        <v>175</v>
      </c>
      <c r="Q945">
        <v>1</v>
      </c>
      <c r="R945" s="9">
        <v>123625</v>
      </c>
      <c r="S945" t="str">
        <f>IF(OR(Sheet1[[#This Row],[Salary_USD]]&lt;$V$13,Sheet1[[#This Row],[Salary_USD]]&gt;$V$12),"Outlier","Normal")</f>
        <v>Normal</v>
      </c>
    </row>
    <row r="946" spans="1:19" x14ac:dyDescent="0.25">
      <c r="A946" t="s">
        <v>19</v>
      </c>
      <c r="B946" t="s">
        <v>35</v>
      </c>
      <c r="C946" t="s">
        <v>42</v>
      </c>
      <c r="D946" t="s">
        <v>56</v>
      </c>
      <c r="E946" s="2">
        <v>57790</v>
      </c>
      <c r="F946" s="2">
        <v>7428</v>
      </c>
      <c r="G946" t="s">
        <v>68</v>
      </c>
      <c r="H946" t="s">
        <v>451</v>
      </c>
      <c r="I946" t="s">
        <v>81</v>
      </c>
      <c r="J946" t="s">
        <v>103</v>
      </c>
      <c r="K946" t="s">
        <v>130</v>
      </c>
      <c r="L946">
        <v>4</v>
      </c>
      <c r="M946">
        <v>3</v>
      </c>
      <c r="N946" t="s">
        <v>151</v>
      </c>
      <c r="O946" t="s">
        <v>154</v>
      </c>
      <c r="P946" t="s">
        <v>437</v>
      </c>
      <c r="Q946">
        <v>1.25</v>
      </c>
      <c r="R946" s="9">
        <v>72237.5</v>
      </c>
      <c r="S946" t="str">
        <f>IF(OR(Sheet1[[#This Row],[Salary_USD]]&lt;$V$13,Sheet1[[#This Row],[Salary_USD]]&gt;$V$12),"Outlier","Normal")</f>
        <v>Normal</v>
      </c>
    </row>
    <row r="947" spans="1:19" x14ac:dyDescent="0.25">
      <c r="A947" t="s">
        <v>19</v>
      </c>
      <c r="B947" t="s">
        <v>35</v>
      </c>
      <c r="C947" t="s">
        <v>53</v>
      </c>
      <c r="D947" t="s">
        <v>62</v>
      </c>
      <c r="E947" s="2">
        <v>98702</v>
      </c>
      <c r="F947" s="2">
        <v>10361</v>
      </c>
      <c r="G947" t="s">
        <v>64</v>
      </c>
      <c r="H947" t="s">
        <v>451</v>
      </c>
      <c r="I947" t="s">
        <v>78</v>
      </c>
      <c r="J947" t="s">
        <v>104</v>
      </c>
      <c r="K947" t="s">
        <v>131</v>
      </c>
      <c r="L947">
        <v>8</v>
      </c>
      <c r="M947">
        <v>5</v>
      </c>
      <c r="N947" t="s">
        <v>153</v>
      </c>
      <c r="O947" t="s">
        <v>155</v>
      </c>
      <c r="P947" t="s">
        <v>438</v>
      </c>
      <c r="Q947">
        <v>0.65</v>
      </c>
      <c r="R947" s="9">
        <v>64156.3</v>
      </c>
      <c r="S947" t="str">
        <f>IF(OR(Sheet1[[#This Row],[Salary_USD]]&lt;$V$13,Sheet1[[#This Row],[Salary_USD]]&gt;$V$12),"Outlier","Normal")</f>
        <v>Normal</v>
      </c>
    </row>
    <row r="948" spans="1:19" x14ac:dyDescent="0.25">
      <c r="A948" t="s">
        <v>17</v>
      </c>
      <c r="B948" t="s">
        <v>24</v>
      </c>
      <c r="C948" t="s">
        <v>39</v>
      </c>
      <c r="D948" t="s">
        <v>58</v>
      </c>
      <c r="E948" s="2">
        <v>29406</v>
      </c>
      <c r="F948" s="2">
        <v>308</v>
      </c>
      <c r="G948" t="s">
        <v>67</v>
      </c>
      <c r="H948" t="s">
        <v>56</v>
      </c>
      <c r="I948" t="s">
        <v>77</v>
      </c>
      <c r="J948" t="s">
        <v>89</v>
      </c>
      <c r="K948" t="s">
        <v>124</v>
      </c>
      <c r="L948">
        <v>12</v>
      </c>
      <c r="M948">
        <v>9</v>
      </c>
      <c r="N948" t="s">
        <v>149</v>
      </c>
      <c r="O948" t="s">
        <v>156</v>
      </c>
      <c r="P948" t="s">
        <v>188</v>
      </c>
      <c r="Q948">
        <v>1</v>
      </c>
      <c r="R948" s="9">
        <v>29406</v>
      </c>
      <c r="S948" t="str">
        <f>IF(OR(Sheet1[[#This Row],[Salary_USD]]&lt;$V$13,Sheet1[[#This Row],[Salary_USD]]&gt;$V$12),"Outlier","Normal")</f>
        <v>Normal</v>
      </c>
    </row>
    <row r="949" spans="1:19" x14ac:dyDescent="0.25">
      <c r="A949" t="s">
        <v>20</v>
      </c>
      <c r="B949" t="s">
        <v>34</v>
      </c>
      <c r="C949" t="s">
        <v>49</v>
      </c>
      <c r="D949" t="s">
        <v>60</v>
      </c>
      <c r="E949" s="2">
        <v>105207</v>
      </c>
      <c r="F949" s="2">
        <v>377</v>
      </c>
      <c r="G949" t="s">
        <v>67</v>
      </c>
      <c r="H949" t="s">
        <v>71</v>
      </c>
      <c r="I949" t="s">
        <v>75</v>
      </c>
      <c r="J949" t="s">
        <v>96</v>
      </c>
      <c r="K949" t="s">
        <v>121</v>
      </c>
      <c r="L949">
        <v>5</v>
      </c>
      <c r="M949">
        <v>5</v>
      </c>
      <c r="N949" t="s">
        <v>151</v>
      </c>
      <c r="O949" t="s">
        <v>156</v>
      </c>
      <c r="P949" t="s">
        <v>439</v>
      </c>
      <c r="Q949">
        <v>1</v>
      </c>
      <c r="R949" s="9">
        <v>105207</v>
      </c>
      <c r="S949" t="str">
        <f>IF(OR(Sheet1[[#This Row],[Salary_USD]]&lt;$V$13,Sheet1[[#This Row],[Salary_USD]]&gt;$V$12),"Outlier","Normal")</f>
        <v>Normal</v>
      </c>
    </row>
    <row r="950" spans="1:19" x14ac:dyDescent="0.25">
      <c r="A950" t="s">
        <v>21</v>
      </c>
      <c r="B950" t="s">
        <v>33</v>
      </c>
      <c r="C950" t="s">
        <v>37</v>
      </c>
      <c r="D950" t="s">
        <v>451</v>
      </c>
      <c r="E950" s="2">
        <v>64452</v>
      </c>
      <c r="F950" s="2">
        <v>1635</v>
      </c>
      <c r="G950" t="s">
        <v>63</v>
      </c>
      <c r="H950" t="s">
        <v>451</v>
      </c>
      <c r="I950" t="s">
        <v>73</v>
      </c>
      <c r="J950" t="s">
        <v>102</v>
      </c>
      <c r="K950" t="s">
        <v>102</v>
      </c>
      <c r="L950">
        <v>8</v>
      </c>
      <c r="M950">
        <v>5</v>
      </c>
      <c r="N950" t="s">
        <v>152</v>
      </c>
      <c r="O950" t="s">
        <v>156</v>
      </c>
      <c r="P950" t="s">
        <v>369</v>
      </c>
      <c r="Q950">
        <v>1.1000000000000001</v>
      </c>
      <c r="R950" s="9">
        <v>70897.200000000012</v>
      </c>
      <c r="S950" t="str">
        <f>IF(OR(Sheet1[[#This Row],[Salary_USD]]&lt;$V$13,Sheet1[[#This Row],[Salary_USD]]&gt;$V$12),"Outlier","Normal")</f>
        <v>Normal</v>
      </c>
    </row>
    <row r="951" spans="1:19" x14ac:dyDescent="0.25">
      <c r="A951" t="s">
        <v>19</v>
      </c>
      <c r="B951" t="s">
        <v>23</v>
      </c>
      <c r="C951" t="s">
        <v>44</v>
      </c>
      <c r="D951" t="s">
        <v>59</v>
      </c>
      <c r="E951" s="2">
        <v>72528</v>
      </c>
      <c r="F951" s="2">
        <v>2900</v>
      </c>
      <c r="G951" t="s">
        <v>65</v>
      </c>
      <c r="H951" t="s">
        <v>71</v>
      </c>
      <c r="I951" t="s">
        <v>73</v>
      </c>
      <c r="J951" t="s">
        <v>99</v>
      </c>
      <c r="K951" t="s">
        <v>125</v>
      </c>
      <c r="L951">
        <v>25</v>
      </c>
      <c r="M951">
        <v>23</v>
      </c>
      <c r="N951" t="s">
        <v>152</v>
      </c>
      <c r="O951" t="s">
        <v>156</v>
      </c>
      <c r="P951" t="s">
        <v>440</v>
      </c>
      <c r="Q951">
        <v>0.73</v>
      </c>
      <c r="R951" s="9">
        <v>52945.440000000002</v>
      </c>
      <c r="S951" t="str">
        <f>IF(OR(Sheet1[[#This Row],[Salary_USD]]&lt;$V$13,Sheet1[[#This Row],[Salary_USD]]&gt;$V$12),"Outlier","Normal")</f>
        <v>Normal</v>
      </c>
    </row>
    <row r="952" spans="1:19" x14ac:dyDescent="0.25">
      <c r="A952" t="s">
        <v>17</v>
      </c>
      <c r="B952" t="s">
        <v>26</v>
      </c>
      <c r="C952" t="s">
        <v>38</v>
      </c>
      <c r="D952" t="s">
        <v>54</v>
      </c>
      <c r="E952" s="2">
        <v>36128</v>
      </c>
      <c r="F952" s="2">
        <v>2710</v>
      </c>
      <c r="G952" t="s">
        <v>63</v>
      </c>
      <c r="H952" t="s">
        <v>71</v>
      </c>
      <c r="I952" t="s">
        <v>77</v>
      </c>
      <c r="J952" t="s">
        <v>110</v>
      </c>
      <c r="K952" t="s">
        <v>139</v>
      </c>
      <c r="L952">
        <v>10</v>
      </c>
      <c r="M952">
        <v>9</v>
      </c>
      <c r="N952" t="s">
        <v>152</v>
      </c>
      <c r="O952" t="s">
        <v>155</v>
      </c>
      <c r="P952" t="s">
        <v>178</v>
      </c>
      <c r="Q952">
        <v>1.1000000000000001</v>
      </c>
      <c r="R952" s="9">
        <v>39740.800000000003</v>
      </c>
      <c r="S952" t="str">
        <f>IF(OR(Sheet1[[#This Row],[Salary_USD]]&lt;$V$13,Sheet1[[#This Row],[Salary_USD]]&gt;$V$12),"Outlier","Normal")</f>
        <v>Normal</v>
      </c>
    </row>
    <row r="953" spans="1:19" x14ac:dyDescent="0.25">
      <c r="A953" t="s">
        <v>21</v>
      </c>
      <c r="B953" t="s">
        <v>35</v>
      </c>
      <c r="C953" t="s">
        <v>41</v>
      </c>
      <c r="D953" t="s">
        <v>60</v>
      </c>
      <c r="E953" s="2">
        <v>908182</v>
      </c>
      <c r="F953" s="2">
        <v>6165</v>
      </c>
      <c r="G953" t="s">
        <v>66</v>
      </c>
      <c r="H953" t="s">
        <v>56</v>
      </c>
      <c r="I953" t="s">
        <v>80</v>
      </c>
      <c r="J953" t="s">
        <v>93</v>
      </c>
      <c r="K953" t="s">
        <v>93</v>
      </c>
      <c r="L953">
        <v>18</v>
      </c>
      <c r="M953">
        <v>15</v>
      </c>
      <c r="N953" t="s">
        <v>152</v>
      </c>
      <c r="O953" t="s">
        <v>156</v>
      </c>
      <c r="P953" t="s">
        <v>190</v>
      </c>
      <c r="Q953">
        <v>1.2E-2</v>
      </c>
      <c r="R953" s="9">
        <v>10898.184000000001</v>
      </c>
      <c r="S953" t="str">
        <f>IF(OR(Sheet1[[#This Row],[Salary_USD]]&lt;$V$13,Sheet1[[#This Row],[Salary_USD]]&gt;$V$12),"Outlier","Normal")</f>
        <v>Normal</v>
      </c>
    </row>
    <row r="954" spans="1:19" x14ac:dyDescent="0.25">
      <c r="A954" t="s">
        <v>18</v>
      </c>
      <c r="B954" t="s">
        <v>29</v>
      </c>
      <c r="C954" t="s">
        <v>40</v>
      </c>
      <c r="D954" t="s">
        <v>56</v>
      </c>
      <c r="E954" s="2">
        <v>74937</v>
      </c>
      <c r="F954" s="2">
        <v>10896</v>
      </c>
      <c r="G954" t="s">
        <v>68</v>
      </c>
      <c r="H954" t="s">
        <v>56</v>
      </c>
      <c r="I954" t="s">
        <v>77</v>
      </c>
      <c r="J954" t="s">
        <v>111</v>
      </c>
      <c r="K954" t="s">
        <v>146</v>
      </c>
      <c r="L954">
        <v>0</v>
      </c>
      <c r="M954">
        <v>0</v>
      </c>
      <c r="N954" t="s">
        <v>149</v>
      </c>
      <c r="O954" t="s">
        <v>155</v>
      </c>
      <c r="P954" t="s">
        <v>441</v>
      </c>
      <c r="Q954">
        <v>1.25</v>
      </c>
      <c r="R954" s="9">
        <v>93671.25</v>
      </c>
      <c r="S954" t="str">
        <f>IF(OR(Sheet1[[#This Row],[Salary_USD]]&lt;$V$13,Sheet1[[#This Row],[Salary_USD]]&gt;$V$12),"Outlier","Normal")</f>
        <v>Normal</v>
      </c>
    </row>
    <row r="955" spans="1:19" x14ac:dyDescent="0.25">
      <c r="A955" t="s">
        <v>20</v>
      </c>
      <c r="B955" t="s">
        <v>22</v>
      </c>
      <c r="C955" t="s">
        <v>51</v>
      </c>
      <c r="D955" t="s">
        <v>56</v>
      </c>
      <c r="E955" s="2">
        <v>129349</v>
      </c>
      <c r="F955" s="2">
        <v>0</v>
      </c>
      <c r="G955" t="s">
        <v>65</v>
      </c>
      <c r="H955" t="s">
        <v>56</v>
      </c>
      <c r="I955" t="s">
        <v>73</v>
      </c>
      <c r="J955" t="s">
        <v>99</v>
      </c>
      <c r="K955" t="s">
        <v>125</v>
      </c>
      <c r="L955">
        <v>2</v>
      </c>
      <c r="M955">
        <v>2</v>
      </c>
      <c r="N955" t="s">
        <v>152</v>
      </c>
      <c r="O955" t="s">
        <v>155</v>
      </c>
      <c r="P955" t="s">
        <v>174</v>
      </c>
      <c r="Q955">
        <v>0.73</v>
      </c>
      <c r="R955" s="9">
        <v>94424.77</v>
      </c>
      <c r="S955" t="str">
        <f>IF(OR(Sheet1[[#This Row],[Salary_USD]]&lt;$V$13,Sheet1[[#This Row],[Salary_USD]]&gt;$V$12),"Outlier","Normal")</f>
        <v>Normal</v>
      </c>
    </row>
    <row r="956" spans="1:19" x14ac:dyDescent="0.25">
      <c r="A956" t="s">
        <v>20</v>
      </c>
      <c r="B956" t="s">
        <v>28</v>
      </c>
      <c r="C956" t="s">
        <v>46</v>
      </c>
      <c r="D956" t="s">
        <v>56</v>
      </c>
      <c r="E956" s="2">
        <v>78693</v>
      </c>
      <c r="F956" s="2">
        <v>0</v>
      </c>
      <c r="G956" t="s">
        <v>63</v>
      </c>
      <c r="H956" t="s">
        <v>71</v>
      </c>
      <c r="I956" t="s">
        <v>81</v>
      </c>
      <c r="J956" t="s">
        <v>98</v>
      </c>
      <c r="K956" t="s">
        <v>123</v>
      </c>
      <c r="L956">
        <v>4</v>
      </c>
      <c r="M956">
        <v>4</v>
      </c>
      <c r="N956" t="s">
        <v>151</v>
      </c>
      <c r="O956" t="s">
        <v>157</v>
      </c>
      <c r="P956" t="s">
        <v>442</v>
      </c>
      <c r="Q956">
        <v>1.1000000000000001</v>
      </c>
      <c r="R956" s="9">
        <v>86562.3</v>
      </c>
      <c r="S956" t="str">
        <f>IF(OR(Sheet1[[#This Row],[Salary_USD]]&lt;$V$13,Sheet1[[#This Row],[Salary_USD]]&gt;$V$12),"Outlier","Normal")</f>
        <v>Normal</v>
      </c>
    </row>
    <row r="957" spans="1:19" x14ac:dyDescent="0.25">
      <c r="A957" t="s">
        <v>19</v>
      </c>
      <c r="B957" t="s">
        <v>24</v>
      </c>
      <c r="C957" t="s">
        <v>38</v>
      </c>
      <c r="D957" t="s">
        <v>59</v>
      </c>
      <c r="E957" s="2">
        <v>60029</v>
      </c>
      <c r="F957" s="2">
        <v>4970</v>
      </c>
      <c r="G957" t="s">
        <v>64</v>
      </c>
      <c r="H957" t="s">
        <v>70</v>
      </c>
      <c r="I957" t="s">
        <v>80</v>
      </c>
      <c r="J957" t="s">
        <v>106</v>
      </c>
      <c r="K957" t="s">
        <v>106</v>
      </c>
      <c r="L957">
        <v>6</v>
      </c>
      <c r="M957">
        <v>6</v>
      </c>
      <c r="N957" t="s">
        <v>152</v>
      </c>
      <c r="O957" t="s">
        <v>155</v>
      </c>
      <c r="P957" t="s">
        <v>181</v>
      </c>
      <c r="Q957">
        <v>0.65</v>
      </c>
      <c r="R957" s="9">
        <v>39018.85</v>
      </c>
      <c r="S957" t="str">
        <f>IF(OR(Sheet1[[#This Row],[Salary_USD]]&lt;$V$13,Sheet1[[#This Row],[Salary_USD]]&gt;$V$12),"Outlier","Normal")</f>
        <v>Normal</v>
      </c>
    </row>
    <row r="958" spans="1:19" x14ac:dyDescent="0.25">
      <c r="A958" t="s">
        <v>19</v>
      </c>
      <c r="B958" t="s">
        <v>31</v>
      </c>
      <c r="C958" t="s">
        <v>37</v>
      </c>
      <c r="D958" t="s">
        <v>57</v>
      </c>
      <c r="E958" s="2">
        <v>42338</v>
      </c>
      <c r="F958" s="2">
        <v>5166</v>
      </c>
      <c r="G958" t="s">
        <v>68</v>
      </c>
      <c r="H958" t="s">
        <v>451</v>
      </c>
      <c r="I958" t="s">
        <v>72</v>
      </c>
      <c r="J958" t="s">
        <v>82</v>
      </c>
      <c r="K958" t="s">
        <v>112</v>
      </c>
      <c r="L958">
        <v>4</v>
      </c>
      <c r="M958">
        <v>4</v>
      </c>
      <c r="N958" t="s">
        <v>148</v>
      </c>
      <c r="O958" t="s">
        <v>157</v>
      </c>
      <c r="P958" t="s">
        <v>328</v>
      </c>
      <c r="Q958">
        <v>1.25</v>
      </c>
      <c r="R958" s="9">
        <v>52922.5</v>
      </c>
      <c r="S958" t="str">
        <f>IF(OR(Sheet1[[#This Row],[Salary_USD]]&lt;$V$13,Sheet1[[#This Row],[Salary_USD]]&gt;$V$12),"Outlier","Normal")</f>
        <v>Normal</v>
      </c>
    </row>
    <row r="959" spans="1:19" x14ac:dyDescent="0.25">
      <c r="A959" t="s">
        <v>21</v>
      </c>
      <c r="B959" t="s">
        <v>32</v>
      </c>
      <c r="C959" t="s">
        <v>39</v>
      </c>
      <c r="D959" t="s">
        <v>60</v>
      </c>
      <c r="E959" s="2">
        <v>143664</v>
      </c>
      <c r="F959" s="2">
        <v>13651</v>
      </c>
      <c r="G959" t="s">
        <v>65</v>
      </c>
      <c r="H959" t="s">
        <v>56</v>
      </c>
      <c r="I959" t="s">
        <v>81</v>
      </c>
      <c r="J959" t="s">
        <v>94</v>
      </c>
      <c r="K959" t="s">
        <v>129</v>
      </c>
      <c r="L959">
        <v>15</v>
      </c>
      <c r="M959">
        <v>14</v>
      </c>
      <c r="N959" t="s">
        <v>148</v>
      </c>
      <c r="O959" t="s">
        <v>157</v>
      </c>
      <c r="P959" t="s">
        <v>180</v>
      </c>
      <c r="Q959">
        <v>0.73</v>
      </c>
      <c r="R959" s="9">
        <v>104874.72</v>
      </c>
      <c r="S959" t="str">
        <f>IF(OR(Sheet1[[#This Row],[Salary_USD]]&lt;$V$13,Sheet1[[#This Row],[Salary_USD]]&gt;$V$12),"Outlier","Normal")</f>
        <v>Normal</v>
      </c>
    </row>
    <row r="960" spans="1:19" x14ac:dyDescent="0.25">
      <c r="A960" t="s">
        <v>20</v>
      </c>
      <c r="B960" t="s">
        <v>22</v>
      </c>
      <c r="C960" t="s">
        <v>48</v>
      </c>
      <c r="D960" t="s">
        <v>62</v>
      </c>
      <c r="E960" s="2">
        <v>58226</v>
      </c>
      <c r="F960" s="2">
        <v>5271</v>
      </c>
      <c r="G960" t="s">
        <v>68</v>
      </c>
      <c r="H960" t="s">
        <v>71</v>
      </c>
      <c r="I960" t="s">
        <v>80</v>
      </c>
      <c r="J960" t="s">
        <v>93</v>
      </c>
      <c r="K960" t="s">
        <v>93</v>
      </c>
      <c r="L960">
        <v>1</v>
      </c>
      <c r="M960">
        <v>1</v>
      </c>
      <c r="N960" t="s">
        <v>152</v>
      </c>
      <c r="O960" t="s">
        <v>157</v>
      </c>
      <c r="P960" t="s">
        <v>175</v>
      </c>
      <c r="Q960">
        <v>1.25</v>
      </c>
      <c r="R960" s="9">
        <v>72782.5</v>
      </c>
      <c r="S960" t="str">
        <f>IF(OR(Sheet1[[#This Row],[Salary_USD]]&lt;$V$13,Sheet1[[#This Row],[Salary_USD]]&gt;$V$12),"Outlier","Normal")</f>
        <v>Normal</v>
      </c>
    </row>
    <row r="961" spans="1:19" x14ac:dyDescent="0.25">
      <c r="A961" t="s">
        <v>20</v>
      </c>
      <c r="B961" t="s">
        <v>29</v>
      </c>
      <c r="C961" t="s">
        <v>49</v>
      </c>
      <c r="D961" t="s">
        <v>56</v>
      </c>
      <c r="E961" s="2">
        <v>122540</v>
      </c>
      <c r="F961" s="2">
        <v>11647</v>
      </c>
      <c r="G961" t="s">
        <v>67</v>
      </c>
      <c r="H961" t="s">
        <v>56</v>
      </c>
      <c r="I961" t="s">
        <v>72</v>
      </c>
      <c r="J961" t="s">
        <v>82</v>
      </c>
      <c r="K961" t="s">
        <v>112</v>
      </c>
      <c r="L961">
        <v>7</v>
      </c>
      <c r="M961">
        <v>4</v>
      </c>
      <c r="N961" t="s">
        <v>152</v>
      </c>
      <c r="O961" t="s">
        <v>156</v>
      </c>
      <c r="P961" t="s">
        <v>243</v>
      </c>
      <c r="Q961">
        <v>1</v>
      </c>
      <c r="R961" s="9">
        <v>122540</v>
      </c>
      <c r="S961" t="str">
        <f>IF(OR(Sheet1[[#This Row],[Salary_USD]]&lt;$V$13,Sheet1[[#This Row],[Salary_USD]]&gt;$V$12),"Outlier","Normal")</f>
        <v>Normal</v>
      </c>
    </row>
    <row r="962" spans="1:19" x14ac:dyDescent="0.25">
      <c r="A962" t="s">
        <v>20</v>
      </c>
      <c r="B962" t="s">
        <v>26</v>
      </c>
      <c r="C962" t="s">
        <v>40</v>
      </c>
      <c r="D962" t="s">
        <v>61</v>
      </c>
      <c r="E962" s="2">
        <v>320848</v>
      </c>
      <c r="F962" s="2">
        <v>0</v>
      </c>
      <c r="G962" t="s">
        <v>66</v>
      </c>
      <c r="H962" t="s">
        <v>69</v>
      </c>
      <c r="I962" t="s">
        <v>81</v>
      </c>
      <c r="J962" t="s">
        <v>94</v>
      </c>
      <c r="K962" t="s">
        <v>129</v>
      </c>
      <c r="L962">
        <v>3</v>
      </c>
      <c r="M962">
        <v>3</v>
      </c>
      <c r="N962" t="s">
        <v>148</v>
      </c>
      <c r="O962" t="s">
        <v>156</v>
      </c>
      <c r="P962" t="s">
        <v>180</v>
      </c>
      <c r="Q962">
        <v>1.2E-2</v>
      </c>
      <c r="R962" s="9">
        <v>3850.1759999999999</v>
      </c>
      <c r="S962" t="str">
        <f>IF(OR(Sheet1[[#This Row],[Salary_USD]]&lt;$V$13,Sheet1[[#This Row],[Salary_USD]]&gt;$V$12),"Outlier","Normal")</f>
        <v>Normal</v>
      </c>
    </row>
    <row r="963" spans="1:19" x14ac:dyDescent="0.25">
      <c r="A963" t="s">
        <v>19</v>
      </c>
      <c r="B963" t="s">
        <v>26</v>
      </c>
      <c r="C963" t="s">
        <v>36</v>
      </c>
      <c r="D963" t="s">
        <v>58</v>
      </c>
      <c r="E963" s="2">
        <v>35759</v>
      </c>
      <c r="F963" s="2">
        <v>1310</v>
      </c>
      <c r="G963" t="s">
        <v>68</v>
      </c>
      <c r="H963" t="s">
        <v>56</v>
      </c>
      <c r="I963" t="s">
        <v>76</v>
      </c>
      <c r="J963" t="s">
        <v>86</v>
      </c>
      <c r="K963" t="s">
        <v>115</v>
      </c>
      <c r="L963">
        <v>12</v>
      </c>
      <c r="M963">
        <v>12</v>
      </c>
      <c r="N963" t="s">
        <v>149</v>
      </c>
      <c r="O963" t="s">
        <v>156</v>
      </c>
      <c r="P963" t="s">
        <v>181</v>
      </c>
      <c r="Q963">
        <v>1.25</v>
      </c>
      <c r="R963" s="9">
        <v>44698.75</v>
      </c>
      <c r="S963" t="str">
        <f>IF(OR(Sheet1[[#This Row],[Salary_USD]]&lt;$V$13,Sheet1[[#This Row],[Salary_USD]]&gt;$V$12),"Outlier","Normal")</f>
        <v>Normal</v>
      </c>
    </row>
    <row r="964" spans="1:19" x14ac:dyDescent="0.25">
      <c r="A964" t="s">
        <v>20</v>
      </c>
      <c r="B964" t="s">
        <v>31</v>
      </c>
      <c r="C964" t="s">
        <v>37</v>
      </c>
      <c r="D964" t="s">
        <v>55</v>
      </c>
      <c r="E964" s="2">
        <v>90971</v>
      </c>
      <c r="F964" s="2">
        <v>8786</v>
      </c>
      <c r="G964" t="s">
        <v>64</v>
      </c>
      <c r="H964" t="s">
        <v>71</v>
      </c>
      <c r="I964" t="s">
        <v>74</v>
      </c>
      <c r="J964" t="s">
        <v>84</v>
      </c>
      <c r="K964" t="s">
        <v>74</v>
      </c>
      <c r="L964">
        <v>1</v>
      </c>
      <c r="M964">
        <v>1</v>
      </c>
      <c r="N964" t="s">
        <v>150</v>
      </c>
      <c r="O964" t="s">
        <v>156</v>
      </c>
      <c r="P964" t="s">
        <v>171</v>
      </c>
      <c r="Q964">
        <v>0.65</v>
      </c>
      <c r="R964" s="9">
        <v>59131.15</v>
      </c>
      <c r="S964" t="str">
        <f>IF(OR(Sheet1[[#This Row],[Salary_USD]]&lt;$V$13,Sheet1[[#This Row],[Salary_USD]]&gt;$V$12),"Outlier","Normal")</f>
        <v>Normal</v>
      </c>
    </row>
    <row r="965" spans="1:19" x14ac:dyDescent="0.25">
      <c r="A965" t="s">
        <v>19</v>
      </c>
      <c r="B965" t="s">
        <v>35</v>
      </c>
      <c r="C965" t="s">
        <v>49</v>
      </c>
      <c r="D965" t="s">
        <v>56</v>
      </c>
      <c r="E965" s="2">
        <v>89511</v>
      </c>
      <c r="F965" s="2">
        <v>6353</v>
      </c>
      <c r="G965" t="s">
        <v>64</v>
      </c>
      <c r="H965" t="s">
        <v>70</v>
      </c>
      <c r="I965" t="s">
        <v>79</v>
      </c>
      <c r="J965" t="s">
        <v>107</v>
      </c>
      <c r="K965" t="s">
        <v>134</v>
      </c>
      <c r="L965">
        <v>8</v>
      </c>
      <c r="M965">
        <v>7</v>
      </c>
      <c r="N965" t="s">
        <v>148</v>
      </c>
      <c r="O965" t="s">
        <v>155</v>
      </c>
      <c r="P965" t="s">
        <v>443</v>
      </c>
      <c r="Q965">
        <v>0.65</v>
      </c>
      <c r="R965" s="9">
        <v>58182.15</v>
      </c>
      <c r="S965" t="str">
        <f>IF(OR(Sheet1[[#This Row],[Salary_USD]]&lt;$V$13,Sheet1[[#This Row],[Salary_USD]]&gt;$V$12),"Outlier","Normal")</f>
        <v>Normal</v>
      </c>
    </row>
    <row r="966" spans="1:19" x14ac:dyDescent="0.25">
      <c r="A966" t="s">
        <v>17</v>
      </c>
      <c r="B966" t="s">
        <v>28</v>
      </c>
      <c r="C966" t="s">
        <v>51</v>
      </c>
      <c r="D966" t="s">
        <v>57</v>
      </c>
      <c r="E966" s="2">
        <v>676331</v>
      </c>
      <c r="F966" s="2">
        <v>62542</v>
      </c>
      <c r="G966" t="s">
        <v>66</v>
      </c>
      <c r="H966" t="s">
        <v>70</v>
      </c>
      <c r="I966" t="s">
        <v>81</v>
      </c>
      <c r="J966" t="s">
        <v>94</v>
      </c>
      <c r="K966" t="s">
        <v>129</v>
      </c>
      <c r="L966">
        <v>25</v>
      </c>
      <c r="M966">
        <v>23</v>
      </c>
      <c r="N966" t="s">
        <v>151</v>
      </c>
      <c r="O966" t="s">
        <v>155</v>
      </c>
      <c r="P966" t="s">
        <v>173</v>
      </c>
      <c r="Q966">
        <v>1.2E-2</v>
      </c>
      <c r="R966" s="9">
        <v>8115.9719999999998</v>
      </c>
      <c r="S966" t="str">
        <f>IF(OR(Sheet1[[#This Row],[Salary_USD]]&lt;$V$13,Sheet1[[#This Row],[Salary_USD]]&gt;$V$12),"Outlier","Normal")</f>
        <v>Normal</v>
      </c>
    </row>
    <row r="967" spans="1:19" x14ac:dyDescent="0.25">
      <c r="A967" t="s">
        <v>20</v>
      </c>
      <c r="B967" t="s">
        <v>34</v>
      </c>
      <c r="C967" t="s">
        <v>49</v>
      </c>
      <c r="D967" t="s">
        <v>57</v>
      </c>
      <c r="E967" s="2">
        <v>118330</v>
      </c>
      <c r="F967" s="2">
        <v>2224</v>
      </c>
      <c r="G967" t="s">
        <v>65</v>
      </c>
      <c r="H967" t="s">
        <v>451</v>
      </c>
      <c r="I967" t="s">
        <v>76</v>
      </c>
      <c r="J967" t="s">
        <v>92</v>
      </c>
      <c r="K967" t="s">
        <v>119</v>
      </c>
      <c r="L967">
        <v>5</v>
      </c>
      <c r="M967">
        <v>5</v>
      </c>
      <c r="N967" t="s">
        <v>152</v>
      </c>
      <c r="O967" t="s">
        <v>154</v>
      </c>
      <c r="P967" t="s">
        <v>318</v>
      </c>
      <c r="Q967">
        <v>0.73</v>
      </c>
      <c r="R967" s="9">
        <v>86380.9</v>
      </c>
      <c r="S967" t="str">
        <f>IF(OR(Sheet1[[#This Row],[Salary_USD]]&lt;$V$13,Sheet1[[#This Row],[Salary_USD]]&gt;$V$12),"Outlier","Normal")</f>
        <v>Normal</v>
      </c>
    </row>
    <row r="968" spans="1:19" x14ac:dyDescent="0.25">
      <c r="A968" t="s">
        <v>19</v>
      </c>
      <c r="B968" t="s">
        <v>35</v>
      </c>
      <c r="C968" t="s">
        <v>46</v>
      </c>
      <c r="D968" t="s">
        <v>56</v>
      </c>
      <c r="E968" s="2">
        <v>1391977</v>
      </c>
      <c r="F968" s="2">
        <v>0</v>
      </c>
      <c r="G968" t="s">
        <v>66</v>
      </c>
      <c r="H968" t="s">
        <v>451</v>
      </c>
      <c r="I968" t="s">
        <v>72</v>
      </c>
      <c r="J968" t="s">
        <v>95</v>
      </c>
      <c r="K968" t="s">
        <v>120</v>
      </c>
      <c r="L968">
        <v>5</v>
      </c>
      <c r="M968">
        <v>4</v>
      </c>
      <c r="N968" t="s">
        <v>151</v>
      </c>
      <c r="O968" t="s">
        <v>155</v>
      </c>
      <c r="P968" t="s">
        <v>174</v>
      </c>
      <c r="Q968">
        <v>1.2E-2</v>
      </c>
      <c r="R968" s="9">
        <v>16703.724000000002</v>
      </c>
      <c r="S968" t="str">
        <f>IF(OR(Sheet1[[#This Row],[Salary_USD]]&lt;$V$13,Sheet1[[#This Row],[Salary_USD]]&gt;$V$12),"Outlier","Normal")</f>
        <v>Normal</v>
      </c>
    </row>
    <row r="969" spans="1:19" x14ac:dyDescent="0.25">
      <c r="A969" t="s">
        <v>21</v>
      </c>
      <c r="B969" t="s">
        <v>29</v>
      </c>
      <c r="C969" t="s">
        <v>36</v>
      </c>
      <c r="D969" t="s">
        <v>62</v>
      </c>
      <c r="E969" s="2">
        <v>597222</v>
      </c>
      <c r="F969" s="2">
        <v>33818</v>
      </c>
      <c r="G969" t="s">
        <v>66</v>
      </c>
      <c r="H969" t="s">
        <v>451</v>
      </c>
      <c r="I969" t="s">
        <v>74</v>
      </c>
      <c r="J969" t="s">
        <v>84</v>
      </c>
      <c r="K969" t="s">
        <v>74</v>
      </c>
      <c r="L969">
        <v>18</v>
      </c>
      <c r="M969">
        <v>15</v>
      </c>
      <c r="N969" t="s">
        <v>153</v>
      </c>
      <c r="O969" t="s">
        <v>157</v>
      </c>
      <c r="P969" t="s">
        <v>215</v>
      </c>
      <c r="Q969">
        <v>1.2E-2</v>
      </c>
      <c r="R969" s="9">
        <v>7166.6639999999998</v>
      </c>
      <c r="S969" t="str">
        <f>IF(OR(Sheet1[[#This Row],[Salary_USD]]&lt;$V$13,Sheet1[[#This Row],[Salary_USD]]&gt;$V$12),"Outlier","Normal")</f>
        <v>Normal</v>
      </c>
    </row>
    <row r="970" spans="1:19" x14ac:dyDescent="0.25">
      <c r="A970" t="s">
        <v>21</v>
      </c>
      <c r="B970" t="s">
        <v>32</v>
      </c>
      <c r="C970" t="s">
        <v>45</v>
      </c>
      <c r="D970" t="s">
        <v>57</v>
      </c>
      <c r="E970" s="2">
        <v>134373</v>
      </c>
      <c r="F970" s="2">
        <v>19198</v>
      </c>
      <c r="G970" t="s">
        <v>65</v>
      </c>
      <c r="H970" t="s">
        <v>70</v>
      </c>
      <c r="I970" t="s">
        <v>80</v>
      </c>
      <c r="J970" t="s">
        <v>106</v>
      </c>
      <c r="K970" t="s">
        <v>106</v>
      </c>
      <c r="L970">
        <v>9</v>
      </c>
      <c r="M970">
        <v>7</v>
      </c>
      <c r="N970" t="s">
        <v>148</v>
      </c>
      <c r="O970" t="s">
        <v>154</v>
      </c>
      <c r="P970" t="s">
        <v>188</v>
      </c>
      <c r="Q970">
        <v>0.73</v>
      </c>
      <c r="R970" s="9">
        <v>98092.29</v>
      </c>
      <c r="S970" t="str">
        <f>IF(OR(Sheet1[[#This Row],[Salary_USD]]&lt;$V$13,Sheet1[[#This Row],[Salary_USD]]&gt;$V$12),"Outlier","Normal")</f>
        <v>Normal</v>
      </c>
    </row>
    <row r="971" spans="1:19" x14ac:dyDescent="0.25">
      <c r="A971" t="s">
        <v>17</v>
      </c>
      <c r="B971" t="s">
        <v>35</v>
      </c>
      <c r="C971" t="s">
        <v>48</v>
      </c>
      <c r="D971" t="s">
        <v>61</v>
      </c>
      <c r="E971" s="2">
        <v>86412</v>
      </c>
      <c r="F971" s="2">
        <v>0</v>
      </c>
      <c r="G971" t="s">
        <v>63</v>
      </c>
      <c r="H971" t="s">
        <v>69</v>
      </c>
      <c r="I971" t="s">
        <v>72</v>
      </c>
      <c r="J971" t="s">
        <v>82</v>
      </c>
      <c r="K971" t="s">
        <v>112</v>
      </c>
      <c r="L971">
        <v>15</v>
      </c>
      <c r="M971">
        <v>14</v>
      </c>
      <c r="N971" t="s">
        <v>149</v>
      </c>
      <c r="O971" t="s">
        <v>154</v>
      </c>
      <c r="P971" t="s">
        <v>173</v>
      </c>
      <c r="Q971">
        <v>1.1000000000000001</v>
      </c>
      <c r="R971" s="9">
        <v>95053.200000000012</v>
      </c>
      <c r="S971" t="str">
        <f>IF(OR(Sheet1[[#This Row],[Salary_USD]]&lt;$V$13,Sheet1[[#This Row],[Salary_USD]]&gt;$V$12),"Outlier","Normal")</f>
        <v>Normal</v>
      </c>
    </row>
    <row r="972" spans="1:19" x14ac:dyDescent="0.25">
      <c r="A972" t="s">
        <v>21</v>
      </c>
      <c r="B972" t="s">
        <v>22</v>
      </c>
      <c r="C972" t="s">
        <v>46</v>
      </c>
      <c r="D972" t="s">
        <v>56</v>
      </c>
      <c r="E972" s="2">
        <v>581256</v>
      </c>
      <c r="F972" s="2">
        <v>73215</v>
      </c>
      <c r="G972" t="s">
        <v>66</v>
      </c>
      <c r="H972" t="s">
        <v>69</v>
      </c>
      <c r="I972" t="s">
        <v>80</v>
      </c>
      <c r="J972" t="s">
        <v>93</v>
      </c>
      <c r="K972" t="s">
        <v>93</v>
      </c>
      <c r="L972">
        <v>15</v>
      </c>
      <c r="M972">
        <v>15</v>
      </c>
      <c r="N972" t="s">
        <v>150</v>
      </c>
      <c r="O972" t="s">
        <v>156</v>
      </c>
      <c r="P972" t="s">
        <v>444</v>
      </c>
      <c r="Q972">
        <v>1.2E-2</v>
      </c>
      <c r="R972" s="9">
        <v>6975.0720000000001</v>
      </c>
      <c r="S972" t="str">
        <f>IF(OR(Sheet1[[#This Row],[Salary_USD]]&lt;$V$13,Sheet1[[#This Row],[Salary_USD]]&gt;$V$12),"Outlier","Normal")</f>
        <v>Normal</v>
      </c>
    </row>
    <row r="973" spans="1:19" x14ac:dyDescent="0.25">
      <c r="A973" t="s">
        <v>19</v>
      </c>
      <c r="B973" t="s">
        <v>34</v>
      </c>
      <c r="C973" t="s">
        <v>46</v>
      </c>
      <c r="D973" t="s">
        <v>58</v>
      </c>
      <c r="E973" s="2">
        <v>33480</v>
      </c>
      <c r="F973" s="2">
        <v>747</v>
      </c>
      <c r="G973" t="s">
        <v>65</v>
      </c>
      <c r="H973" t="s">
        <v>56</v>
      </c>
      <c r="I973" t="s">
        <v>77</v>
      </c>
      <c r="J973" t="s">
        <v>87</v>
      </c>
      <c r="K973" t="s">
        <v>144</v>
      </c>
      <c r="L973">
        <v>4</v>
      </c>
      <c r="M973">
        <v>4</v>
      </c>
      <c r="N973" t="s">
        <v>150</v>
      </c>
      <c r="O973" t="s">
        <v>156</v>
      </c>
      <c r="P973" t="s">
        <v>445</v>
      </c>
      <c r="Q973">
        <v>0.73</v>
      </c>
      <c r="R973" s="9">
        <v>24440.399999999998</v>
      </c>
      <c r="S973" t="str">
        <f>IF(OR(Sheet1[[#This Row],[Salary_USD]]&lt;$V$13,Sheet1[[#This Row],[Salary_USD]]&gt;$V$12),"Outlier","Normal")</f>
        <v>Normal</v>
      </c>
    </row>
    <row r="974" spans="1:19" x14ac:dyDescent="0.25">
      <c r="A974" t="s">
        <v>17</v>
      </c>
      <c r="B974" t="s">
        <v>35</v>
      </c>
      <c r="C974" t="s">
        <v>39</v>
      </c>
      <c r="D974" t="s">
        <v>55</v>
      </c>
      <c r="E974" s="2">
        <v>582630</v>
      </c>
      <c r="F974" s="2">
        <v>79453</v>
      </c>
      <c r="G974" t="s">
        <v>66</v>
      </c>
      <c r="H974" t="s">
        <v>56</v>
      </c>
      <c r="I974" t="s">
        <v>79</v>
      </c>
      <c r="J974" t="s">
        <v>107</v>
      </c>
      <c r="K974" t="s">
        <v>134</v>
      </c>
      <c r="L974">
        <v>15</v>
      </c>
      <c r="M974">
        <v>15</v>
      </c>
      <c r="N974" t="s">
        <v>151</v>
      </c>
      <c r="O974" t="s">
        <v>155</v>
      </c>
      <c r="P974" t="s">
        <v>175</v>
      </c>
      <c r="Q974">
        <v>1.2E-2</v>
      </c>
      <c r="R974" s="9">
        <v>6991.56</v>
      </c>
      <c r="S974" t="str">
        <f>IF(OR(Sheet1[[#This Row],[Salary_USD]]&lt;$V$13,Sheet1[[#This Row],[Salary_USD]]&gt;$V$12),"Outlier","Normal")</f>
        <v>Normal</v>
      </c>
    </row>
    <row r="975" spans="1:19" x14ac:dyDescent="0.25">
      <c r="A975" t="s">
        <v>19</v>
      </c>
      <c r="B975" t="s">
        <v>35</v>
      </c>
      <c r="C975" t="s">
        <v>48</v>
      </c>
      <c r="D975" t="s">
        <v>55</v>
      </c>
      <c r="E975" s="2">
        <v>56051</v>
      </c>
      <c r="F975" s="2">
        <v>2761</v>
      </c>
      <c r="G975" t="s">
        <v>65</v>
      </c>
      <c r="H975" t="s">
        <v>71</v>
      </c>
      <c r="I975" t="s">
        <v>72</v>
      </c>
      <c r="J975" t="s">
        <v>95</v>
      </c>
      <c r="K975" t="s">
        <v>120</v>
      </c>
      <c r="L975">
        <v>5</v>
      </c>
      <c r="M975">
        <v>5</v>
      </c>
      <c r="N975" t="s">
        <v>151</v>
      </c>
      <c r="O975" t="s">
        <v>154</v>
      </c>
      <c r="P975" t="s">
        <v>230</v>
      </c>
      <c r="Q975">
        <v>0.73</v>
      </c>
      <c r="R975" s="9">
        <v>40917.229999999996</v>
      </c>
      <c r="S975" t="str">
        <f>IF(OR(Sheet1[[#This Row],[Salary_USD]]&lt;$V$13,Sheet1[[#This Row],[Salary_USD]]&gt;$V$12),"Outlier","Normal")</f>
        <v>Normal</v>
      </c>
    </row>
    <row r="976" spans="1:19" x14ac:dyDescent="0.25">
      <c r="A976" t="s">
        <v>21</v>
      </c>
      <c r="B976" t="s">
        <v>23</v>
      </c>
      <c r="C976" t="s">
        <v>50</v>
      </c>
      <c r="D976" t="s">
        <v>57</v>
      </c>
      <c r="E976" s="2">
        <v>77962</v>
      </c>
      <c r="F976" s="2">
        <v>9902</v>
      </c>
      <c r="G976" t="s">
        <v>64</v>
      </c>
      <c r="H976" t="s">
        <v>71</v>
      </c>
      <c r="I976" t="s">
        <v>79</v>
      </c>
      <c r="J976" t="s">
        <v>91</v>
      </c>
      <c r="K976" t="s">
        <v>118</v>
      </c>
      <c r="L976">
        <v>12</v>
      </c>
      <c r="M976">
        <v>12</v>
      </c>
      <c r="N976" t="s">
        <v>152</v>
      </c>
      <c r="O976" t="s">
        <v>155</v>
      </c>
      <c r="P976" t="s">
        <v>166</v>
      </c>
      <c r="Q976">
        <v>0.65</v>
      </c>
      <c r="R976" s="9">
        <v>50675.3</v>
      </c>
      <c r="S976" t="str">
        <f>IF(OR(Sheet1[[#This Row],[Salary_USD]]&lt;$V$13,Sheet1[[#This Row],[Salary_USD]]&gt;$V$12),"Outlier","Normal")</f>
        <v>Normal</v>
      </c>
    </row>
    <row r="977" spans="1:19" x14ac:dyDescent="0.25">
      <c r="A977" t="s">
        <v>20</v>
      </c>
      <c r="B977" t="s">
        <v>31</v>
      </c>
      <c r="C977" t="s">
        <v>46</v>
      </c>
      <c r="D977" t="s">
        <v>58</v>
      </c>
      <c r="E977" s="2">
        <v>148045</v>
      </c>
      <c r="F977" s="2">
        <v>3358</v>
      </c>
      <c r="G977" t="s">
        <v>67</v>
      </c>
      <c r="H977" t="s">
        <v>451</v>
      </c>
      <c r="I977" t="s">
        <v>74</v>
      </c>
      <c r="J977" t="s">
        <v>84</v>
      </c>
      <c r="K977" t="s">
        <v>74</v>
      </c>
      <c r="L977">
        <v>6</v>
      </c>
      <c r="M977">
        <v>5</v>
      </c>
      <c r="N977" t="s">
        <v>152</v>
      </c>
      <c r="O977" t="s">
        <v>154</v>
      </c>
      <c r="P977" t="s">
        <v>188</v>
      </c>
      <c r="Q977">
        <v>1</v>
      </c>
      <c r="R977" s="9">
        <v>148045</v>
      </c>
      <c r="S977" t="str">
        <f>IF(OR(Sheet1[[#This Row],[Salary_USD]]&lt;$V$13,Sheet1[[#This Row],[Salary_USD]]&gt;$V$12),"Outlier","Normal")</f>
        <v>Normal</v>
      </c>
    </row>
    <row r="978" spans="1:19" x14ac:dyDescent="0.25">
      <c r="A978" t="s">
        <v>20</v>
      </c>
      <c r="B978" t="s">
        <v>34</v>
      </c>
      <c r="C978" t="s">
        <v>46</v>
      </c>
      <c r="D978" t="s">
        <v>59</v>
      </c>
      <c r="E978" s="2">
        <v>89862</v>
      </c>
      <c r="F978" s="2">
        <v>0</v>
      </c>
      <c r="G978" t="s">
        <v>65</v>
      </c>
      <c r="H978" t="s">
        <v>70</v>
      </c>
      <c r="I978" t="s">
        <v>81</v>
      </c>
      <c r="J978" t="s">
        <v>101</v>
      </c>
      <c r="K978" t="s">
        <v>127</v>
      </c>
      <c r="L978">
        <v>4</v>
      </c>
      <c r="M978">
        <v>4</v>
      </c>
      <c r="N978" t="s">
        <v>149</v>
      </c>
      <c r="O978" t="s">
        <v>157</v>
      </c>
      <c r="P978" t="s">
        <v>446</v>
      </c>
      <c r="Q978">
        <v>0.73</v>
      </c>
      <c r="R978" s="9">
        <v>65599.259999999995</v>
      </c>
      <c r="S978" t="str">
        <f>IF(OR(Sheet1[[#This Row],[Salary_USD]]&lt;$V$13,Sheet1[[#This Row],[Salary_USD]]&gt;$V$12),"Outlier","Normal")</f>
        <v>Normal</v>
      </c>
    </row>
    <row r="979" spans="1:19" x14ac:dyDescent="0.25">
      <c r="A979" t="s">
        <v>17</v>
      </c>
      <c r="B979" t="s">
        <v>34</v>
      </c>
      <c r="C979" t="s">
        <v>42</v>
      </c>
      <c r="D979" t="s">
        <v>60</v>
      </c>
      <c r="E979" s="2">
        <v>48390</v>
      </c>
      <c r="F979" s="2">
        <v>5062</v>
      </c>
      <c r="G979" t="s">
        <v>68</v>
      </c>
      <c r="H979" t="s">
        <v>69</v>
      </c>
      <c r="I979" t="s">
        <v>72</v>
      </c>
      <c r="J979" t="s">
        <v>82</v>
      </c>
      <c r="K979" t="s">
        <v>112</v>
      </c>
      <c r="L979">
        <v>10</v>
      </c>
      <c r="M979">
        <v>10</v>
      </c>
      <c r="N979" t="s">
        <v>152</v>
      </c>
      <c r="O979" t="s">
        <v>157</v>
      </c>
      <c r="P979" t="s">
        <v>189</v>
      </c>
      <c r="Q979">
        <v>1.25</v>
      </c>
      <c r="R979" s="9">
        <v>60487.5</v>
      </c>
      <c r="S979" t="str">
        <f>IF(OR(Sheet1[[#This Row],[Salary_USD]]&lt;$V$13,Sheet1[[#This Row],[Salary_USD]]&gt;$V$12),"Outlier","Normal")</f>
        <v>Normal</v>
      </c>
    </row>
    <row r="980" spans="1:19" x14ac:dyDescent="0.25">
      <c r="A980" t="s">
        <v>19</v>
      </c>
      <c r="B980" t="s">
        <v>35</v>
      </c>
      <c r="C980" t="s">
        <v>52</v>
      </c>
      <c r="D980" t="s">
        <v>451</v>
      </c>
      <c r="E980" s="2">
        <v>89510</v>
      </c>
      <c r="F980" s="2">
        <v>14596</v>
      </c>
      <c r="G980" t="s">
        <v>67</v>
      </c>
      <c r="H980" t="s">
        <v>70</v>
      </c>
      <c r="I980" t="s">
        <v>73</v>
      </c>
      <c r="J980" t="s">
        <v>102</v>
      </c>
      <c r="K980" t="s">
        <v>102</v>
      </c>
      <c r="L980">
        <v>4</v>
      </c>
      <c r="M980">
        <v>4</v>
      </c>
      <c r="N980" t="s">
        <v>148</v>
      </c>
      <c r="O980" t="s">
        <v>157</v>
      </c>
      <c r="P980" t="s">
        <v>284</v>
      </c>
      <c r="Q980">
        <v>1</v>
      </c>
      <c r="R980" s="9">
        <v>89510</v>
      </c>
      <c r="S980" t="str">
        <f>IF(OR(Sheet1[[#This Row],[Salary_USD]]&lt;$V$13,Sheet1[[#This Row],[Salary_USD]]&gt;$V$12),"Outlier","Normal")</f>
        <v>Normal</v>
      </c>
    </row>
    <row r="981" spans="1:19" x14ac:dyDescent="0.25">
      <c r="A981" t="s">
        <v>17</v>
      </c>
      <c r="B981" t="s">
        <v>29</v>
      </c>
      <c r="C981" t="s">
        <v>52</v>
      </c>
      <c r="D981" t="s">
        <v>58</v>
      </c>
      <c r="E981" s="2">
        <v>60541</v>
      </c>
      <c r="F981" s="2">
        <v>0</v>
      </c>
      <c r="G981" t="s">
        <v>63</v>
      </c>
      <c r="H981" t="s">
        <v>71</v>
      </c>
      <c r="I981" t="s">
        <v>74</v>
      </c>
      <c r="J981" t="s">
        <v>84</v>
      </c>
      <c r="K981" t="s">
        <v>74</v>
      </c>
      <c r="L981">
        <v>9</v>
      </c>
      <c r="M981">
        <v>6</v>
      </c>
      <c r="N981" t="s">
        <v>151</v>
      </c>
      <c r="O981" t="s">
        <v>157</v>
      </c>
      <c r="P981" t="s">
        <v>166</v>
      </c>
      <c r="Q981">
        <v>1.1000000000000001</v>
      </c>
      <c r="R981" s="9">
        <v>66595.100000000006</v>
      </c>
      <c r="S981" t="str">
        <f>IF(OR(Sheet1[[#This Row],[Salary_USD]]&lt;$V$13,Sheet1[[#This Row],[Salary_USD]]&gt;$V$12),"Outlier","Normal")</f>
        <v>Normal</v>
      </c>
    </row>
    <row r="982" spans="1:19" x14ac:dyDescent="0.25">
      <c r="A982" t="s">
        <v>20</v>
      </c>
      <c r="B982" t="s">
        <v>35</v>
      </c>
      <c r="C982" t="s">
        <v>40</v>
      </c>
      <c r="D982" t="s">
        <v>55</v>
      </c>
      <c r="E982" s="2">
        <v>83425</v>
      </c>
      <c r="F982" s="2">
        <v>14780</v>
      </c>
      <c r="G982" t="s">
        <v>68</v>
      </c>
      <c r="H982" t="s">
        <v>71</v>
      </c>
      <c r="I982" t="s">
        <v>79</v>
      </c>
      <c r="J982" t="s">
        <v>91</v>
      </c>
      <c r="K982" t="s">
        <v>118</v>
      </c>
      <c r="L982">
        <v>3</v>
      </c>
      <c r="M982">
        <v>0</v>
      </c>
      <c r="N982" t="s">
        <v>153</v>
      </c>
      <c r="O982" t="s">
        <v>154</v>
      </c>
      <c r="P982" t="s">
        <v>212</v>
      </c>
      <c r="Q982">
        <v>1.25</v>
      </c>
      <c r="R982" s="9">
        <v>104281.25</v>
      </c>
      <c r="S982" t="str">
        <f>IF(OR(Sheet1[[#This Row],[Salary_USD]]&lt;$V$13,Sheet1[[#This Row],[Salary_USD]]&gt;$V$12),"Outlier","Normal")</f>
        <v>Normal</v>
      </c>
    </row>
    <row r="983" spans="1:19" x14ac:dyDescent="0.25">
      <c r="A983" t="s">
        <v>20</v>
      </c>
      <c r="B983" t="s">
        <v>23</v>
      </c>
      <c r="C983" t="s">
        <v>53</v>
      </c>
      <c r="D983" t="s">
        <v>56</v>
      </c>
      <c r="E983" s="2">
        <v>128969</v>
      </c>
      <c r="F983" s="2">
        <v>0</v>
      </c>
      <c r="G983" t="s">
        <v>64</v>
      </c>
      <c r="H983" t="s">
        <v>71</v>
      </c>
      <c r="I983" t="s">
        <v>75</v>
      </c>
      <c r="J983" t="s">
        <v>96</v>
      </c>
      <c r="K983" t="s">
        <v>121</v>
      </c>
      <c r="L983">
        <v>4</v>
      </c>
      <c r="M983">
        <v>4</v>
      </c>
      <c r="N983" t="s">
        <v>153</v>
      </c>
      <c r="O983" t="s">
        <v>155</v>
      </c>
      <c r="P983" t="s">
        <v>447</v>
      </c>
      <c r="Q983">
        <v>0.65</v>
      </c>
      <c r="R983" s="9">
        <v>83829.850000000006</v>
      </c>
      <c r="S983" t="str">
        <f>IF(OR(Sheet1[[#This Row],[Salary_USD]]&lt;$V$13,Sheet1[[#This Row],[Salary_USD]]&gt;$V$12),"Outlier","Normal")</f>
        <v>Normal</v>
      </c>
    </row>
    <row r="984" spans="1:19" x14ac:dyDescent="0.25">
      <c r="A984" t="s">
        <v>17</v>
      </c>
      <c r="B984" t="s">
        <v>35</v>
      </c>
      <c r="C984" t="s">
        <v>40</v>
      </c>
      <c r="D984" t="s">
        <v>54</v>
      </c>
      <c r="E984" s="2">
        <v>64318</v>
      </c>
      <c r="F984" s="2">
        <v>11576</v>
      </c>
      <c r="G984" t="s">
        <v>65</v>
      </c>
      <c r="H984" t="s">
        <v>69</v>
      </c>
      <c r="I984" t="s">
        <v>79</v>
      </c>
      <c r="J984" t="s">
        <v>107</v>
      </c>
      <c r="K984" t="s">
        <v>134</v>
      </c>
      <c r="L984">
        <v>10</v>
      </c>
      <c r="M984">
        <v>10</v>
      </c>
      <c r="N984" t="s">
        <v>148</v>
      </c>
      <c r="O984" t="s">
        <v>155</v>
      </c>
      <c r="P984" t="s">
        <v>383</v>
      </c>
      <c r="Q984">
        <v>0.73</v>
      </c>
      <c r="R984" s="9">
        <v>46952.14</v>
      </c>
      <c r="S984" t="str">
        <f>IF(OR(Sheet1[[#This Row],[Salary_USD]]&lt;$V$13,Sheet1[[#This Row],[Salary_USD]]&gt;$V$12),"Outlier","Normal")</f>
        <v>Normal</v>
      </c>
    </row>
    <row r="985" spans="1:19" x14ac:dyDescent="0.25">
      <c r="A985" t="s">
        <v>21</v>
      </c>
      <c r="B985" t="s">
        <v>35</v>
      </c>
      <c r="C985" t="s">
        <v>43</v>
      </c>
      <c r="D985" t="s">
        <v>60</v>
      </c>
      <c r="E985" s="2">
        <v>126141</v>
      </c>
      <c r="F985" s="2">
        <v>6696</v>
      </c>
      <c r="G985" t="s">
        <v>65</v>
      </c>
      <c r="H985" t="s">
        <v>451</v>
      </c>
      <c r="I985" t="s">
        <v>73</v>
      </c>
      <c r="J985" t="s">
        <v>83</v>
      </c>
      <c r="K985" t="s">
        <v>113</v>
      </c>
      <c r="L985">
        <v>8</v>
      </c>
      <c r="M985">
        <v>8</v>
      </c>
      <c r="N985" t="s">
        <v>148</v>
      </c>
      <c r="O985" t="s">
        <v>154</v>
      </c>
      <c r="P985" t="s">
        <v>224</v>
      </c>
      <c r="Q985">
        <v>0.73</v>
      </c>
      <c r="R985" s="9">
        <v>92082.93</v>
      </c>
      <c r="S985" t="str">
        <f>IF(OR(Sheet1[[#This Row],[Salary_USD]]&lt;$V$13,Sheet1[[#This Row],[Salary_USD]]&gt;$V$12),"Outlier","Normal")</f>
        <v>Normal</v>
      </c>
    </row>
    <row r="986" spans="1:19" x14ac:dyDescent="0.25">
      <c r="A986" t="s">
        <v>21</v>
      </c>
      <c r="B986" t="s">
        <v>26</v>
      </c>
      <c r="C986" t="s">
        <v>43</v>
      </c>
      <c r="D986" t="s">
        <v>60</v>
      </c>
      <c r="E986" s="2">
        <v>136585</v>
      </c>
      <c r="F986" s="2">
        <v>24949</v>
      </c>
      <c r="G986" t="s">
        <v>65</v>
      </c>
      <c r="H986" t="s">
        <v>451</v>
      </c>
      <c r="I986" t="s">
        <v>77</v>
      </c>
      <c r="J986" t="s">
        <v>87</v>
      </c>
      <c r="K986" t="s">
        <v>144</v>
      </c>
      <c r="L986">
        <v>18</v>
      </c>
      <c r="M986">
        <v>18</v>
      </c>
      <c r="N986" t="s">
        <v>150</v>
      </c>
      <c r="O986" t="s">
        <v>154</v>
      </c>
      <c r="P986" t="s">
        <v>189</v>
      </c>
      <c r="Q986">
        <v>0.73</v>
      </c>
      <c r="R986" s="9">
        <v>99707.05</v>
      </c>
      <c r="S986" t="str">
        <f>IF(OR(Sheet1[[#This Row],[Salary_USD]]&lt;$V$13,Sheet1[[#This Row],[Salary_USD]]&gt;$V$12),"Outlier","Normal")</f>
        <v>Normal</v>
      </c>
    </row>
    <row r="987" spans="1:19" x14ac:dyDescent="0.25">
      <c r="A987" t="s">
        <v>20</v>
      </c>
      <c r="B987" t="s">
        <v>35</v>
      </c>
      <c r="C987" t="s">
        <v>37</v>
      </c>
      <c r="D987" t="s">
        <v>61</v>
      </c>
      <c r="E987" s="2">
        <v>108238</v>
      </c>
      <c r="F987" s="2">
        <v>3879</v>
      </c>
      <c r="G987" t="s">
        <v>68</v>
      </c>
      <c r="H987" t="s">
        <v>70</v>
      </c>
      <c r="I987" t="s">
        <v>80</v>
      </c>
      <c r="J987" t="s">
        <v>93</v>
      </c>
      <c r="K987" t="s">
        <v>93</v>
      </c>
      <c r="L987">
        <v>3</v>
      </c>
      <c r="M987">
        <v>2</v>
      </c>
      <c r="N987" t="s">
        <v>149</v>
      </c>
      <c r="O987" t="s">
        <v>157</v>
      </c>
      <c r="P987" t="s">
        <v>213</v>
      </c>
      <c r="Q987">
        <v>1.25</v>
      </c>
      <c r="R987" s="9">
        <v>135297.5</v>
      </c>
      <c r="S987" t="str">
        <f>IF(OR(Sheet1[[#This Row],[Salary_USD]]&lt;$V$13,Sheet1[[#This Row],[Salary_USD]]&gt;$V$12),"Outlier","Normal")</f>
        <v>Normal</v>
      </c>
    </row>
    <row r="988" spans="1:19" x14ac:dyDescent="0.25">
      <c r="A988" t="s">
        <v>19</v>
      </c>
      <c r="B988" t="s">
        <v>34</v>
      </c>
      <c r="C988" t="s">
        <v>50</v>
      </c>
      <c r="D988" t="s">
        <v>58</v>
      </c>
      <c r="E988" s="2">
        <v>71087</v>
      </c>
      <c r="F988" s="2">
        <v>0</v>
      </c>
      <c r="G988" t="s">
        <v>68</v>
      </c>
      <c r="H988" t="s">
        <v>70</v>
      </c>
      <c r="I988" t="s">
        <v>77</v>
      </c>
      <c r="J988" t="s">
        <v>110</v>
      </c>
      <c r="K988" t="s">
        <v>145</v>
      </c>
      <c r="L988">
        <v>8</v>
      </c>
      <c r="M988">
        <v>6</v>
      </c>
      <c r="N988" t="s">
        <v>149</v>
      </c>
      <c r="O988" t="s">
        <v>155</v>
      </c>
      <c r="P988" t="s">
        <v>448</v>
      </c>
      <c r="Q988">
        <v>1.25</v>
      </c>
      <c r="R988" s="9">
        <v>88858.75</v>
      </c>
      <c r="S988" t="str">
        <f>IF(OR(Sheet1[[#This Row],[Salary_USD]]&lt;$V$13,Sheet1[[#This Row],[Salary_USD]]&gt;$V$12),"Outlier","Normal")</f>
        <v>Normal</v>
      </c>
    </row>
    <row r="989" spans="1:19" x14ac:dyDescent="0.25">
      <c r="A989" t="s">
        <v>19</v>
      </c>
      <c r="B989" t="s">
        <v>34</v>
      </c>
      <c r="C989" t="s">
        <v>41</v>
      </c>
      <c r="D989" t="s">
        <v>59</v>
      </c>
      <c r="E989" s="2">
        <v>87222</v>
      </c>
      <c r="F989" s="2">
        <v>425</v>
      </c>
      <c r="G989" t="s">
        <v>64</v>
      </c>
      <c r="H989" t="s">
        <v>71</v>
      </c>
      <c r="I989" t="s">
        <v>72</v>
      </c>
      <c r="J989" t="s">
        <v>82</v>
      </c>
      <c r="K989" t="s">
        <v>112</v>
      </c>
      <c r="L989">
        <v>20</v>
      </c>
      <c r="M989">
        <v>19</v>
      </c>
      <c r="N989" t="s">
        <v>149</v>
      </c>
      <c r="O989" t="s">
        <v>156</v>
      </c>
      <c r="P989" t="s">
        <v>181</v>
      </c>
      <c r="Q989">
        <v>0.65</v>
      </c>
      <c r="R989" s="9">
        <v>56694.3</v>
      </c>
      <c r="S989" t="str">
        <f>IF(OR(Sheet1[[#This Row],[Salary_USD]]&lt;$V$13,Sheet1[[#This Row],[Salary_USD]]&gt;$V$12),"Outlier","Normal")</f>
        <v>Normal</v>
      </c>
    </row>
    <row r="990" spans="1:19" x14ac:dyDescent="0.25">
      <c r="A990" t="s">
        <v>21</v>
      </c>
      <c r="B990" t="s">
        <v>33</v>
      </c>
      <c r="C990" t="s">
        <v>43</v>
      </c>
      <c r="D990" t="s">
        <v>54</v>
      </c>
      <c r="E990" s="2">
        <v>74718</v>
      </c>
      <c r="F990" s="2">
        <v>14711</v>
      </c>
      <c r="G990" t="s">
        <v>64</v>
      </c>
      <c r="H990" t="s">
        <v>69</v>
      </c>
      <c r="I990" t="s">
        <v>76</v>
      </c>
      <c r="J990" t="s">
        <v>86</v>
      </c>
      <c r="K990" t="s">
        <v>115</v>
      </c>
      <c r="L990">
        <v>20</v>
      </c>
      <c r="M990">
        <v>20</v>
      </c>
      <c r="N990" t="s">
        <v>151</v>
      </c>
      <c r="O990" t="s">
        <v>156</v>
      </c>
      <c r="P990" t="s">
        <v>188</v>
      </c>
      <c r="Q990">
        <v>0.65</v>
      </c>
      <c r="R990" s="9">
        <v>48566.700000000004</v>
      </c>
      <c r="S990" t="str">
        <f>IF(OR(Sheet1[[#This Row],[Salary_USD]]&lt;$V$13,Sheet1[[#This Row],[Salary_USD]]&gt;$V$12),"Outlier","Normal")</f>
        <v>Normal</v>
      </c>
    </row>
  </sheetData>
  <mergeCells count="1">
    <mergeCell ref="U5:V5"/>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107A3-ED0D-4FDA-96A0-EA8487E74011}">
  <dimension ref="A3:Q36"/>
  <sheetViews>
    <sheetView topLeftCell="B16" workbookViewId="0">
      <selection activeCell="Q24" sqref="Q24"/>
    </sheetView>
  </sheetViews>
  <sheetFormatPr defaultRowHeight="13.8" x14ac:dyDescent="0.25"/>
  <cols>
    <col min="1" max="1" width="20.69921875" customWidth="1"/>
    <col min="2" max="2" width="20.3984375" customWidth="1"/>
    <col min="4" max="4" width="13.8984375" customWidth="1"/>
    <col min="5" max="5" width="20.3984375" customWidth="1"/>
    <col min="7" max="7" width="14.59765625" customWidth="1"/>
    <col min="8" max="8" width="20.3984375" customWidth="1"/>
    <col min="11" max="11" width="20.69921875" customWidth="1"/>
    <col min="12" max="12" width="9.296875" customWidth="1"/>
    <col min="13" max="13" width="17.296875" customWidth="1"/>
    <col min="15" max="16" width="35.5" customWidth="1"/>
    <col min="17" max="17" width="44.59765625" customWidth="1"/>
  </cols>
  <sheetData>
    <row r="3" spans="1:17" x14ac:dyDescent="0.25">
      <c r="A3" s="4" t="s">
        <v>1</v>
      </c>
      <c r="B3" t="s">
        <v>463</v>
      </c>
      <c r="D3" s="4" t="s">
        <v>9</v>
      </c>
      <c r="E3" t="s">
        <v>463</v>
      </c>
      <c r="G3" s="4" t="s">
        <v>15</v>
      </c>
      <c r="H3" t="s">
        <v>463</v>
      </c>
      <c r="K3" s="4" t="s">
        <v>1</v>
      </c>
      <c r="L3" s="4" t="s">
        <v>15</v>
      </c>
      <c r="M3" t="s">
        <v>462</v>
      </c>
      <c r="O3" s="4" t="s">
        <v>14</v>
      </c>
      <c r="P3" t="s">
        <v>463</v>
      </c>
    </row>
    <row r="4" spans="1:17" x14ac:dyDescent="0.25">
      <c r="A4" t="s">
        <v>31</v>
      </c>
      <c r="B4">
        <v>62185.19043243242</v>
      </c>
      <c r="D4" t="s">
        <v>75</v>
      </c>
      <c r="E4">
        <v>55392.546294736843</v>
      </c>
      <c r="G4" t="s">
        <v>155</v>
      </c>
      <c r="H4">
        <v>63347.746787878772</v>
      </c>
      <c r="K4" t="s">
        <v>31</v>
      </c>
      <c r="M4">
        <v>4601704.0919999992</v>
      </c>
      <c r="O4" t="s">
        <v>150</v>
      </c>
      <c r="P4">
        <v>58977.991697368481</v>
      </c>
    </row>
    <row r="5" spans="1:17" x14ac:dyDescent="0.25">
      <c r="A5" t="s">
        <v>34</v>
      </c>
      <c r="B5">
        <v>61211.068956521747</v>
      </c>
      <c r="D5" t="s">
        <v>76</v>
      </c>
      <c r="E5">
        <v>62570.527102040818</v>
      </c>
      <c r="G5" t="s">
        <v>157</v>
      </c>
      <c r="H5">
        <v>54814.785951417005</v>
      </c>
      <c r="K5" t="s">
        <v>34</v>
      </c>
      <c r="M5">
        <v>4223563.7580000004</v>
      </c>
      <c r="O5" t="s">
        <v>151</v>
      </c>
      <c r="P5">
        <v>61147.540565517222</v>
      </c>
    </row>
    <row r="6" spans="1:17" x14ac:dyDescent="0.25">
      <c r="A6" t="s">
        <v>29</v>
      </c>
      <c r="B6">
        <v>56174.894967213113</v>
      </c>
      <c r="D6" t="s">
        <v>79</v>
      </c>
      <c r="E6">
        <v>53922.372549019601</v>
      </c>
      <c r="G6" t="s">
        <v>154</v>
      </c>
      <c r="H6">
        <v>59325.389539094635</v>
      </c>
      <c r="K6" t="s">
        <v>29</v>
      </c>
      <c r="M6">
        <v>6853337.1859999998</v>
      </c>
      <c r="O6" t="s">
        <v>153</v>
      </c>
      <c r="P6">
        <v>57553.754037037033</v>
      </c>
    </row>
    <row r="7" spans="1:17" x14ac:dyDescent="0.25">
      <c r="A7" t="s">
        <v>24</v>
      </c>
      <c r="B7">
        <v>60883.649842105253</v>
      </c>
      <c r="D7" t="s">
        <v>73</v>
      </c>
      <c r="E7">
        <v>58733.48938271607</v>
      </c>
      <c r="G7" t="s">
        <v>452</v>
      </c>
      <c r="H7">
        <v>0</v>
      </c>
      <c r="K7" t="s">
        <v>24</v>
      </c>
      <c r="M7">
        <v>4627157.3879999993</v>
      </c>
      <c r="O7" t="s">
        <v>152</v>
      </c>
      <c r="P7">
        <v>56388.044161849735</v>
      </c>
    </row>
    <row r="8" spans="1:17" x14ac:dyDescent="0.25">
      <c r="A8" t="s">
        <v>32</v>
      </c>
      <c r="B8">
        <v>63852.713216216216</v>
      </c>
      <c r="D8" t="s">
        <v>77</v>
      </c>
      <c r="E8">
        <v>58691.319298969072</v>
      </c>
      <c r="G8" t="s">
        <v>156</v>
      </c>
      <c r="H8">
        <v>60117.376016806731</v>
      </c>
      <c r="K8" t="s">
        <v>32</v>
      </c>
      <c r="M8">
        <v>4725100.7779999999</v>
      </c>
      <c r="O8" t="s">
        <v>149</v>
      </c>
      <c r="P8">
        <v>54349.037756613769</v>
      </c>
    </row>
    <row r="9" spans="1:17" x14ac:dyDescent="0.25">
      <c r="A9" t="s">
        <v>26</v>
      </c>
      <c r="B9">
        <v>55094.500830769241</v>
      </c>
      <c r="D9" t="s">
        <v>72</v>
      </c>
      <c r="E9">
        <v>58884.339280701781</v>
      </c>
      <c r="G9" t="s">
        <v>461</v>
      </c>
      <c r="H9">
        <v>57529.410301314456</v>
      </c>
      <c r="K9" t="s">
        <v>26</v>
      </c>
      <c r="M9">
        <v>3581142.5540000005</v>
      </c>
      <c r="O9" t="s">
        <v>148</v>
      </c>
      <c r="P9">
        <v>57825.778202380985</v>
      </c>
    </row>
    <row r="10" spans="1:17" x14ac:dyDescent="0.25">
      <c r="A10" t="s">
        <v>22</v>
      </c>
      <c r="B10">
        <v>63261.624179487175</v>
      </c>
      <c r="D10" t="s">
        <v>74</v>
      </c>
      <c r="E10">
        <v>58725.306466666669</v>
      </c>
      <c r="K10" t="s">
        <v>22</v>
      </c>
      <c r="M10">
        <v>4934406.6859999998</v>
      </c>
      <c r="O10" t="s">
        <v>461</v>
      </c>
      <c r="P10">
        <v>57529.410301314463</v>
      </c>
    </row>
    <row r="11" spans="1:17" x14ac:dyDescent="0.25">
      <c r="A11" t="s">
        <v>35</v>
      </c>
      <c r="B11">
        <v>56078.24985585588</v>
      </c>
      <c r="D11" t="s">
        <v>80</v>
      </c>
      <c r="E11">
        <v>52904.958999999995</v>
      </c>
      <c r="K11" t="s">
        <v>35</v>
      </c>
      <c r="M11">
        <v>12449371.468000006</v>
      </c>
    </row>
    <row r="12" spans="1:17" x14ac:dyDescent="0.25">
      <c r="A12" t="s">
        <v>28</v>
      </c>
      <c r="B12">
        <v>53666.460642857142</v>
      </c>
      <c r="D12" t="s">
        <v>81</v>
      </c>
      <c r="E12">
        <v>58673.868424242421</v>
      </c>
      <c r="K12" t="s">
        <v>28</v>
      </c>
      <c r="M12">
        <v>3005321.7960000001</v>
      </c>
    </row>
    <row r="13" spans="1:17" x14ac:dyDescent="0.25">
      <c r="A13" t="s">
        <v>23</v>
      </c>
      <c r="B13">
        <v>63038.154539682546</v>
      </c>
      <c r="D13" t="s">
        <v>78</v>
      </c>
      <c r="E13">
        <v>57119.729982300873</v>
      </c>
      <c r="K13" t="s">
        <v>23</v>
      </c>
      <c r="M13">
        <v>3971403.7360000005</v>
      </c>
      <c r="P13" s="4" t="s">
        <v>14</v>
      </c>
      <c r="Q13" t="s">
        <v>464</v>
      </c>
    </row>
    <row r="14" spans="1:17" x14ac:dyDescent="0.25">
      <c r="A14" t="s">
        <v>33</v>
      </c>
      <c r="B14">
        <v>65401.289100000009</v>
      </c>
      <c r="D14" t="s">
        <v>461</v>
      </c>
      <c r="E14">
        <v>57529.41030131447</v>
      </c>
      <c r="K14" t="s">
        <v>33</v>
      </c>
      <c r="M14">
        <v>3924077.3460000004</v>
      </c>
      <c r="P14" t="s">
        <v>150</v>
      </c>
      <c r="Q14">
        <v>8.8355263157894743</v>
      </c>
    </row>
    <row r="15" spans="1:17" x14ac:dyDescent="0.25">
      <c r="A15" t="s">
        <v>451</v>
      </c>
      <c r="B15">
        <v>0</v>
      </c>
      <c r="K15" t="s">
        <v>451</v>
      </c>
      <c r="M15">
        <v>0</v>
      </c>
      <c r="P15" t="s">
        <v>151</v>
      </c>
      <c r="Q15">
        <v>9.3379310344827591</v>
      </c>
    </row>
    <row r="16" spans="1:17" x14ac:dyDescent="0.25">
      <c r="A16" t="s">
        <v>461</v>
      </c>
      <c r="B16">
        <v>57529.410301314419</v>
      </c>
      <c r="K16" t="s">
        <v>461</v>
      </c>
      <c r="M16">
        <v>56896586.788000017</v>
      </c>
      <c r="P16" t="s">
        <v>153</v>
      </c>
      <c r="Q16">
        <v>8.5061728395061724</v>
      </c>
    </row>
    <row r="17" spans="16:17" x14ac:dyDescent="0.25">
      <c r="P17" t="s">
        <v>152</v>
      </c>
      <c r="Q17">
        <v>9.5549132947976876</v>
      </c>
    </row>
    <row r="18" spans="16:17" x14ac:dyDescent="0.25">
      <c r="P18" t="s">
        <v>149</v>
      </c>
      <c r="Q18">
        <v>9.6613756613756614</v>
      </c>
    </row>
    <row r="19" spans="16:17" x14ac:dyDescent="0.25">
      <c r="P19" t="s">
        <v>148</v>
      </c>
      <c r="Q19">
        <v>8.6666666666666661</v>
      </c>
    </row>
    <row r="20" spans="16:17" x14ac:dyDescent="0.25">
      <c r="P20" t="s">
        <v>461</v>
      </c>
      <c r="Q20">
        <v>9.1102123356926192</v>
      </c>
    </row>
    <row r="24" spans="16:17" x14ac:dyDescent="0.25">
      <c r="Q24" s="5">
        <f>GETPIVOTDATA("Years of Professional Experience Overall",$P$13)</f>
        <v>9.1102123356926192</v>
      </c>
    </row>
    <row r="36" spans="7:8" x14ac:dyDescent="0.25">
      <c r="G36" s="6">
        <f>GETPIVOTDATA("Salary_USD",$A$3)</f>
        <v>57529.410301314419</v>
      </c>
      <c r="H36" s="7">
        <f>GETPIVOTDATA("Salary_USD",$K$3)</f>
        <v>56896586.788000017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1D0EB-B2C7-49B1-B81C-F425F58E424B}">
  <dimension ref="A1"/>
  <sheetViews>
    <sheetView showGridLines="0" tabSelected="1" zoomScaleNormal="100" workbookViewId="0">
      <pane xSplit="21" topLeftCell="V1" activePane="topRight" state="frozen"/>
      <selection pane="topRight" activeCell="F46" sqref="F46"/>
    </sheetView>
  </sheetViews>
  <sheetFormatPr defaultRowHeight="13.8" x14ac:dyDescent="0.25"/>
  <cols>
    <col min="1" max="16384" width="8.796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5B766-4244-43CB-8A98-4CA83BC9B380}">
  <dimension ref="A1:B20"/>
  <sheetViews>
    <sheetView workbookViewId="0"/>
  </sheetViews>
  <sheetFormatPr defaultRowHeight="13.8" x14ac:dyDescent="0.25"/>
  <cols>
    <col min="1" max="1" width="19.5" bestFit="1" customWidth="1"/>
    <col min="2" max="2" width="12.796875" bestFit="1" customWidth="1"/>
  </cols>
  <sheetData>
    <row r="1" spans="1:2" x14ac:dyDescent="0.25">
      <c r="A1" t="s">
        <v>2</v>
      </c>
      <c r="B1" t="s">
        <v>476</v>
      </c>
    </row>
    <row r="2" spans="1:2" x14ac:dyDescent="0.25">
      <c r="A2" t="s">
        <v>45</v>
      </c>
      <c r="B2">
        <v>4251342.01</v>
      </c>
    </row>
    <row r="3" spans="1:2" x14ac:dyDescent="0.25">
      <c r="A3" t="s">
        <v>37</v>
      </c>
      <c r="B3">
        <v>4198442.05</v>
      </c>
    </row>
    <row r="4" spans="1:2" x14ac:dyDescent="0.25">
      <c r="A4" t="s">
        <v>44</v>
      </c>
      <c r="B4">
        <v>3795527.06</v>
      </c>
    </row>
    <row r="5" spans="1:2" x14ac:dyDescent="0.25">
      <c r="A5" t="s">
        <v>48</v>
      </c>
      <c r="B5">
        <v>3683631.4</v>
      </c>
    </row>
    <row r="6" spans="1:2" x14ac:dyDescent="0.25">
      <c r="A6" t="s">
        <v>43</v>
      </c>
      <c r="B6">
        <v>3549548.88</v>
      </c>
    </row>
    <row r="7" spans="1:2" x14ac:dyDescent="0.25">
      <c r="A7" t="s">
        <v>40</v>
      </c>
      <c r="B7">
        <v>3463773.43</v>
      </c>
    </row>
    <row r="8" spans="1:2" x14ac:dyDescent="0.25">
      <c r="A8" t="s">
        <v>39</v>
      </c>
      <c r="B8">
        <v>3308333.65</v>
      </c>
    </row>
    <row r="9" spans="1:2" x14ac:dyDescent="0.25">
      <c r="A9" t="s">
        <v>52</v>
      </c>
      <c r="B9">
        <v>3264806.53</v>
      </c>
    </row>
    <row r="10" spans="1:2" x14ac:dyDescent="0.25">
      <c r="A10" t="s">
        <v>41</v>
      </c>
      <c r="B10">
        <v>3250331.42</v>
      </c>
    </row>
    <row r="11" spans="1:2" x14ac:dyDescent="0.25">
      <c r="A11" t="s">
        <v>42</v>
      </c>
      <c r="B11">
        <v>3234534.43</v>
      </c>
    </row>
    <row r="12" spans="1:2" x14ac:dyDescent="0.25">
      <c r="A12" t="s">
        <v>53</v>
      </c>
      <c r="B12">
        <v>3053989.31</v>
      </c>
    </row>
    <row r="13" spans="1:2" x14ac:dyDescent="0.25">
      <c r="A13" t="s">
        <v>49</v>
      </c>
      <c r="B13">
        <v>3005001.24</v>
      </c>
    </row>
    <row r="14" spans="1:2" x14ac:dyDescent="0.25">
      <c r="A14" t="s">
        <v>47</v>
      </c>
      <c r="B14">
        <v>3001039.26</v>
      </c>
    </row>
    <row r="15" spans="1:2" x14ac:dyDescent="0.25">
      <c r="A15" t="s">
        <v>46</v>
      </c>
      <c r="B15">
        <v>2826608.4</v>
      </c>
    </row>
    <row r="16" spans="1:2" x14ac:dyDescent="0.25">
      <c r="A16" t="s">
        <v>36</v>
      </c>
      <c r="B16">
        <v>2604710.92</v>
      </c>
    </row>
    <row r="17" spans="1:2" x14ac:dyDescent="0.25">
      <c r="A17" t="s">
        <v>38</v>
      </c>
      <c r="B17">
        <v>2211323.1800000002</v>
      </c>
    </row>
    <row r="18" spans="1:2" x14ac:dyDescent="0.25">
      <c r="A18" t="s">
        <v>50</v>
      </c>
      <c r="B18">
        <v>2170352.9500000002</v>
      </c>
    </row>
    <row r="19" spans="1:2" x14ac:dyDescent="0.25">
      <c r="A19" t="s">
        <v>51</v>
      </c>
      <c r="B19">
        <v>2023290.69</v>
      </c>
    </row>
    <row r="20" spans="1:2" x14ac:dyDescent="0.25">
      <c r="A20" t="s">
        <v>451</v>
      </c>
      <c r="B20">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C295E-BF92-4F15-AF33-CC0C6E1147ED}">
  <dimension ref="A1:C371"/>
  <sheetViews>
    <sheetView workbookViewId="0"/>
  </sheetViews>
  <sheetFormatPr defaultRowHeight="13.8" x14ac:dyDescent="0.25"/>
  <cols>
    <col min="1" max="1" width="19.5" bestFit="1" customWidth="1"/>
    <col min="2" max="2" width="12.8984375" bestFit="1" customWidth="1"/>
    <col min="3" max="3" width="12.796875" bestFit="1" customWidth="1"/>
  </cols>
  <sheetData>
    <row r="1" spans="1:3" x14ac:dyDescent="0.25">
      <c r="A1" t="s">
        <v>2</v>
      </c>
      <c r="B1" t="s">
        <v>475</v>
      </c>
      <c r="C1" t="s">
        <v>476</v>
      </c>
    </row>
    <row r="2" spans="1:3" x14ac:dyDescent="0.25">
      <c r="A2" t="s">
        <v>36</v>
      </c>
      <c r="B2">
        <v>8</v>
      </c>
      <c r="C2">
        <v>462694.18</v>
      </c>
    </row>
    <row r="3" spans="1:3" x14ac:dyDescent="0.25">
      <c r="A3" t="s">
        <v>37</v>
      </c>
      <c r="B3">
        <v>1</v>
      </c>
      <c r="C3">
        <v>282912.96999999997</v>
      </c>
    </row>
    <row r="4" spans="1:3" x14ac:dyDescent="0.25">
      <c r="A4" t="s">
        <v>38</v>
      </c>
      <c r="B4">
        <v>14</v>
      </c>
      <c r="C4">
        <v>78196.289999999994</v>
      </c>
    </row>
    <row r="5" spans="1:3" x14ac:dyDescent="0.25">
      <c r="A5" t="s">
        <v>38</v>
      </c>
      <c r="B5">
        <v>1</v>
      </c>
      <c r="C5">
        <v>48274.53</v>
      </c>
    </row>
    <row r="6" spans="1:3" x14ac:dyDescent="0.25">
      <c r="A6" t="s">
        <v>39</v>
      </c>
      <c r="B6">
        <v>3</v>
      </c>
      <c r="C6">
        <v>119186.43</v>
      </c>
    </row>
    <row r="7" spans="1:3" x14ac:dyDescent="0.25">
      <c r="A7" t="s">
        <v>40</v>
      </c>
      <c r="B7">
        <v>20</v>
      </c>
      <c r="C7">
        <v>131818.6</v>
      </c>
    </row>
    <row r="8" spans="1:3" x14ac:dyDescent="0.25">
      <c r="A8" t="s">
        <v>40</v>
      </c>
      <c r="B8">
        <v>0</v>
      </c>
      <c r="C8">
        <v>688942.18</v>
      </c>
    </row>
    <row r="9" spans="1:3" x14ac:dyDescent="0.25">
      <c r="A9" t="s">
        <v>38</v>
      </c>
      <c r="B9">
        <v>25</v>
      </c>
      <c r="C9">
        <v>154863.31</v>
      </c>
    </row>
    <row r="10" spans="1:3" x14ac:dyDescent="0.25">
      <c r="A10" t="s">
        <v>451</v>
      </c>
      <c r="B10">
        <v>0</v>
      </c>
      <c r="C10">
        <v>0</v>
      </c>
    </row>
    <row r="11" spans="1:3" x14ac:dyDescent="0.25">
      <c r="A11" t="s">
        <v>451</v>
      </c>
      <c r="B11">
        <v>5</v>
      </c>
      <c r="C11">
        <v>0</v>
      </c>
    </row>
    <row r="12" spans="1:3" x14ac:dyDescent="0.25">
      <c r="A12" t="s">
        <v>41</v>
      </c>
      <c r="B12">
        <v>22</v>
      </c>
      <c r="C12">
        <v>15263.6</v>
      </c>
    </row>
    <row r="13" spans="1:3" x14ac:dyDescent="0.25">
      <c r="A13" t="s">
        <v>42</v>
      </c>
      <c r="B13">
        <v>18</v>
      </c>
      <c r="C13">
        <v>129987.25</v>
      </c>
    </row>
    <row r="14" spans="1:3" x14ac:dyDescent="0.25">
      <c r="A14" t="s">
        <v>451</v>
      </c>
      <c r="B14">
        <v>6</v>
      </c>
      <c r="C14">
        <v>0</v>
      </c>
    </row>
    <row r="15" spans="1:3" x14ac:dyDescent="0.25">
      <c r="A15" t="s">
        <v>42</v>
      </c>
      <c r="B15">
        <v>0</v>
      </c>
      <c r="C15">
        <v>234880.47</v>
      </c>
    </row>
    <row r="16" spans="1:3" x14ac:dyDescent="0.25">
      <c r="A16" t="s">
        <v>43</v>
      </c>
      <c r="B16">
        <v>9</v>
      </c>
      <c r="C16">
        <v>118349.66</v>
      </c>
    </row>
    <row r="17" spans="1:3" x14ac:dyDescent="0.25">
      <c r="A17" t="s">
        <v>36</v>
      </c>
      <c r="B17">
        <v>3</v>
      </c>
      <c r="C17">
        <v>231240.08</v>
      </c>
    </row>
    <row r="18" spans="1:3" x14ac:dyDescent="0.25">
      <c r="A18" t="s">
        <v>44</v>
      </c>
      <c r="B18">
        <v>5</v>
      </c>
      <c r="C18">
        <v>238450.16</v>
      </c>
    </row>
    <row r="19" spans="1:3" x14ac:dyDescent="0.25">
      <c r="A19" t="s">
        <v>45</v>
      </c>
      <c r="B19">
        <v>12</v>
      </c>
      <c r="C19">
        <v>435469.17</v>
      </c>
    </row>
    <row r="20" spans="1:3" x14ac:dyDescent="0.25">
      <c r="A20" t="s">
        <v>45</v>
      </c>
      <c r="B20">
        <v>5</v>
      </c>
      <c r="C20">
        <v>196635.11</v>
      </c>
    </row>
    <row r="21" spans="1:3" x14ac:dyDescent="0.25">
      <c r="A21" t="s">
        <v>46</v>
      </c>
      <c r="B21">
        <v>4</v>
      </c>
      <c r="C21">
        <v>548099.97</v>
      </c>
    </row>
    <row r="22" spans="1:3" x14ac:dyDescent="0.25">
      <c r="A22" t="s">
        <v>43</v>
      </c>
      <c r="B22">
        <v>0</v>
      </c>
      <c r="C22">
        <v>300633.5</v>
      </c>
    </row>
    <row r="23" spans="1:3" x14ac:dyDescent="0.25">
      <c r="A23" t="s">
        <v>45</v>
      </c>
      <c r="B23">
        <v>9</v>
      </c>
      <c r="C23">
        <v>204556.1</v>
      </c>
    </row>
    <row r="24" spans="1:3" x14ac:dyDescent="0.25">
      <c r="A24" t="s">
        <v>40</v>
      </c>
      <c r="B24">
        <v>6</v>
      </c>
      <c r="C24">
        <v>344293.3</v>
      </c>
    </row>
    <row r="25" spans="1:3" x14ac:dyDescent="0.25">
      <c r="A25" t="s">
        <v>47</v>
      </c>
      <c r="B25">
        <v>7</v>
      </c>
      <c r="C25">
        <v>217027.6</v>
      </c>
    </row>
    <row r="26" spans="1:3" x14ac:dyDescent="0.25">
      <c r="A26" t="s">
        <v>44</v>
      </c>
      <c r="B26">
        <v>20</v>
      </c>
      <c r="C26">
        <v>142535.14000000001</v>
      </c>
    </row>
    <row r="27" spans="1:3" x14ac:dyDescent="0.25">
      <c r="A27" t="s">
        <v>37</v>
      </c>
      <c r="B27">
        <v>3</v>
      </c>
      <c r="C27">
        <v>260141.65</v>
      </c>
    </row>
    <row r="28" spans="1:3" x14ac:dyDescent="0.25">
      <c r="A28" t="s">
        <v>36</v>
      </c>
      <c r="B28">
        <v>10</v>
      </c>
      <c r="C28">
        <v>79165</v>
      </c>
    </row>
    <row r="29" spans="1:3" x14ac:dyDescent="0.25">
      <c r="A29" t="s">
        <v>48</v>
      </c>
      <c r="B29">
        <v>10</v>
      </c>
      <c r="C29">
        <v>520974.4</v>
      </c>
    </row>
    <row r="30" spans="1:3" x14ac:dyDescent="0.25">
      <c r="A30" t="s">
        <v>37</v>
      </c>
      <c r="B30">
        <v>4</v>
      </c>
      <c r="C30">
        <v>620580.93999999994</v>
      </c>
    </row>
    <row r="31" spans="1:3" x14ac:dyDescent="0.25">
      <c r="A31" t="s">
        <v>49</v>
      </c>
      <c r="B31">
        <v>6</v>
      </c>
      <c r="C31">
        <v>131538</v>
      </c>
    </row>
    <row r="32" spans="1:3" x14ac:dyDescent="0.25">
      <c r="A32" t="s">
        <v>451</v>
      </c>
      <c r="B32">
        <v>11</v>
      </c>
      <c r="C32">
        <v>0</v>
      </c>
    </row>
    <row r="33" spans="1:3" x14ac:dyDescent="0.25">
      <c r="A33" t="s">
        <v>50</v>
      </c>
      <c r="B33">
        <v>4</v>
      </c>
      <c r="C33">
        <v>225738</v>
      </c>
    </row>
    <row r="34" spans="1:3" x14ac:dyDescent="0.25">
      <c r="A34" t="s">
        <v>40</v>
      </c>
      <c r="B34">
        <v>3</v>
      </c>
      <c r="C34">
        <v>93174.71</v>
      </c>
    </row>
    <row r="35" spans="1:3" x14ac:dyDescent="0.25">
      <c r="A35" t="s">
        <v>44</v>
      </c>
      <c r="B35">
        <v>2</v>
      </c>
      <c r="C35">
        <v>272288.83</v>
      </c>
    </row>
    <row r="36" spans="1:3" x14ac:dyDescent="0.25">
      <c r="A36" t="s">
        <v>451</v>
      </c>
      <c r="B36">
        <v>4</v>
      </c>
      <c r="C36">
        <v>0</v>
      </c>
    </row>
    <row r="37" spans="1:3" x14ac:dyDescent="0.25">
      <c r="A37" t="s">
        <v>45</v>
      </c>
      <c r="B37">
        <v>4</v>
      </c>
      <c r="C37">
        <v>277029.51</v>
      </c>
    </row>
    <row r="38" spans="1:3" x14ac:dyDescent="0.25">
      <c r="A38" t="s">
        <v>48</v>
      </c>
      <c r="B38">
        <v>4</v>
      </c>
      <c r="C38">
        <v>290555.89</v>
      </c>
    </row>
    <row r="39" spans="1:3" x14ac:dyDescent="0.25">
      <c r="A39" t="s">
        <v>46</v>
      </c>
      <c r="B39">
        <v>1</v>
      </c>
      <c r="C39">
        <v>67548.56</v>
      </c>
    </row>
    <row r="40" spans="1:3" x14ac:dyDescent="0.25">
      <c r="A40" t="s">
        <v>44</v>
      </c>
      <c r="B40">
        <v>11</v>
      </c>
      <c r="C40">
        <v>67502.5</v>
      </c>
    </row>
    <row r="41" spans="1:3" x14ac:dyDescent="0.25">
      <c r="A41" t="s">
        <v>45</v>
      </c>
      <c r="B41">
        <v>14</v>
      </c>
      <c r="C41">
        <v>93582.93</v>
      </c>
    </row>
    <row r="42" spans="1:3" x14ac:dyDescent="0.25">
      <c r="A42" t="s">
        <v>44</v>
      </c>
      <c r="B42">
        <v>18</v>
      </c>
      <c r="C42">
        <v>280287.2</v>
      </c>
    </row>
    <row r="43" spans="1:3" x14ac:dyDescent="0.25">
      <c r="A43" t="s">
        <v>47</v>
      </c>
      <c r="B43">
        <v>6</v>
      </c>
      <c r="C43">
        <v>241741.4</v>
      </c>
    </row>
    <row r="44" spans="1:3" x14ac:dyDescent="0.25">
      <c r="A44" t="s">
        <v>37</v>
      </c>
      <c r="B44">
        <v>12</v>
      </c>
      <c r="C44">
        <v>253862.75</v>
      </c>
    </row>
    <row r="45" spans="1:3" x14ac:dyDescent="0.25">
      <c r="A45" t="s">
        <v>42</v>
      </c>
      <c r="B45">
        <v>7</v>
      </c>
      <c r="C45">
        <v>177687.96</v>
      </c>
    </row>
    <row r="46" spans="1:3" x14ac:dyDescent="0.25">
      <c r="A46" t="s">
        <v>36</v>
      </c>
      <c r="B46">
        <v>24</v>
      </c>
      <c r="C46">
        <v>62338.1</v>
      </c>
    </row>
    <row r="47" spans="1:3" x14ac:dyDescent="0.25">
      <c r="A47" t="s">
        <v>451</v>
      </c>
      <c r="B47">
        <v>12</v>
      </c>
      <c r="C47">
        <v>0</v>
      </c>
    </row>
    <row r="48" spans="1:3" x14ac:dyDescent="0.25">
      <c r="A48" t="s">
        <v>51</v>
      </c>
      <c r="B48">
        <v>3</v>
      </c>
      <c r="C48">
        <v>177607.15</v>
      </c>
    </row>
    <row r="49" spans="1:3" x14ac:dyDescent="0.25">
      <c r="A49" t="s">
        <v>50</v>
      </c>
      <c r="B49">
        <v>5</v>
      </c>
      <c r="C49">
        <v>235272.07</v>
      </c>
    </row>
    <row r="50" spans="1:3" x14ac:dyDescent="0.25">
      <c r="A50" t="s">
        <v>36</v>
      </c>
      <c r="B50">
        <v>23</v>
      </c>
      <c r="C50">
        <v>48250.81</v>
      </c>
    </row>
    <row r="51" spans="1:3" x14ac:dyDescent="0.25">
      <c r="A51" t="s">
        <v>49</v>
      </c>
      <c r="B51">
        <v>7</v>
      </c>
      <c r="C51">
        <v>348206.57</v>
      </c>
    </row>
    <row r="52" spans="1:3" x14ac:dyDescent="0.25">
      <c r="A52" t="s">
        <v>52</v>
      </c>
      <c r="B52">
        <v>5</v>
      </c>
      <c r="C52">
        <v>272452.98</v>
      </c>
    </row>
    <row r="53" spans="1:3" x14ac:dyDescent="0.25">
      <c r="A53" t="s">
        <v>52</v>
      </c>
      <c r="B53">
        <v>12</v>
      </c>
      <c r="C53">
        <v>28050.35</v>
      </c>
    </row>
    <row r="54" spans="1:3" x14ac:dyDescent="0.25">
      <c r="A54" t="s">
        <v>53</v>
      </c>
      <c r="B54">
        <v>22</v>
      </c>
      <c r="C54">
        <v>7381.07</v>
      </c>
    </row>
    <row r="55" spans="1:3" x14ac:dyDescent="0.25">
      <c r="A55" t="s">
        <v>451</v>
      </c>
      <c r="B55">
        <v>23</v>
      </c>
      <c r="C55">
        <v>0</v>
      </c>
    </row>
    <row r="56" spans="1:3" x14ac:dyDescent="0.25">
      <c r="A56" t="s">
        <v>38</v>
      </c>
      <c r="B56">
        <v>9</v>
      </c>
      <c r="C56">
        <v>111007.51</v>
      </c>
    </row>
    <row r="57" spans="1:3" x14ac:dyDescent="0.25">
      <c r="A57" t="s">
        <v>42</v>
      </c>
      <c r="B57">
        <v>4</v>
      </c>
      <c r="C57">
        <v>86678.19</v>
      </c>
    </row>
    <row r="58" spans="1:3" x14ac:dyDescent="0.25">
      <c r="A58" t="s">
        <v>41</v>
      </c>
      <c r="B58">
        <v>2</v>
      </c>
      <c r="C58">
        <v>291397.88</v>
      </c>
    </row>
    <row r="59" spans="1:3" x14ac:dyDescent="0.25">
      <c r="A59" t="s">
        <v>49</v>
      </c>
      <c r="B59">
        <v>2</v>
      </c>
      <c r="C59">
        <v>89089.65</v>
      </c>
    </row>
    <row r="60" spans="1:3" x14ac:dyDescent="0.25">
      <c r="A60" t="s">
        <v>50</v>
      </c>
      <c r="B60">
        <v>0</v>
      </c>
      <c r="C60">
        <v>201460.7</v>
      </c>
    </row>
    <row r="61" spans="1:3" x14ac:dyDescent="0.25">
      <c r="A61" t="s">
        <v>45</v>
      </c>
      <c r="B61">
        <v>3</v>
      </c>
      <c r="C61">
        <v>46972.7</v>
      </c>
    </row>
    <row r="62" spans="1:3" x14ac:dyDescent="0.25">
      <c r="A62" t="s">
        <v>45</v>
      </c>
      <c r="B62">
        <v>2</v>
      </c>
      <c r="C62">
        <v>354507.99</v>
      </c>
    </row>
    <row r="63" spans="1:3" x14ac:dyDescent="0.25">
      <c r="A63" t="s">
        <v>39</v>
      </c>
      <c r="B63">
        <v>10</v>
      </c>
      <c r="C63">
        <v>9299.14</v>
      </c>
    </row>
    <row r="64" spans="1:3" x14ac:dyDescent="0.25">
      <c r="A64" t="s">
        <v>40</v>
      </c>
      <c r="B64">
        <v>5</v>
      </c>
      <c r="C64">
        <v>243963.31</v>
      </c>
    </row>
    <row r="65" spans="1:3" x14ac:dyDescent="0.25">
      <c r="A65" t="s">
        <v>45</v>
      </c>
      <c r="B65">
        <v>25</v>
      </c>
      <c r="C65">
        <v>302486.24</v>
      </c>
    </row>
    <row r="66" spans="1:3" x14ac:dyDescent="0.25">
      <c r="A66" t="s">
        <v>48</v>
      </c>
      <c r="B66">
        <v>5</v>
      </c>
      <c r="C66">
        <v>256678.49</v>
      </c>
    </row>
    <row r="67" spans="1:3" x14ac:dyDescent="0.25">
      <c r="A67" t="s">
        <v>41</v>
      </c>
      <c r="B67">
        <v>9</v>
      </c>
      <c r="C67">
        <v>331241.90999999997</v>
      </c>
    </row>
    <row r="68" spans="1:3" x14ac:dyDescent="0.25">
      <c r="A68" t="s">
        <v>44</v>
      </c>
      <c r="B68">
        <v>6</v>
      </c>
      <c r="C68">
        <v>271129.12</v>
      </c>
    </row>
    <row r="69" spans="1:3" x14ac:dyDescent="0.25">
      <c r="A69" t="s">
        <v>37</v>
      </c>
      <c r="B69">
        <v>0</v>
      </c>
      <c r="C69">
        <v>376988.97</v>
      </c>
    </row>
    <row r="70" spans="1:3" x14ac:dyDescent="0.25">
      <c r="A70" t="s">
        <v>40</v>
      </c>
      <c r="B70">
        <v>12</v>
      </c>
      <c r="C70">
        <v>44618.71</v>
      </c>
    </row>
    <row r="71" spans="1:3" x14ac:dyDescent="0.25">
      <c r="A71" t="s">
        <v>44</v>
      </c>
      <c r="B71">
        <v>9</v>
      </c>
      <c r="C71">
        <v>124820.62</v>
      </c>
    </row>
    <row r="72" spans="1:3" x14ac:dyDescent="0.25">
      <c r="A72" t="s">
        <v>37</v>
      </c>
      <c r="B72">
        <v>5</v>
      </c>
      <c r="C72">
        <v>279873.95</v>
      </c>
    </row>
    <row r="73" spans="1:3" x14ac:dyDescent="0.25">
      <c r="A73" t="s">
        <v>39</v>
      </c>
      <c r="B73">
        <v>6</v>
      </c>
      <c r="C73">
        <v>389932.18</v>
      </c>
    </row>
    <row r="74" spans="1:3" x14ac:dyDescent="0.25">
      <c r="A74" t="s">
        <v>52</v>
      </c>
      <c r="B74">
        <v>2</v>
      </c>
      <c r="C74">
        <v>518179.85</v>
      </c>
    </row>
    <row r="75" spans="1:3" x14ac:dyDescent="0.25">
      <c r="A75" t="s">
        <v>51</v>
      </c>
      <c r="B75">
        <v>7</v>
      </c>
      <c r="C75">
        <v>153100.25</v>
      </c>
    </row>
    <row r="76" spans="1:3" x14ac:dyDescent="0.25">
      <c r="A76" t="s">
        <v>42</v>
      </c>
      <c r="B76">
        <v>25</v>
      </c>
      <c r="C76">
        <v>125941.25</v>
      </c>
    </row>
    <row r="77" spans="1:3" x14ac:dyDescent="0.25">
      <c r="A77" t="s">
        <v>43</v>
      </c>
      <c r="B77">
        <v>5</v>
      </c>
      <c r="C77">
        <v>189976.22</v>
      </c>
    </row>
    <row r="78" spans="1:3" x14ac:dyDescent="0.25">
      <c r="A78" t="s">
        <v>50</v>
      </c>
      <c r="B78">
        <v>8</v>
      </c>
      <c r="C78">
        <v>182569.28</v>
      </c>
    </row>
    <row r="79" spans="1:3" x14ac:dyDescent="0.25">
      <c r="A79" t="s">
        <v>44</v>
      </c>
      <c r="B79">
        <v>0</v>
      </c>
      <c r="C79">
        <v>508167.36</v>
      </c>
    </row>
    <row r="80" spans="1:3" x14ac:dyDescent="0.25">
      <c r="A80" t="s">
        <v>47</v>
      </c>
      <c r="B80">
        <v>1</v>
      </c>
      <c r="C80">
        <v>300913.17</v>
      </c>
    </row>
    <row r="81" spans="1:3" x14ac:dyDescent="0.25">
      <c r="A81" t="s">
        <v>48</v>
      </c>
      <c r="B81">
        <v>20</v>
      </c>
      <c r="C81">
        <v>277094.3</v>
      </c>
    </row>
    <row r="82" spans="1:3" x14ac:dyDescent="0.25">
      <c r="A82" t="s">
        <v>53</v>
      </c>
      <c r="B82">
        <v>3</v>
      </c>
      <c r="C82">
        <v>152805</v>
      </c>
    </row>
    <row r="83" spans="1:3" x14ac:dyDescent="0.25">
      <c r="A83" t="s">
        <v>47</v>
      </c>
      <c r="B83">
        <v>9</v>
      </c>
      <c r="C83">
        <v>222788.8</v>
      </c>
    </row>
    <row r="84" spans="1:3" x14ac:dyDescent="0.25">
      <c r="A84" t="s">
        <v>49</v>
      </c>
      <c r="B84">
        <v>4</v>
      </c>
      <c r="C84">
        <v>394482.25</v>
      </c>
    </row>
    <row r="85" spans="1:3" x14ac:dyDescent="0.25">
      <c r="A85" t="s">
        <v>43</v>
      </c>
      <c r="B85">
        <v>4</v>
      </c>
      <c r="C85">
        <v>439736.85</v>
      </c>
    </row>
    <row r="86" spans="1:3" x14ac:dyDescent="0.25">
      <c r="A86" t="s">
        <v>50</v>
      </c>
      <c r="B86">
        <v>25</v>
      </c>
      <c r="C86">
        <v>2384.9</v>
      </c>
    </row>
    <row r="87" spans="1:3" x14ac:dyDescent="0.25">
      <c r="A87" t="s">
        <v>43</v>
      </c>
      <c r="B87">
        <v>1</v>
      </c>
      <c r="C87">
        <v>155593.03</v>
      </c>
    </row>
    <row r="88" spans="1:3" x14ac:dyDescent="0.25">
      <c r="A88" t="s">
        <v>42</v>
      </c>
      <c r="B88">
        <v>14</v>
      </c>
      <c r="C88">
        <v>6756.5</v>
      </c>
    </row>
    <row r="89" spans="1:3" x14ac:dyDescent="0.25">
      <c r="A89" t="s">
        <v>48</v>
      </c>
      <c r="B89">
        <v>15</v>
      </c>
      <c r="C89">
        <v>332584.02</v>
      </c>
    </row>
    <row r="90" spans="1:3" x14ac:dyDescent="0.25">
      <c r="A90" t="s">
        <v>45</v>
      </c>
      <c r="B90">
        <v>18</v>
      </c>
      <c r="C90">
        <v>256579.76</v>
      </c>
    </row>
    <row r="91" spans="1:3" x14ac:dyDescent="0.25">
      <c r="A91" t="s">
        <v>48</v>
      </c>
      <c r="B91">
        <v>3</v>
      </c>
      <c r="C91">
        <v>185928.37</v>
      </c>
    </row>
    <row r="92" spans="1:3" x14ac:dyDescent="0.25">
      <c r="A92" t="s">
        <v>41</v>
      </c>
      <c r="B92">
        <v>3</v>
      </c>
      <c r="C92">
        <v>186415.74</v>
      </c>
    </row>
    <row r="93" spans="1:3" x14ac:dyDescent="0.25">
      <c r="A93" t="s">
        <v>45</v>
      </c>
      <c r="B93">
        <v>15</v>
      </c>
      <c r="C93">
        <v>105296</v>
      </c>
    </row>
    <row r="94" spans="1:3" x14ac:dyDescent="0.25">
      <c r="A94" t="s">
        <v>42</v>
      </c>
      <c r="B94">
        <v>15</v>
      </c>
      <c r="C94">
        <v>261243.87</v>
      </c>
    </row>
    <row r="95" spans="1:3" x14ac:dyDescent="0.25">
      <c r="A95" t="s">
        <v>39</v>
      </c>
      <c r="B95">
        <v>1</v>
      </c>
      <c r="C95">
        <v>87405.15</v>
      </c>
    </row>
    <row r="96" spans="1:3" x14ac:dyDescent="0.25">
      <c r="A96" t="s">
        <v>53</v>
      </c>
      <c r="B96">
        <v>8</v>
      </c>
      <c r="C96">
        <v>131311.56</v>
      </c>
    </row>
    <row r="97" spans="1:3" x14ac:dyDescent="0.25">
      <c r="A97" t="s">
        <v>46</v>
      </c>
      <c r="B97">
        <v>9</v>
      </c>
      <c r="C97">
        <v>117525.62</v>
      </c>
    </row>
    <row r="98" spans="1:3" x14ac:dyDescent="0.25">
      <c r="A98" t="s">
        <v>47</v>
      </c>
      <c r="B98">
        <v>2</v>
      </c>
      <c r="C98">
        <v>100359.2</v>
      </c>
    </row>
    <row r="99" spans="1:3" x14ac:dyDescent="0.25">
      <c r="A99" t="s">
        <v>40</v>
      </c>
      <c r="B99">
        <v>9</v>
      </c>
      <c r="C99">
        <v>60730.16</v>
      </c>
    </row>
    <row r="100" spans="1:3" x14ac:dyDescent="0.25">
      <c r="A100" t="s">
        <v>45</v>
      </c>
      <c r="B100">
        <v>19</v>
      </c>
      <c r="C100">
        <v>97462.3</v>
      </c>
    </row>
    <row r="101" spans="1:3" x14ac:dyDescent="0.25">
      <c r="A101" t="s">
        <v>51</v>
      </c>
      <c r="B101">
        <v>4</v>
      </c>
      <c r="C101">
        <v>78115.960000000006</v>
      </c>
    </row>
    <row r="102" spans="1:3" x14ac:dyDescent="0.25">
      <c r="A102" t="s">
        <v>52</v>
      </c>
      <c r="B102">
        <v>8</v>
      </c>
      <c r="C102">
        <v>157467.29999999999</v>
      </c>
    </row>
    <row r="103" spans="1:3" x14ac:dyDescent="0.25">
      <c r="A103" t="s">
        <v>52</v>
      </c>
      <c r="B103">
        <v>0</v>
      </c>
      <c r="C103">
        <v>228134.87</v>
      </c>
    </row>
    <row r="104" spans="1:3" x14ac:dyDescent="0.25">
      <c r="A104" t="s">
        <v>42</v>
      </c>
      <c r="B104">
        <v>10</v>
      </c>
      <c r="C104">
        <v>226708.33</v>
      </c>
    </row>
    <row r="105" spans="1:3" x14ac:dyDescent="0.25">
      <c r="A105" t="s">
        <v>38</v>
      </c>
      <c r="B105">
        <v>10</v>
      </c>
      <c r="C105">
        <v>106362.5</v>
      </c>
    </row>
    <row r="106" spans="1:3" x14ac:dyDescent="0.25">
      <c r="A106" t="s">
        <v>451</v>
      </c>
      <c r="B106">
        <v>2</v>
      </c>
      <c r="C106">
        <v>0</v>
      </c>
    </row>
    <row r="107" spans="1:3" x14ac:dyDescent="0.25">
      <c r="A107" t="s">
        <v>451</v>
      </c>
      <c r="B107">
        <v>1</v>
      </c>
      <c r="C107">
        <v>0</v>
      </c>
    </row>
    <row r="108" spans="1:3" x14ac:dyDescent="0.25">
      <c r="A108" t="s">
        <v>41</v>
      </c>
      <c r="B108">
        <v>5</v>
      </c>
      <c r="C108">
        <v>201335.65</v>
      </c>
    </row>
    <row r="109" spans="1:3" x14ac:dyDescent="0.25">
      <c r="A109" t="s">
        <v>53</v>
      </c>
      <c r="B109">
        <v>9</v>
      </c>
      <c r="C109">
        <v>314241.17</v>
      </c>
    </row>
    <row r="110" spans="1:3" x14ac:dyDescent="0.25">
      <c r="A110" t="s">
        <v>39</v>
      </c>
      <c r="B110">
        <v>2</v>
      </c>
      <c r="C110">
        <v>208245.5</v>
      </c>
    </row>
    <row r="111" spans="1:3" x14ac:dyDescent="0.25">
      <c r="A111" t="s">
        <v>52</v>
      </c>
      <c r="B111">
        <v>20</v>
      </c>
      <c r="C111">
        <v>102836.24</v>
      </c>
    </row>
    <row r="112" spans="1:3" x14ac:dyDescent="0.25">
      <c r="A112" t="s">
        <v>38</v>
      </c>
      <c r="B112">
        <v>8</v>
      </c>
      <c r="C112">
        <v>133420</v>
      </c>
    </row>
    <row r="113" spans="1:3" x14ac:dyDescent="0.25">
      <c r="A113" t="s">
        <v>51</v>
      </c>
      <c r="B113">
        <v>0</v>
      </c>
      <c r="C113">
        <v>285816.63</v>
      </c>
    </row>
    <row r="114" spans="1:3" x14ac:dyDescent="0.25">
      <c r="A114" t="s">
        <v>44</v>
      </c>
      <c r="B114">
        <v>3</v>
      </c>
      <c r="C114">
        <v>228378.9</v>
      </c>
    </row>
    <row r="115" spans="1:3" x14ac:dyDescent="0.25">
      <c r="A115" t="s">
        <v>46</v>
      </c>
      <c r="B115">
        <v>0</v>
      </c>
      <c r="C115">
        <v>352571.2</v>
      </c>
    </row>
    <row r="116" spans="1:3" x14ac:dyDescent="0.25">
      <c r="A116" t="s">
        <v>36</v>
      </c>
      <c r="B116">
        <v>7</v>
      </c>
      <c r="C116">
        <v>73280.13</v>
      </c>
    </row>
    <row r="117" spans="1:3" x14ac:dyDescent="0.25">
      <c r="A117" t="s">
        <v>51</v>
      </c>
      <c r="B117">
        <v>15</v>
      </c>
      <c r="C117">
        <v>57615.25</v>
      </c>
    </row>
    <row r="118" spans="1:3" x14ac:dyDescent="0.25">
      <c r="A118" t="s">
        <v>47</v>
      </c>
      <c r="B118">
        <v>20</v>
      </c>
      <c r="C118">
        <v>146394.25</v>
      </c>
    </row>
    <row r="119" spans="1:3" x14ac:dyDescent="0.25">
      <c r="A119" t="s">
        <v>43</v>
      </c>
      <c r="B119">
        <v>6</v>
      </c>
      <c r="C119">
        <v>195751.95</v>
      </c>
    </row>
    <row r="120" spans="1:3" x14ac:dyDescent="0.25">
      <c r="A120" t="s">
        <v>42</v>
      </c>
      <c r="B120">
        <v>8</v>
      </c>
      <c r="C120">
        <v>345256.28</v>
      </c>
    </row>
    <row r="121" spans="1:3" x14ac:dyDescent="0.25">
      <c r="A121" t="s">
        <v>42</v>
      </c>
      <c r="B121">
        <v>16</v>
      </c>
      <c r="C121">
        <v>72422.899999999994</v>
      </c>
    </row>
    <row r="122" spans="1:3" x14ac:dyDescent="0.25">
      <c r="A122" t="s">
        <v>52</v>
      </c>
      <c r="B122">
        <v>10</v>
      </c>
      <c r="C122">
        <v>203026.78</v>
      </c>
    </row>
    <row r="123" spans="1:3" x14ac:dyDescent="0.25">
      <c r="A123" t="s">
        <v>46</v>
      </c>
      <c r="B123">
        <v>10</v>
      </c>
      <c r="C123">
        <v>132787.44</v>
      </c>
    </row>
    <row r="124" spans="1:3" x14ac:dyDescent="0.25">
      <c r="A124" t="s">
        <v>52</v>
      </c>
      <c r="B124">
        <v>4</v>
      </c>
      <c r="C124">
        <v>156502.9</v>
      </c>
    </row>
    <row r="125" spans="1:3" x14ac:dyDescent="0.25">
      <c r="A125" t="s">
        <v>39</v>
      </c>
      <c r="B125">
        <v>15</v>
      </c>
      <c r="C125">
        <v>149670.10999999999</v>
      </c>
    </row>
    <row r="126" spans="1:3" x14ac:dyDescent="0.25">
      <c r="A126" t="s">
        <v>52</v>
      </c>
      <c r="B126">
        <v>6</v>
      </c>
      <c r="C126">
        <v>403313.29</v>
      </c>
    </row>
    <row r="127" spans="1:3" x14ac:dyDescent="0.25">
      <c r="A127" t="s">
        <v>40</v>
      </c>
      <c r="B127">
        <v>18</v>
      </c>
      <c r="C127">
        <v>146990.98000000001</v>
      </c>
    </row>
    <row r="128" spans="1:3" x14ac:dyDescent="0.25">
      <c r="A128" t="s">
        <v>44</v>
      </c>
      <c r="B128">
        <v>8</v>
      </c>
      <c r="C128">
        <v>109621.87</v>
      </c>
    </row>
    <row r="129" spans="1:3" x14ac:dyDescent="0.25">
      <c r="A129" t="s">
        <v>42</v>
      </c>
      <c r="B129">
        <v>5</v>
      </c>
      <c r="C129">
        <v>99798</v>
      </c>
    </row>
    <row r="130" spans="1:3" x14ac:dyDescent="0.25">
      <c r="A130" t="s">
        <v>40</v>
      </c>
      <c r="B130">
        <v>4</v>
      </c>
      <c r="C130">
        <v>148399.14000000001</v>
      </c>
    </row>
    <row r="131" spans="1:3" x14ac:dyDescent="0.25">
      <c r="A131" t="s">
        <v>45</v>
      </c>
      <c r="B131">
        <v>0</v>
      </c>
      <c r="C131">
        <v>410692.47</v>
      </c>
    </row>
    <row r="132" spans="1:3" x14ac:dyDescent="0.25">
      <c r="A132" t="s">
        <v>51</v>
      </c>
      <c r="B132">
        <v>5</v>
      </c>
      <c r="C132">
        <v>205922.14</v>
      </c>
    </row>
    <row r="133" spans="1:3" x14ac:dyDescent="0.25">
      <c r="A133" t="s">
        <v>43</v>
      </c>
      <c r="B133">
        <v>3</v>
      </c>
      <c r="C133">
        <v>419428.04</v>
      </c>
    </row>
    <row r="134" spans="1:3" x14ac:dyDescent="0.25">
      <c r="A134" t="s">
        <v>39</v>
      </c>
      <c r="B134">
        <v>0</v>
      </c>
      <c r="C134">
        <v>610359.06000000006</v>
      </c>
    </row>
    <row r="135" spans="1:3" x14ac:dyDescent="0.25">
      <c r="A135" t="s">
        <v>37</v>
      </c>
      <c r="B135">
        <v>6</v>
      </c>
      <c r="C135">
        <v>353667.87</v>
      </c>
    </row>
    <row r="136" spans="1:3" x14ac:dyDescent="0.25">
      <c r="A136" t="s">
        <v>42</v>
      </c>
      <c r="B136">
        <v>6</v>
      </c>
      <c r="C136">
        <v>147006.89000000001</v>
      </c>
    </row>
    <row r="137" spans="1:3" x14ac:dyDescent="0.25">
      <c r="A137" t="s">
        <v>44</v>
      </c>
      <c r="B137">
        <v>1</v>
      </c>
      <c r="C137">
        <v>498206.71</v>
      </c>
    </row>
    <row r="138" spans="1:3" x14ac:dyDescent="0.25">
      <c r="A138" t="s">
        <v>39</v>
      </c>
      <c r="B138">
        <v>25</v>
      </c>
      <c r="C138">
        <v>192734.96</v>
      </c>
    </row>
    <row r="139" spans="1:3" x14ac:dyDescent="0.25">
      <c r="A139" t="s">
        <v>41</v>
      </c>
      <c r="B139">
        <v>6</v>
      </c>
      <c r="C139">
        <v>24780.85</v>
      </c>
    </row>
    <row r="140" spans="1:3" x14ac:dyDescent="0.25">
      <c r="A140" t="s">
        <v>42</v>
      </c>
      <c r="B140">
        <v>9</v>
      </c>
      <c r="C140">
        <v>557992.31000000006</v>
      </c>
    </row>
    <row r="141" spans="1:3" x14ac:dyDescent="0.25">
      <c r="A141" t="s">
        <v>50</v>
      </c>
      <c r="B141">
        <v>24</v>
      </c>
      <c r="C141">
        <v>70102.34</v>
      </c>
    </row>
    <row r="142" spans="1:3" x14ac:dyDescent="0.25">
      <c r="A142" t="s">
        <v>49</v>
      </c>
      <c r="B142">
        <v>25</v>
      </c>
      <c r="C142">
        <v>96984.86</v>
      </c>
    </row>
    <row r="143" spans="1:3" x14ac:dyDescent="0.25">
      <c r="A143" t="s">
        <v>451</v>
      </c>
      <c r="B143">
        <v>18</v>
      </c>
      <c r="C143">
        <v>0</v>
      </c>
    </row>
    <row r="144" spans="1:3" x14ac:dyDescent="0.25">
      <c r="A144" t="s">
        <v>49</v>
      </c>
      <c r="B144">
        <v>5</v>
      </c>
      <c r="C144">
        <v>450761.89</v>
      </c>
    </row>
    <row r="145" spans="1:3" x14ac:dyDescent="0.25">
      <c r="A145" t="s">
        <v>48</v>
      </c>
      <c r="B145">
        <v>2</v>
      </c>
      <c r="C145">
        <v>197960.95</v>
      </c>
    </row>
    <row r="146" spans="1:3" x14ac:dyDescent="0.25">
      <c r="A146" t="s">
        <v>43</v>
      </c>
      <c r="B146">
        <v>25</v>
      </c>
      <c r="C146">
        <v>149955.23000000001</v>
      </c>
    </row>
    <row r="147" spans="1:3" x14ac:dyDescent="0.25">
      <c r="A147" t="s">
        <v>48</v>
      </c>
      <c r="B147">
        <v>7</v>
      </c>
      <c r="C147">
        <v>200055.35</v>
      </c>
    </row>
    <row r="148" spans="1:3" x14ac:dyDescent="0.25">
      <c r="A148" t="s">
        <v>53</v>
      </c>
      <c r="B148">
        <v>6</v>
      </c>
      <c r="C148">
        <v>429469.77</v>
      </c>
    </row>
    <row r="149" spans="1:3" x14ac:dyDescent="0.25">
      <c r="A149" t="s">
        <v>45</v>
      </c>
      <c r="B149">
        <v>8</v>
      </c>
      <c r="C149">
        <v>116948.46</v>
      </c>
    </row>
    <row r="150" spans="1:3" x14ac:dyDescent="0.25">
      <c r="A150" t="s">
        <v>42</v>
      </c>
      <c r="B150">
        <v>2</v>
      </c>
      <c r="C150">
        <v>98633.82</v>
      </c>
    </row>
    <row r="151" spans="1:3" x14ac:dyDescent="0.25">
      <c r="A151" t="s">
        <v>50</v>
      </c>
      <c r="B151">
        <v>10</v>
      </c>
      <c r="C151">
        <v>47396.75</v>
      </c>
    </row>
    <row r="152" spans="1:3" x14ac:dyDescent="0.25">
      <c r="A152" t="s">
        <v>49</v>
      </c>
      <c r="B152">
        <v>10</v>
      </c>
      <c r="C152">
        <v>149756.85</v>
      </c>
    </row>
    <row r="153" spans="1:3" x14ac:dyDescent="0.25">
      <c r="A153" t="s">
        <v>46</v>
      </c>
      <c r="B153">
        <v>15</v>
      </c>
      <c r="C153">
        <v>90186.58</v>
      </c>
    </row>
    <row r="154" spans="1:3" x14ac:dyDescent="0.25">
      <c r="A154" t="s">
        <v>41</v>
      </c>
      <c r="B154">
        <v>7</v>
      </c>
      <c r="C154">
        <v>33246.699999999997</v>
      </c>
    </row>
    <row r="155" spans="1:3" x14ac:dyDescent="0.25">
      <c r="A155" t="s">
        <v>48</v>
      </c>
      <c r="B155">
        <v>0</v>
      </c>
      <c r="C155">
        <v>342539.9</v>
      </c>
    </row>
    <row r="156" spans="1:3" x14ac:dyDescent="0.25">
      <c r="A156" t="s">
        <v>41</v>
      </c>
      <c r="B156">
        <v>15</v>
      </c>
      <c r="C156">
        <v>241204.65</v>
      </c>
    </row>
    <row r="157" spans="1:3" x14ac:dyDescent="0.25">
      <c r="A157" t="s">
        <v>46</v>
      </c>
      <c r="B157">
        <v>16</v>
      </c>
      <c r="C157">
        <v>10040.450000000001</v>
      </c>
    </row>
    <row r="158" spans="1:3" x14ac:dyDescent="0.25">
      <c r="A158" t="s">
        <v>47</v>
      </c>
      <c r="B158">
        <v>12</v>
      </c>
      <c r="C158">
        <v>95596.38</v>
      </c>
    </row>
    <row r="159" spans="1:3" x14ac:dyDescent="0.25">
      <c r="A159" t="s">
        <v>38</v>
      </c>
      <c r="B159">
        <v>0</v>
      </c>
      <c r="C159">
        <v>365503.64</v>
      </c>
    </row>
    <row r="160" spans="1:3" x14ac:dyDescent="0.25">
      <c r="A160" t="s">
        <v>39</v>
      </c>
      <c r="B160">
        <v>5</v>
      </c>
      <c r="C160">
        <v>130657.71</v>
      </c>
    </row>
    <row r="161" spans="1:3" x14ac:dyDescent="0.25">
      <c r="A161" t="s">
        <v>48</v>
      </c>
      <c r="B161">
        <v>6</v>
      </c>
      <c r="C161">
        <v>52603.8</v>
      </c>
    </row>
    <row r="162" spans="1:3" x14ac:dyDescent="0.25">
      <c r="A162" t="s">
        <v>49</v>
      </c>
      <c r="B162">
        <v>0</v>
      </c>
      <c r="C162">
        <v>419659.06</v>
      </c>
    </row>
    <row r="163" spans="1:3" x14ac:dyDescent="0.25">
      <c r="A163" t="s">
        <v>46</v>
      </c>
      <c r="B163">
        <v>5</v>
      </c>
      <c r="C163">
        <v>349047.76</v>
      </c>
    </row>
    <row r="164" spans="1:3" x14ac:dyDescent="0.25">
      <c r="A164" t="s">
        <v>52</v>
      </c>
      <c r="B164">
        <v>3</v>
      </c>
      <c r="C164">
        <v>255673.14</v>
      </c>
    </row>
    <row r="165" spans="1:3" x14ac:dyDescent="0.25">
      <c r="A165" t="s">
        <v>41</v>
      </c>
      <c r="B165">
        <v>20</v>
      </c>
      <c r="C165">
        <v>262253.19</v>
      </c>
    </row>
    <row r="166" spans="1:3" x14ac:dyDescent="0.25">
      <c r="A166" t="s">
        <v>39</v>
      </c>
      <c r="B166">
        <v>8</v>
      </c>
      <c r="C166">
        <v>266626.55</v>
      </c>
    </row>
    <row r="167" spans="1:3" x14ac:dyDescent="0.25">
      <c r="A167" t="s">
        <v>39</v>
      </c>
      <c r="B167">
        <v>13</v>
      </c>
      <c r="C167">
        <v>66425</v>
      </c>
    </row>
    <row r="168" spans="1:3" x14ac:dyDescent="0.25">
      <c r="A168" t="s">
        <v>53</v>
      </c>
      <c r="B168">
        <v>15</v>
      </c>
      <c r="C168">
        <v>195673.37</v>
      </c>
    </row>
    <row r="169" spans="1:3" x14ac:dyDescent="0.25">
      <c r="A169" t="s">
        <v>39</v>
      </c>
      <c r="B169">
        <v>11</v>
      </c>
      <c r="C169">
        <v>63088.06</v>
      </c>
    </row>
    <row r="170" spans="1:3" x14ac:dyDescent="0.25">
      <c r="A170" t="s">
        <v>50</v>
      </c>
      <c r="B170">
        <v>13</v>
      </c>
      <c r="C170">
        <v>132591.85</v>
      </c>
    </row>
    <row r="171" spans="1:3" x14ac:dyDescent="0.25">
      <c r="A171" t="s">
        <v>50</v>
      </c>
      <c r="B171">
        <v>12</v>
      </c>
      <c r="C171">
        <v>93430.3</v>
      </c>
    </row>
    <row r="172" spans="1:3" x14ac:dyDescent="0.25">
      <c r="A172" t="s">
        <v>41</v>
      </c>
      <c r="B172">
        <v>11</v>
      </c>
      <c r="C172">
        <v>89247.4</v>
      </c>
    </row>
    <row r="173" spans="1:3" x14ac:dyDescent="0.25">
      <c r="A173" t="s">
        <v>41</v>
      </c>
      <c r="B173">
        <v>19</v>
      </c>
      <c r="C173">
        <v>88435.55</v>
      </c>
    </row>
    <row r="174" spans="1:3" x14ac:dyDescent="0.25">
      <c r="A174" t="s">
        <v>44</v>
      </c>
      <c r="B174">
        <v>17</v>
      </c>
      <c r="C174">
        <v>266273.56</v>
      </c>
    </row>
    <row r="175" spans="1:3" x14ac:dyDescent="0.25">
      <c r="A175" t="s">
        <v>47</v>
      </c>
      <c r="B175">
        <v>0</v>
      </c>
      <c r="C175">
        <v>286289.5</v>
      </c>
    </row>
    <row r="176" spans="1:3" x14ac:dyDescent="0.25">
      <c r="A176" t="s">
        <v>36</v>
      </c>
      <c r="B176">
        <v>0</v>
      </c>
      <c r="C176">
        <v>256553.37</v>
      </c>
    </row>
    <row r="177" spans="1:3" x14ac:dyDescent="0.25">
      <c r="A177" t="s">
        <v>51</v>
      </c>
      <c r="B177">
        <v>25</v>
      </c>
      <c r="C177">
        <v>28891.85</v>
      </c>
    </row>
    <row r="178" spans="1:3" x14ac:dyDescent="0.25">
      <c r="A178" t="s">
        <v>40</v>
      </c>
      <c r="B178">
        <v>13</v>
      </c>
      <c r="C178">
        <v>1624.69</v>
      </c>
    </row>
    <row r="179" spans="1:3" x14ac:dyDescent="0.25">
      <c r="A179" t="s">
        <v>36</v>
      </c>
      <c r="B179">
        <v>5</v>
      </c>
      <c r="C179">
        <v>148530.20000000001</v>
      </c>
    </row>
    <row r="180" spans="1:3" x14ac:dyDescent="0.25">
      <c r="A180" t="s">
        <v>36</v>
      </c>
      <c r="B180">
        <v>19</v>
      </c>
      <c r="C180">
        <v>16169.42</v>
      </c>
    </row>
    <row r="181" spans="1:3" x14ac:dyDescent="0.25">
      <c r="A181" t="s">
        <v>46</v>
      </c>
      <c r="B181">
        <v>2</v>
      </c>
      <c r="C181">
        <v>207175.75</v>
      </c>
    </row>
    <row r="182" spans="1:3" x14ac:dyDescent="0.25">
      <c r="A182" t="s">
        <v>53</v>
      </c>
      <c r="B182">
        <v>2</v>
      </c>
      <c r="C182">
        <v>325159.96999999997</v>
      </c>
    </row>
    <row r="183" spans="1:3" x14ac:dyDescent="0.25">
      <c r="A183" t="s">
        <v>39</v>
      </c>
      <c r="B183">
        <v>7</v>
      </c>
      <c r="C183">
        <v>458649.3</v>
      </c>
    </row>
    <row r="184" spans="1:3" x14ac:dyDescent="0.25">
      <c r="A184" t="s">
        <v>52</v>
      </c>
      <c r="B184">
        <v>7</v>
      </c>
      <c r="C184">
        <v>98842.73</v>
      </c>
    </row>
    <row r="185" spans="1:3" x14ac:dyDescent="0.25">
      <c r="A185" t="s">
        <v>51</v>
      </c>
      <c r="B185">
        <v>20</v>
      </c>
      <c r="C185">
        <v>267332.5</v>
      </c>
    </row>
    <row r="186" spans="1:3" x14ac:dyDescent="0.25">
      <c r="A186" t="s">
        <v>36</v>
      </c>
      <c r="B186">
        <v>18</v>
      </c>
      <c r="C186">
        <v>7898.77</v>
      </c>
    </row>
    <row r="187" spans="1:3" x14ac:dyDescent="0.25">
      <c r="A187" t="s">
        <v>48</v>
      </c>
      <c r="B187">
        <v>23</v>
      </c>
      <c r="C187">
        <v>110161</v>
      </c>
    </row>
    <row r="188" spans="1:3" x14ac:dyDescent="0.25">
      <c r="A188" t="s">
        <v>47</v>
      </c>
      <c r="B188">
        <v>25</v>
      </c>
      <c r="C188">
        <v>117255.34</v>
      </c>
    </row>
    <row r="189" spans="1:3" x14ac:dyDescent="0.25">
      <c r="A189" t="s">
        <v>39</v>
      </c>
      <c r="B189">
        <v>20</v>
      </c>
      <c r="C189">
        <v>72346.070000000007</v>
      </c>
    </row>
    <row r="190" spans="1:3" x14ac:dyDescent="0.25">
      <c r="A190" t="s">
        <v>40</v>
      </c>
      <c r="B190">
        <v>2</v>
      </c>
      <c r="C190">
        <v>70726.69</v>
      </c>
    </row>
    <row r="191" spans="1:3" x14ac:dyDescent="0.25">
      <c r="A191" t="s">
        <v>36</v>
      </c>
      <c r="B191">
        <v>20</v>
      </c>
      <c r="C191">
        <v>13691.68</v>
      </c>
    </row>
    <row r="192" spans="1:3" x14ac:dyDescent="0.25">
      <c r="A192" t="s">
        <v>36</v>
      </c>
      <c r="B192">
        <v>1</v>
      </c>
      <c r="C192">
        <v>118954.11</v>
      </c>
    </row>
    <row r="193" spans="1:3" x14ac:dyDescent="0.25">
      <c r="A193" t="s">
        <v>46</v>
      </c>
      <c r="B193">
        <v>6</v>
      </c>
      <c r="C193">
        <v>105746.05</v>
      </c>
    </row>
    <row r="194" spans="1:3" x14ac:dyDescent="0.25">
      <c r="A194" t="s">
        <v>53</v>
      </c>
      <c r="B194">
        <v>4</v>
      </c>
      <c r="C194">
        <v>274427.17</v>
      </c>
    </row>
    <row r="195" spans="1:3" x14ac:dyDescent="0.25">
      <c r="A195" t="s">
        <v>50</v>
      </c>
      <c r="B195">
        <v>7</v>
      </c>
      <c r="C195">
        <v>67175.05</v>
      </c>
    </row>
    <row r="196" spans="1:3" x14ac:dyDescent="0.25">
      <c r="A196" t="s">
        <v>47</v>
      </c>
      <c r="B196">
        <v>8</v>
      </c>
      <c r="C196">
        <v>73953.539999999994</v>
      </c>
    </row>
    <row r="197" spans="1:3" x14ac:dyDescent="0.25">
      <c r="A197" t="s">
        <v>39</v>
      </c>
      <c r="B197">
        <v>9</v>
      </c>
      <c r="C197">
        <v>57226</v>
      </c>
    </row>
    <row r="198" spans="1:3" x14ac:dyDescent="0.25">
      <c r="A198" t="s">
        <v>51</v>
      </c>
      <c r="B198">
        <v>2</v>
      </c>
      <c r="C198">
        <v>110161.33</v>
      </c>
    </row>
    <row r="199" spans="1:3" x14ac:dyDescent="0.25">
      <c r="A199" t="s">
        <v>37</v>
      </c>
      <c r="B199">
        <v>7</v>
      </c>
      <c r="C199">
        <v>54425</v>
      </c>
    </row>
    <row r="200" spans="1:3" x14ac:dyDescent="0.25">
      <c r="A200" t="s">
        <v>36</v>
      </c>
      <c r="B200">
        <v>4</v>
      </c>
      <c r="C200">
        <v>174979.03</v>
      </c>
    </row>
    <row r="201" spans="1:3" x14ac:dyDescent="0.25">
      <c r="A201" t="s">
        <v>47</v>
      </c>
      <c r="B201">
        <v>4</v>
      </c>
      <c r="C201">
        <v>219640.14</v>
      </c>
    </row>
    <row r="202" spans="1:3" x14ac:dyDescent="0.25">
      <c r="A202" t="s">
        <v>49</v>
      </c>
      <c r="B202">
        <v>3</v>
      </c>
      <c r="C202">
        <v>169385.15</v>
      </c>
    </row>
    <row r="203" spans="1:3" x14ac:dyDescent="0.25">
      <c r="A203" t="s">
        <v>43</v>
      </c>
      <c r="B203">
        <v>17</v>
      </c>
      <c r="C203">
        <v>14580.18</v>
      </c>
    </row>
    <row r="204" spans="1:3" x14ac:dyDescent="0.25">
      <c r="A204" t="s">
        <v>40</v>
      </c>
      <c r="B204">
        <v>22</v>
      </c>
      <c r="C204">
        <v>170646.55</v>
      </c>
    </row>
    <row r="205" spans="1:3" x14ac:dyDescent="0.25">
      <c r="A205" t="s">
        <v>48</v>
      </c>
      <c r="B205">
        <v>13</v>
      </c>
      <c r="C205">
        <v>82462.990000000005</v>
      </c>
    </row>
    <row r="206" spans="1:3" x14ac:dyDescent="0.25">
      <c r="A206" t="s">
        <v>53</v>
      </c>
      <c r="B206">
        <v>0</v>
      </c>
      <c r="C206">
        <v>297205.87</v>
      </c>
    </row>
    <row r="207" spans="1:3" x14ac:dyDescent="0.25">
      <c r="A207" t="s">
        <v>36</v>
      </c>
      <c r="B207">
        <v>13</v>
      </c>
      <c r="C207">
        <v>106609.1</v>
      </c>
    </row>
    <row r="208" spans="1:3" x14ac:dyDescent="0.25">
      <c r="A208" t="s">
        <v>43</v>
      </c>
      <c r="B208">
        <v>10</v>
      </c>
      <c r="C208">
        <v>289315.90999999997</v>
      </c>
    </row>
    <row r="209" spans="1:3" x14ac:dyDescent="0.25">
      <c r="A209" t="s">
        <v>40</v>
      </c>
      <c r="B209">
        <v>16</v>
      </c>
      <c r="C209">
        <v>157888.6</v>
      </c>
    </row>
    <row r="210" spans="1:3" x14ac:dyDescent="0.25">
      <c r="A210" t="s">
        <v>451</v>
      </c>
      <c r="B210">
        <v>3</v>
      </c>
      <c r="C210">
        <v>0</v>
      </c>
    </row>
    <row r="211" spans="1:3" x14ac:dyDescent="0.25">
      <c r="A211" t="s">
        <v>53</v>
      </c>
      <c r="B211">
        <v>20</v>
      </c>
      <c r="C211">
        <v>59477</v>
      </c>
    </row>
    <row r="212" spans="1:3" x14ac:dyDescent="0.25">
      <c r="A212" t="s">
        <v>48</v>
      </c>
      <c r="B212">
        <v>12</v>
      </c>
      <c r="C212">
        <v>74454.600000000006</v>
      </c>
    </row>
    <row r="213" spans="1:3" x14ac:dyDescent="0.25">
      <c r="A213" t="s">
        <v>41</v>
      </c>
      <c r="B213">
        <v>8</v>
      </c>
      <c r="C213">
        <v>84822.35</v>
      </c>
    </row>
    <row r="214" spans="1:3" x14ac:dyDescent="0.25">
      <c r="A214" t="s">
        <v>37</v>
      </c>
      <c r="B214">
        <v>8</v>
      </c>
      <c r="C214">
        <v>59547.56</v>
      </c>
    </row>
    <row r="215" spans="1:3" x14ac:dyDescent="0.25">
      <c r="A215" t="s">
        <v>51</v>
      </c>
      <c r="B215">
        <v>9</v>
      </c>
      <c r="C215">
        <v>138846.70000000001</v>
      </c>
    </row>
    <row r="216" spans="1:3" x14ac:dyDescent="0.25">
      <c r="A216" t="s">
        <v>37</v>
      </c>
      <c r="B216">
        <v>2</v>
      </c>
      <c r="C216">
        <v>387346.25</v>
      </c>
    </row>
    <row r="217" spans="1:3" x14ac:dyDescent="0.25">
      <c r="A217" t="s">
        <v>53</v>
      </c>
      <c r="B217">
        <v>5</v>
      </c>
      <c r="C217">
        <v>212243.18</v>
      </c>
    </row>
    <row r="218" spans="1:3" x14ac:dyDescent="0.25">
      <c r="A218" t="s">
        <v>44</v>
      </c>
      <c r="B218">
        <v>4</v>
      </c>
      <c r="C218">
        <v>163504.79</v>
      </c>
    </row>
    <row r="219" spans="1:3" x14ac:dyDescent="0.25">
      <c r="A219" t="s">
        <v>46</v>
      </c>
      <c r="B219">
        <v>8</v>
      </c>
      <c r="C219">
        <v>62761.25</v>
      </c>
    </row>
    <row r="220" spans="1:3" x14ac:dyDescent="0.25">
      <c r="A220" t="s">
        <v>38</v>
      </c>
      <c r="B220">
        <v>24</v>
      </c>
      <c r="C220">
        <v>56840</v>
      </c>
    </row>
    <row r="221" spans="1:3" x14ac:dyDescent="0.25">
      <c r="A221" t="s">
        <v>46</v>
      </c>
      <c r="B221">
        <v>7</v>
      </c>
      <c r="C221">
        <v>52372.02</v>
      </c>
    </row>
    <row r="222" spans="1:3" x14ac:dyDescent="0.25">
      <c r="A222" t="s">
        <v>51</v>
      </c>
      <c r="B222">
        <v>6</v>
      </c>
      <c r="C222">
        <v>120646.5</v>
      </c>
    </row>
    <row r="223" spans="1:3" x14ac:dyDescent="0.25">
      <c r="A223" t="s">
        <v>50</v>
      </c>
      <c r="B223">
        <v>9</v>
      </c>
      <c r="C223">
        <v>159116.92000000001</v>
      </c>
    </row>
    <row r="224" spans="1:3" x14ac:dyDescent="0.25">
      <c r="A224" t="s">
        <v>38</v>
      </c>
      <c r="B224">
        <v>4</v>
      </c>
      <c r="C224">
        <v>45304.35</v>
      </c>
    </row>
    <row r="225" spans="1:3" x14ac:dyDescent="0.25">
      <c r="A225" t="s">
        <v>41</v>
      </c>
      <c r="B225">
        <v>0</v>
      </c>
      <c r="C225">
        <v>329951.40999999997</v>
      </c>
    </row>
    <row r="226" spans="1:3" x14ac:dyDescent="0.25">
      <c r="A226" t="s">
        <v>52</v>
      </c>
      <c r="B226">
        <v>25</v>
      </c>
      <c r="C226">
        <v>171525.25</v>
      </c>
    </row>
    <row r="227" spans="1:3" x14ac:dyDescent="0.25">
      <c r="A227" t="s">
        <v>41</v>
      </c>
      <c r="B227">
        <v>10</v>
      </c>
      <c r="C227">
        <v>63627.199999999997</v>
      </c>
    </row>
    <row r="228" spans="1:3" x14ac:dyDescent="0.25">
      <c r="A228" t="s">
        <v>37</v>
      </c>
      <c r="B228">
        <v>9</v>
      </c>
      <c r="C228">
        <v>335687.97</v>
      </c>
    </row>
    <row r="229" spans="1:3" x14ac:dyDescent="0.25">
      <c r="A229" t="s">
        <v>36</v>
      </c>
      <c r="B229">
        <v>12</v>
      </c>
      <c r="C229">
        <v>123264.88</v>
      </c>
    </row>
    <row r="230" spans="1:3" x14ac:dyDescent="0.25">
      <c r="A230" t="s">
        <v>48</v>
      </c>
      <c r="B230">
        <v>25</v>
      </c>
      <c r="C230">
        <v>121414.35</v>
      </c>
    </row>
    <row r="231" spans="1:3" x14ac:dyDescent="0.25">
      <c r="A231" t="s">
        <v>36</v>
      </c>
      <c r="B231">
        <v>15</v>
      </c>
      <c r="C231">
        <v>218447.88</v>
      </c>
    </row>
    <row r="232" spans="1:3" x14ac:dyDescent="0.25">
      <c r="A232" t="s">
        <v>49</v>
      </c>
      <c r="B232">
        <v>12</v>
      </c>
      <c r="C232">
        <v>120460.58</v>
      </c>
    </row>
    <row r="233" spans="1:3" x14ac:dyDescent="0.25">
      <c r="A233" t="s">
        <v>51</v>
      </c>
      <c r="B233">
        <v>1</v>
      </c>
      <c r="C233">
        <v>130408.85</v>
      </c>
    </row>
    <row r="234" spans="1:3" x14ac:dyDescent="0.25">
      <c r="A234" t="s">
        <v>36</v>
      </c>
      <c r="B234">
        <v>25</v>
      </c>
      <c r="C234">
        <v>7146.16</v>
      </c>
    </row>
    <row r="235" spans="1:3" x14ac:dyDescent="0.25">
      <c r="A235" t="s">
        <v>47</v>
      </c>
      <c r="B235">
        <v>14</v>
      </c>
      <c r="C235">
        <v>163417.5</v>
      </c>
    </row>
    <row r="236" spans="1:3" x14ac:dyDescent="0.25">
      <c r="A236" t="s">
        <v>46</v>
      </c>
      <c r="B236">
        <v>25</v>
      </c>
      <c r="C236">
        <v>14991.1</v>
      </c>
    </row>
    <row r="237" spans="1:3" x14ac:dyDescent="0.25">
      <c r="A237" t="s">
        <v>41</v>
      </c>
      <c r="B237">
        <v>4</v>
      </c>
      <c r="C237">
        <v>244182.05</v>
      </c>
    </row>
    <row r="238" spans="1:3" x14ac:dyDescent="0.25">
      <c r="A238" t="s">
        <v>53</v>
      </c>
      <c r="B238">
        <v>12</v>
      </c>
      <c r="C238">
        <v>304895.01</v>
      </c>
    </row>
    <row r="239" spans="1:3" x14ac:dyDescent="0.25">
      <c r="A239" t="s">
        <v>38</v>
      </c>
      <c r="B239">
        <v>15</v>
      </c>
      <c r="C239">
        <v>317087.92</v>
      </c>
    </row>
    <row r="240" spans="1:3" x14ac:dyDescent="0.25">
      <c r="A240" t="s">
        <v>40</v>
      </c>
      <c r="B240">
        <v>10</v>
      </c>
      <c r="C240">
        <v>112095.24</v>
      </c>
    </row>
    <row r="241" spans="1:3" x14ac:dyDescent="0.25">
      <c r="A241" t="s">
        <v>50</v>
      </c>
      <c r="B241">
        <v>6</v>
      </c>
      <c r="C241">
        <v>169285.95</v>
      </c>
    </row>
    <row r="242" spans="1:3" x14ac:dyDescent="0.25">
      <c r="A242" t="s">
        <v>37</v>
      </c>
      <c r="B242">
        <v>17</v>
      </c>
      <c r="C242">
        <v>260341.6</v>
      </c>
    </row>
    <row r="243" spans="1:3" x14ac:dyDescent="0.25">
      <c r="A243" t="s">
        <v>47</v>
      </c>
      <c r="B243">
        <v>5</v>
      </c>
      <c r="C243">
        <v>12761</v>
      </c>
    </row>
    <row r="244" spans="1:3" x14ac:dyDescent="0.25">
      <c r="A244" t="s">
        <v>43</v>
      </c>
      <c r="B244">
        <v>8</v>
      </c>
      <c r="C244">
        <v>339004.41</v>
      </c>
    </row>
    <row r="245" spans="1:3" x14ac:dyDescent="0.25">
      <c r="A245" t="s">
        <v>451</v>
      </c>
      <c r="B245">
        <v>19</v>
      </c>
      <c r="C245">
        <v>0</v>
      </c>
    </row>
    <row r="246" spans="1:3" x14ac:dyDescent="0.25">
      <c r="A246" t="s">
        <v>45</v>
      </c>
      <c r="B246">
        <v>20</v>
      </c>
      <c r="C246">
        <v>330195.09000000003</v>
      </c>
    </row>
    <row r="247" spans="1:3" x14ac:dyDescent="0.25">
      <c r="A247" t="s">
        <v>40</v>
      </c>
      <c r="B247">
        <v>7</v>
      </c>
      <c r="C247">
        <v>120529.35</v>
      </c>
    </row>
    <row r="248" spans="1:3" x14ac:dyDescent="0.25">
      <c r="A248" t="s">
        <v>50</v>
      </c>
      <c r="B248">
        <v>20</v>
      </c>
      <c r="C248">
        <v>134911.4</v>
      </c>
    </row>
    <row r="249" spans="1:3" x14ac:dyDescent="0.25">
      <c r="A249" t="s">
        <v>52</v>
      </c>
      <c r="B249">
        <v>19</v>
      </c>
      <c r="C249">
        <v>11916</v>
      </c>
    </row>
    <row r="250" spans="1:3" x14ac:dyDescent="0.25">
      <c r="A250" t="s">
        <v>50</v>
      </c>
      <c r="B250">
        <v>14</v>
      </c>
      <c r="C250">
        <v>9508.7199999999993</v>
      </c>
    </row>
    <row r="251" spans="1:3" x14ac:dyDescent="0.25">
      <c r="A251" t="s">
        <v>38</v>
      </c>
      <c r="B251">
        <v>6</v>
      </c>
      <c r="C251">
        <v>123931.35</v>
      </c>
    </row>
    <row r="252" spans="1:3" x14ac:dyDescent="0.25">
      <c r="A252" t="s">
        <v>43</v>
      </c>
      <c r="B252">
        <v>12</v>
      </c>
      <c r="C252">
        <v>277210.83</v>
      </c>
    </row>
    <row r="253" spans="1:3" x14ac:dyDescent="0.25">
      <c r="A253" t="s">
        <v>43</v>
      </c>
      <c r="B253">
        <v>11</v>
      </c>
      <c r="C253">
        <v>43484.639999999999</v>
      </c>
    </row>
    <row r="254" spans="1:3" x14ac:dyDescent="0.25">
      <c r="A254" t="s">
        <v>44</v>
      </c>
      <c r="B254">
        <v>19</v>
      </c>
      <c r="C254">
        <v>85426.79</v>
      </c>
    </row>
    <row r="255" spans="1:3" x14ac:dyDescent="0.25">
      <c r="A255" t="s">
        <v>53</v>
      </c>
      <c r="B255">
        <v>1</v>
      </c>
      <c r="C255">
        <v>69707</v>
      </c>
    </row>
    <row r="256" spans="1:3" x14ac:dyDescent="0.25">
      <c r="A256" t="s">
        <v>48</v>
      </c>
      <c r="B256">
        <v>1</v>
      </c>
      <c r="C256">
        <v>141289.21</v>
      </c>
    </row>
    <row r="257" spans="1:3" x14ac:dyDescent="0.25">
      <c r="A257" t="s">
        <v>52</v>
      </c>
      <c r="B257">
        <v>1</v>
      </c>
      <c r="C257">
        <v>91451.79</v>
      </c>
    </row>
    <row r="258" spans="1:3" x14ac:dyDescent="0.25">
      <c r="A258" t="s">
        <v>48</v>
      </c>
      <c r="B258">
        <v>8</v>
      </c>
      <c r="C258">
        <v>116237</v>
      </c>
    </row>
    <row r="259" spans="1:3" x14ac:dyDescent="0.25">
      <c r="A259" t="s">
        <v>36</v>
      </c>
      <c r="B259">
        <v>22</v>
      </c>
      <c r="C259">
        <v>9282.82</v>
      </c>
    </row>
    <row r="260" spans="1:3" x14ac:dyDescent="0.25">
      <c r="A260" t="s">
        <v>46</v>
      </c>
      <c r="B260">
        <v>3</v>
      </c>
      <c r="C260">
        <v>149928.75</v>
      </c>
    </row>
    <row r="261" spans="1:3" x14ac:dyDescent="0.25">
      <c r="A261" t="s">
        <v>40</v>
      </c>
      <c r="B261">
        <v>8</v>
      </c>
      <c r="C261">
        <v>257592.8</v>
      </c>
    </row>
    <row r="262" spans="1:3" x14ac:dyDescent="0.25">
      <c r="A262" t="s">
        <v>41</v>
      </c>
      <c r="B262">
        <v>25</v>
      </c>
      <c r="C262">
        <v>52473.75</v>
      </c>
    </row>
    <row r="263" spans="1:3" x14ac:dyDescent="0.25">
      <c r="A263" t="s">
        <v>45</v>
      </c>
      <c r="B263">
        <v>10</v>
      </c>
      <c r="C263">
        <v>11169.24</v>
      </c>
    </row>
    <row r="264" spans="1:3" x14ac:dyDescent="0.25">
      <c r="A264" t="s">
        <v>41</v>
      </c>
      <c r="B264">
        <v>12</v>
      </c>
      <c r="C264">
        <v>83548</v>
      </c>
    </row>
    <row r="265" spans="1:3" x14ac:dyDescent="0.25">
      <c r="A265" t="s">
        <v>43</v>
      </c>
      <c r="B265">
        <v>2</v>
      </c>
      <c r="C265">
        <v>120614.44</v>
      </c>
    </row>
    <row r="266" spans="1:3" x14ac:dyDescent="0.25">
      <c r="A266" t="s">
        <v>52</v>
      </c>
      <c r="B266">
        <v>14</v>
      </c>
      <c r="C266">
        <v>71531.45</v>
      </c>
    </row>
    <row r="267" spans="1:3" x14ac:dyDescent="0.25">
      <c r="A267" t="s">
        <v>37</v>
      </c>
      <c r="B267">
        <v>20</v>
      </c>
      <c r="C267">
        <v>110270.6</v>
      </c>
    </row>
    <row r="268" spans="1:3" x14ac:dyDescent="0.25">
      <c r="A268" t="s">
        <v>39</v>
      </c>
      <c r="B268">
        <v>18</v>
      </c>
      <c r="C268">
        <v>182293.87</v>
      </c>
    </row>
    <row r="269" spans="1:3" x14ac:dyDescent="0.25">
      <c r="A269" t="s">
        <v>37</v>
      </c>
      <c r="B269">
        <v>18</v>
      </c>
      <c r="C269">
        <v>282099.34999999998</v>
      </c>
    </row>
    <row r="270" spans="1:3" x14ac:dyDescent="0.25">
      <c r="A270" t="s">
        <v>451</v>
      </c>
      <c r="B270">
        <v>7</v>
      </c>
      <c r="C270">
        <v>0</v>
      </c>
    </row>
    <row r="271" spans="1:3" x14ac:dyDescent="0.25">
      <c r="A271" t="s">
        <v>40</v>
      </c>
      <c r="B271">
        <v>15</v>
      </c>
      <c r="C271">
        <v>177888.75</v>
      </c>
    </row>
    <row r="272" spans="1:3" x14ac:dyDescent="0.25">
      <c r="A272" t="s">
        <v>43</v>
      </c>
      <c r="B272">
        <v>7</v>
      </c>
      <c r="C272">
        <v>113653.62</v>
      </c>
    </row>
    <row r="273" spans="1:3" x14ac:dyDescent="0.25">
      <c r="A273" t="s">
        <v>41</v>
      </c>
      <c r="B273">
        <v>17</v>
      </c>
      <c r="C273">
        <v>120861.4</v>
      </c>
    </row>
    <row r="274" spans="1:3" x14ac:dyDescent="0.25">
      <c r="A274" t="s">
        <v>47</v>
      </c>
      <c r="B274">
        <v>24</v>
      </c>
      <c r="C274">
        <v>86272.2</v>
      </c>
    </row>
    <row r="275" spans="1:3" x14ac:dyDescent="0.25">
      <c r="A275" t="s">
        <v>44</v>
      </c>
      <c r="B275">
        <v>14</v>
      </c>
      <c r="C275">
        <v>135301.15</v>
      </c>
    </row>
    <row r="276" spans="1:3" x14ac:dyDescent="0.25">
      <c r="A276" t="s">
        <v>49</v>
      </c>
      <c r="B276">
        <v>11</v>
      </c>
      <c r="C276">
        <v>52024</v>
      </c>
    </row>
    <row r="277" spans="1:3" x14ac:dyDescent="0.25">
      <c r="A277" t="s">
        <v>41</v>
      </c>
      <c r="B277">
        <v>1</v>
      </c>
      <c r="C277">
        <v>316023.05</v>
      </c>
    </row>
    <row r="278" spans="1:3" x14ac:dyDescent="0.25">
      <c r="A278" t="s">
        <v>47</v>
      </c>
      <c r="B278">
        <v>10</v>
      </c>
      <c r="C278">
        <v>75476.600000000006</v>
      </c>
    </row>
    <row r="279" spans="1:3" x14ac:dyDescent="0.25">
      <c r="A279" t="s">
        <v>45</v>
      </c>
      <c r="B279">
        <v>7</v>
      </c>
      <c r="C279">
        <v>138716.76999999999</v>
      </c>
    </row>
    <row r="280" spans="1:3" x14ac:dyDescent="0.25">
      <c r="A280" t="s">
        <v>53</v>
      </c>
      <c r="B280">
        <v>18</v>
      </c>
      <c r="C280">
        <v>39855.08</v>
      </c>
    </row>
    <row r="281" spans="1:3" x14ac:dyDescent="0.25">
      <c r="A281" t="s">
        <v>50</v>
      </c>
      <c r="B281">
        <v>23</v>
      </c>
      <c r="C281">
        <v>26954.52</v>
      </c>
    </row>
    <row r="282" spans="1:3" x14ac:dyDescent="0.25">
      <c r="A282" t="s">
        <v>49</v>
      </c>
      <c r="B282">
        <v>15</v>
      </c>
      <c r="C282">
        <v>4408.5600000000004</v>
      </c>
    </row>
    <row r="283" spans="1:3" x14ac:dyDescent="0.25">
      <c r="A283" t="s">
        <v>49</v>
      </c>
      <c r="B283">
        <v>20</v>
      </c>
      <c r="C283">
        <v>185918.98</v>
      </c>
    </row>
    <row r="284" spans="1:3" x14ac:dyDescent="0.25">
      <c r="A284" t="s">
        <v>49</v>
      </c>
      <c r="B284">
        <v>13</v>
      </c>
      <c r="C284">
        <v>54572.7</v>
      </c>
    </row>
    <row r="285" spans="1:3" x14ac:dyDescent="0.25">
      <c r="A285" t="s">
        <v>37</v>
      </c>
      <c r="B285">
        <v>19</v>
      </c>
      <c r="C285">
        <v>77631</v>
      </c>
    </row>
    <row r="286" spans="1:3" x14ac:dyDescent="0.25">
      <c r="A286" t="s">
        <v>37</v>
      </c>
      <c r="B286">
        <v>25</v>
      </c>
      <c r="C286">
        <v>107770</v>
      </c>
    </row>
    <row r="287" spans="1:3" x14ac:dyDescent="0.25">
      <c r="A287" t="s">
        <v>45</v>
      </c>
      <c r="B287">
        <v>13</v>
      </c>
      <c r="C287">
        <v>67174.25</v>
      </c>
    </row>
    <row r="288" spans="1:3" x14ac:dyDescent="0.25">
      <c r="A288" t="s">
        <v>39</v>
      </c>
      <c r="B288">
        <v>12</v>
      </c>
      <c r="C288">
        <v>118700.4</v>
      </c>
    </row>
    <row r="289" spans="1:3" x14ac:dyDescent="0.25">
      <c r="A289" t="s">
        <v>40</v>
      </c>
      <c r="B289">
        <v>17</v>
      </c>
      <c r="C289">
        <v>225486.51</v>
      </c>
    </row>
    <row r="290" spans="1:3" x14ac:dyDescent="0.25">
      <c r="A290" t="s">
        <v>38</v>
      </c>
      <c r="B290">
        <v>17</v>
      </c>
      <c r="C290">
        <v>42835</v>
      </c>
    </row>
    <row r="291" spans="1:3" x14ac:dyDescent="0.25">
      <c r="A291" t="s">
        <v>52</v>
      </c>
      <c r="B291">
        <v>9</v>
      </c>
      <c r="C291">
        <v>99547.21</v>
      </c>
    </row>
    <row r="292" spans="1:3" x14ac:dyDescent="0.25">
      <c r="A292" t="s">
        <v>37</v>
      </c>
      <c r="B292">
        <v>11</v>
      </c>
      <c r="C292">
        <v>12334.87</v>
      </c>
    </row>
    <row r="293" spans="1:3" x14ac:dyDescent="0.25">
      <c r="A293" t="s">
        <v>451</v>
      </c>
      <c r="B293">
        <v>15</v>
      </c>
      <c r="C293">
        <v>0</v>
      </c>
    </row>
    <row r="294" spans="1:3" x14ac:dyDescent="0.25">
      <c r="A294" t="s">
        <v>43</v>
      </c>
      <c r="B294">
        <v>15</v>
      </c>
      <c r="C294">
        <v>80171.3</v>
      </c>
    </row>
    <row r="295" spans="1:3" x14ac:dyDescent="0.25">
      <c r="A295" t="s">
        <v>43</v>
      </c>
      <c r="B295">
        <v>24</v>
      </c>
      <c r="C295">
        <v>19248.97</v>
      </c>
    </row>
    <row r="296" spans="1:3" x14ac:dyDescent="0.25">
      <c r="A296" t="s">
        <v>46</v>
      </c>
      <c r="B296">
        <v>18</v>
      </c>
      <c r="C296">
        <v>166238</v>
      </c>
    </row>
    <row r="297" spans="1:3" x14ac:dyDescent="0.25">
      <c r="A297" t="s">
        <v>48</v>
      </c>
      <c r="B297">
        <v>9</v>
      </c>
      <c r="C297">
        <v>285583.58</v>
      </c>
    </row>
    <row r="298" spans="1:3" x14ac:dyDescent="0.25">
      <c r="A298" t="s">
        <v>53</v>
      </c>
      <c r="B298">
        <v>17</v>
      </c>
      <c r="C298">
        <v>106847.25</v>
      </c>
    </row>
    <row r="299" spans="1:3" x14ac:dyDescent="0.25">
      <c r="A299" t="s">
        <v>41</v>
      </c>
      <c r="B299">
        <v>13</v>
      </c>
      <c r="C299">
        <v>116794.1</v>
      </c>
    </row>
    <row r="300" spans="1:3" x14ac:dyDescent="0.25">
      <c r="A300" t="s">
        <v>40</v>
      </c>
      <c r="B300">
        <v>25</v>
      </c>
      <c r="C300">
        <v>92240</v>
      </c>
    </row>
    <row r="301" spans="1:3" x14ac:dyDescent="0.25">
      <c r="A301" t="s">
        <v>44</v>
      </c>
      <c r="B301">
        <v>25</v>
      </c>
      <c r="C301">
        <v>68905.850000000006</v>
      </c>
    </row>
    <row r="302" spans="1:3" x14ac:dyDescent="0.25">
      <c r="A302" t="s">
        <v>47</v>
      </c>
      <c r="B302">
        <v>15</v>
      </c>
      <c r="C302">
        <v>138607.5</v>
      </c>
    </row>
    <row r="303" spans="1:3" x14ac:dyDescent="0.25">
      <c r="A303" t="s">
        <v>46</v>
      </c>
      <c r="B303">
        <v>14</v>
      </c>
      <c r="C303">
        <v>46131.62</v>
      </c>
    </row>
    <row r="304" spans="1:3" x14ac:dyDescent="0.25">
      <c r="A304" t="s">
        <v>38</v>
      </c>
      <c r="B304">
        <v>5</v>
      </c>
      <c r="C304">
        <v>124481.4</v>
      </c>
    </row>
    <row r="305" spans="1:3" x14ac:dyDescent="0.25">
      <c r="A305" t="s">
        <v>36</v>
      </c>
      <c r="B305">
        <v>6</v>
      </c>
      <c r="C305">
        <v>67247.539999999994</v>
      </c>
    </row>
    <row r="306" spans="1:3" x14ac:dyDescent="0.25">
      <c r="A306" t="s">
        <v>45</v>
      </c>
      <c r="B306">
        <v>1</v>
      </c>
      <c r="C306">
        <v>268748.59000000003</v>
      </c>
    </row>
    <row r="307" spans="1:3" x14ac:dyDescent="0.25">
      <c r="A307" t="s">
        <v>52</v>
      </c>
      <c r="B307">
        <v>15</v>
      </c>
      <c r="C307">
        <v>204381</v>
      </c>
    </row>
    <row r="308" spans="1:3" x14ac:dyDescent="0.25">
      <c r="A308" t="s">
        <v>39</v>
      </c>
      <c r="B308">
        <v>4</v>
      </c>
      <c r="C308">
        <v>20613.439999999999</v>
      </c>
    </row>
    <row r="309" spans="1:3" x14ac:dyDescent="0.25">
      <c r="A309" t="s">
        <v>47</v>
      </c>
      <c r="B309">
        <v>13</v>
      </c>
      <c r="C309">
        <v>75511.67</v>
      </c>
    </row>
    <row r="310" spans="1:3" x14ac:dyDescent="0.25">
      <c r="A310" t="s">
        <v>53</v>
      </c>
      <c r="B310">
        <v>10</v>
      </c>
      <c r="C310">
        <v>55801.85</v>
      </c>
    </row>
    <row r="311" spans="1:3" x14ac:dyDescent="0.25">
      <c r="A311" t="s">
        <v>42</v>
      </c>
      <c r="B311">
        <v>1</v>
      </c>
      <c r="C311">
        <v>96337.65</v>
      </c>
    </row>
    <row r="312" spans="1:3" x14ac:dyDescent="0.25">
      <c r="A312" t="s">
        <v>40</v>
      </c>
      <c r="B312">
        <v>1</v>
      </c>
      <c r="C312">
        <v>150641.25</v>
      </c>
    </row>
    <row r="313" spans="1:3" x14ac:dyDescent="0.25">
      <c r="A313" t="s">
        <v>49</v>
      </c>
      <c r="B313">
        <v>9</v>
      </c>
      <c r="C313">
        <v>116005.8</v>
      </c>
    </row>
    <row r="314" spans="1:3" x14ac:dyDescent="0.25">
      <c r="A314" t="s">
        <v>46</v>
      </c>
      <c r="B314">
        <v>13</v>
      </c>
      <c r="C314">
        <v>68036</v>
      </c>
    </row>
    <row r="315" spans="1:3" x14ac:dyDescent="0.25">
      <c r="A315" t="s">
        <v>45</v>
      </c>
      <c r="B315">
        <v>22</v>
      </c>
      <c r="C315">
        <v>176626.15</v>
      </c>
    </row>
    <row r="316" spans="1:3" x14ac:dyDescent="0.25">
      <c r="A316" t="s">
        <v>44</v>
      </c>
      <c r="B316">
        <v>10</v>
      </c>
      <c r="C316">
        <v>96478.17</v>
      </c>
    </row>
    <row r="317" spans="1:3" x14ac:dyDescent="0.25">
      <c r="A317" t="s">
        <v>42</v>
      </c>
      <c r="B317">
        <v>11</v>
      </c>
      <c r="C317">
        <v>54732.6</v>
      </c>
    </row>
    <row r="318" spans="1:3" x14ac:dyDescent="0.25">
      <c r="A318" t="s">
        <v>36</v>
      </c>
      <c r="B318">
        <v>2</v>
      </c>
      <c r="C318">
        <v>158044.45000000001</v>
      </c>
    </row>
    <row r="319" spans="1:3" x14ac:dyDescent="0.25">
      <c r="A319" t="s">
        <v>47</v>
      </c>
      <c r="B319">
        <v>18</v>
      </c>
      <c r="C319">
        <v>231558.49</v>
      </c>
    </row>
    <row r="320" spans="1:3" x14ac:dyDescent="0.25">
      <c r="A320" t="s">
        <v>45</v>
      </c>
      <c r="B320">
        <v>24</v>
      </c>
      <c r="C320">
        <v>104138.75</v>
      </c>
    </row>
    <row r="321" spans="1:3" x14ac:dyDescent="0.25">
      <c r="A321" t="s">
        <v>38</v>
      </c>
      <c r="B321">
        <v>2</v>
      </c>
      <c r="C321">
        <v>185330</v>
      </c>
    </row>
    <row r="322" spans="1:3" x14ac:dyDescent="0.25">
      <c r="A322" t="s">
        <v>42</v>
      </c>
      <c r="B322">
        <v>3</v>
      </c>
      <c r="C322">
        <v>283344</v>
      </c>
    </row>
    <row r="323" spans="1:3" x14ac:dyDescent="0.25">
      <c r="A323" t="s">
        <v>38</v>
      </c>
      <c r="B323">
        <v>16</v>
      </c>
      <c r="C323">
        <v>85265.4</v>
      </c>
    </row>
    <row r="324" spans="1:3" x14ac:dyDescent="0.25">
      <c r="A324" t="s">
        <v>42</v>
      </c>
      <c r="B324">
        <v>17</v>
      </c>
      <c r="C324">
        <v>51045.98</v>
      </c>
    </row>
    <row r="325" spans="1:3" x14ac:dyDescent="0.25">
      <c r="A325" t="s">
        <v>44</v>
      </c>
      <c r="B325">
        <v>24</v>
      </c>
      <c r="C325">
        <v>132675.4</v>
      </c>
    </row>
    <row r="326" spans="1:3" x14ac:dyDescent="0.25">
      <c r="A326" t="s">
        <v>42</v>
      </c>
      <c r="B326">
        <v>13</v>
      </c>
      <c r="C326">
        <v>98996.25</v>
      </c>
    </row>
    <row r="327" spans="1:3" x14ac:dyDescent="0.25">
      <c r="A327" t="s">
        <v>38</v>
      </c>
      <c r="B327">
        <v>3</v>
      </c>
      <c r="C327">
        <v>78021.13</v>
      </c>
    </row>
    <row r="328" spans="1:3" x14ac:dyDescent="0.25">
      <c r="A328" t="s">
        <v>51</v>
      </c>
      <c r="B328">
        <v>8</v>
      </c>
      <c r="C328">
        <v>31695.81</v>
      </c>
    </row>
    <row r="329" spans="1:3" x14ac:dyDescent="0.25">
      <c r="A329" t="s">
        <v>50</v>
      </c>
      <c r="B329">
        <v>18</v>
      </c>
      <c r="C329">
        <v>137351.25</v>
      </c>
    </row>
    <row r="330" spans="1:3" x14ac:dyDescent="0.25">
      <c r="A330" t="s">
        <v>40</v>
      </c>
      <c r="B330">
        <v>11</v>
      </c>
      <c r="C330">
        <v>23481.91</v>
      </c>
    </row>
    <row r="331" spans="1:3" x14ac:dyDescent="0.25">
      <c r="A331" t="s">
        <v>42</v>
      </c>
      <c r="B331">
        <v>22</v>
      </c>
      <c r="C331">
        <v>9625.16</v>
      </c>
    </row>
    <row r="332" spans="1:3" x14ac:dyDescent="0.25">
      <c r="A332" t="s">
        <v>51</v>
      </c>
      <c r="B332">
        <v>12</v>
      </c>
      <c r="C332">
        <v>187276</v>
      </c>
    </row>
    <row r="333" spans="1:3" x14ac:dyDescent="0.25">
      <c r="A333" t="s">
        <v>46</v>
      </c>
      <c r="B333">
        <v>12</v>
      </c>
      <c r="C333">
        <v>58678.400000000001</v>
      </c>
    </row>
    <row r="334" spans="1:3" x14ac:dyDescent="0.25">
      <c r="A334" t="s">
        <v>49</v>
      </c>
      <c r="B334">
        <v>1</v>
      </c>
      <c r="C334">
        <v>57347.5</v>
      </c>
    </row>
    <row r="335" spans="1:3" x14ac:dyDescent="0.25">
      <c r="A335" t="s">
        <v>49</v>
      </c>
      <c r="B335">
        <v>18</v>
      </c>
      <c r="C335">
        <v>103670</v>
      </c>
    </row>
    <row r="336" spans="1:3" x14ac:dyDescent="0.25">
      <c r="A336" t="s">
        <v>50</v>
      </c>
      <c r="B336">
        <v>17</v>
      </c>
      <c r="C336">
        <v>40201.83</v>
      </c>
    </row>
    <row r="337" spans="1:3" x14ac:dyDescent="0.25">
      <c r="A337" t="s">
        <v>53</v>
      </c>
      <c r="B337">
        <v>25</v>
      </c>
      <c r="C337">
        <v>48510</v>
      </c>
    </row>
    <row r="338" spans="1:3" x14ac:dyDescent="0.25">
      <c r="A338" t="s">
        <v>50</v>
      </c>
      <c r="B338">
        <v>16</v>
      </c>
      <c r="C338">
        <v>92409</v>
      </c>
    </row>
    <row r="339" spans="1:3" x14ac:dyDescent="0.25">
      <c r="A339" t="s">
        <v>37</v>
      </c>
      <c r="B339">
        <v>15</v>
      </c>
      <c r="C339">
        <v>82958.75</v>
      </c>
    </row>
    <row r="340" spans="1:3" x14ac:dyDescent="0.25">
      <c r="A340" t="s">
        <v>45</v>
      </c>
      <c r="B340">
        <v>16</v>
      </c>
      <c r="C340">
        <v>73984.039999999994</v>
      </c>
    </row>
    <row r="341" spans="1:3" x14ac:dyDescent="0.25">
      <c r="A341" t="s">
        <v>43</v>
      </c>
      <c r="B341">
        <v>18</v>
      </c>
      <c r="C341">
        <v>167826.27</v>
      </c>
    </row>
    <row r="342" spans="1:3" x14ac:dyDescent="0.25">
      <c r="A342" t="s">
        <v>47</v>
      </c>
      <c r="B342">
        <v>3</v>
      </c>
      <c r="C342">
        <v>105205.57</v>
      </c>
    </row>
    <row r="343" spans="1:3" x14ac:dyDescent="0.25">
      <c r="A343" t="s">
        <v>451</v>
      </c>
      <c r="B343">
        <v>10</v>
      </c>
      <c r="C343">
        <v>0</v>
      </c>
    </row>
    <row r="344" spans="1:3" x14ac:dyDescent="0.25">
      <c r="A344" t="s">
        <v>50</v>
      </c>
      <c r="B344">
        <v>15</v>
      </c>
      <c r="C344">
        <v>27576.48</v>
      </c>
    </row>
    <row r="345" spans="1:3" x14ac:dyDescent="0.25">
      <c r="A345" t="s">
        <v>53</v>
      </c>
      <c r="B345">
        <v>16</v>
      </c>
      <c r="C345">
        <v>28978</v>
      </c>
    </row>
    <row r="346" spans="1:3" x14ac:dyDescent="0.25">
      <c r="A346" t="s">
        <v>47</v>
      </c>
      <c r="B346">
        <v>17</v>
      </c>
      <c r="C346">
        <v>90269.4</v>
      </c>
    </row>
    <row r="347" spans="1:3" x14ac:dyDescent="0.25">
      <c r="A347" t="s">
        <v>36</v>
      </c>
      <c r="B347">
        <v>9</v>
      </c>
      <c r="C347">
        <v>196605.95</v>
      </c>
    </row>
    <row r="348" spans="1:3" x14ac:dyDescent="0.25">
      <c r="A348" t="s">
        <v>42</v>
      </c>
      <c r="B348">
        <v>23</v>
      </c>
      <c r="C348">
        <v>69458.77</v>
      </c>
    </row>
    <row r="349" spans="1:3" x14ac:dyDescent="0.25">
      <c r="A349" t="s">
        <v>44</v>
      </c>
      <c r="B349">
        <v>12</v>
      </c>
      <c r="C349">
        <v>52627.5</v>
      </c>
    </row>
    <row r="350" spans="1:3" x14ac:dyDescent="0.25">
      <c r="A350" t="s">
        <v>50</v>
      </c>
      <c r="B350">
        <v>3</v>
      </c>
      <c r="C350">
        <v>65007</v>
      </c>
    </row>
    <row r="351" spans="1:3" x14ac:dyDescent="0.25">
      <c r="A351" t="s">
        <v>45</v>
      </c>
      <c r="B351">
        <v>6</v>
      </c>
      <c r="C351">
        <v>182370.39</v>
      </c>
    </row>
    <row r="352" spans="1:3" x14ac:dyDescent="0.25">
      <c r="A352" t="s">
        <v>52</v>
      </c>
      <c r="B352">
        <v>18</v>
      </c>
      <c r="C352">
        <v>40710</v>
      </c>
    </row>
    <row r="353" spans="1:3" x14ac:dyDescent="0.25">
      <c r="A353" t="s">
        <v>50</v>
      </c>
      <c r="B353">
        <v>22</v>
      </c>
      <c r="C353">
        <v>49908.639999999999</v>
      </c>
    </row>
    <row r="354" spans="1:3" x14ac:dyDescent="0.25">
      <c r="A354" t="s">
        <v>38</v>
      </c>
      <c r="B354">
        <v>12</v>
      </c>
      <c r="C354">
        <v>73855.100000000006</v>
      </c>
    </row>
    <row r="355" spans="1:3" x14ac:dyDescent="0.25">
      <c r="A355" t="s">
        <v>36</v>
      </c>
      <c r="B355">
        <v>17</v>
      </c>
      <c r="C355">
        <v>24317.26</v>
      </c>
    </row>
    <row r="356" spans="1:3" x14ac:dyDescent="0.25">
      <c r="A356" t="s">
        <v>38</v>
      </c>
      <c r="B356">
        <v>20</v>
      </c>
      <c r="C356">
        <v>80743.75</v>
      </c>
    </row>
    <row r="357" spans="1:3" x14ac:dyDescent="0.25">
      <c r="A357" t="s">
        <v>41</v>
      </c>
      <c r="B357">
        <v>14</v>
      </c>
      <c r="C357">
        <v>73225</v>
      </c>
    </row>
    <row r="358" spans="1:3" x14ac:dyDescent="0.25">
      <c r="A358" t="s">
        <v>451</v>
      </c>
      <c r="B358">
        <v>13</v>
      </c>
      <c r="C358">
        <v>0</v>
      </c>
    </row>
    <row r="359" spans="1:3" x14ac:dyDescent="0.25">
      <c r="A359" t="s">
        <v>52</v>
      </c>
      <c r="B359">
        <v>16</v>
      </c>
      <c r="C359">
        <v>149263.4</v>
      </c>
    </row>
    <row r="360" spans="1:3" x14ac:dyDescent="0.25">
      <c r="A360" t="s">
        <v>49</v>
      </c>
      <c r="B360">
        <v>17</v>
      </c>
      <c r="C360">
        <v>60728.85</v>
      </c>
    </row>
    <row r="361" spans="1:3" x14ac:dyDescent="0.25">
      <c r="A361" t="s">
        <v>46</v>
      </c>
      <c r="B361">
        <v>19</v>
      </c>
      <c r="C361">
        <v>109159</v>
      </c>
    </row>
    <row r="362" spans="1:3" x14ac:dyDescent="0.25">
      <c r="A362" t="s">
        <v>46</v>
      </c>
      <c r="B362">
        <v>23</v>
      </c>
      <c r="C362">
        <v>111718.75</v>
      </c>
    </row>
    <row r="363" spans="1:3" x14ac:dyDescent="0.25">
      <c r="A363" t="s">
        <v>43</v>
      </c>
      <c r="B363">
        <v>16</v>
      </c>
      <c r="C363">
        <v>56758.65</v>
      </c>
    </row>
    <row r="364" spans="1:3" x14ac:dyDescent="0.25">
      <c r="A364" t="s">
        <v>51</v>
      </c>
      <c r="B364">
        <v>11</v>
      </c>
      <c r="C364">
        <v>41737.800000000003</v>
      </c>
    </row>
    <row r="365" spans="1:3" x14ac:dyDescent="0.25">
      <c r="A365" t="s">
        <v>43</v>
      </c>
      <c r="B365">
        <v>23</v>
      </c>
      <c r="C365">
        <v>9688.48</v>
      </c>
    </row>
    <row r="366" spans="1:3" x14ac:dyDescent="0.25">
      <c r="A366" t="s">
        <v>46</v>
      </c>
      <c r="B366">
        <v>20</v>
      </c>
      <c r="C366">
        <v>5864.14</v>
      </c>
    </row>
    <row r="367" spans="1:3" x14ac:dyDescent="0.25">
      <c r="A367" t="s">
        <v>44</v>
      </c>
      <c r="B367">
        <v>23</v>
      </c>
      <c r="C367">
        <v>52945.440000000002</v>
      </c>
    </row>
    <row r="368" spans="1:3" x14ac:dyDescent="0.25">
      <c r="A368" t="s">
        <v>39</v>
      </c>
      <c r="B368">
        <v>14</v>
      </c>
      <c r="C368">
        <v>104874.72</v>
      </c>
    </row>
    <row r="369" spans="1:3" x14ac:dyDescent="0.25">
      <c r="A369" t="s">
        <v>51</v>
      </c>
      <c r="B369">
        <v>23</v>
      </c>
      <c r="C369">
        <v>8115.97</v>
      </c>
    </row>
    <row r="370" spans="1:3" x14ac:dyDescent="0.25">
      <c r="A370" t="s">
        <v>48</v>
      </c>
      <c r="B370">
        <v>14</v>
      </c>
      <c r="C370">
        <v>95053.2</v>
      </c>
    </row>
    <row r="371" spans="1:3" x14ac:dyDescent="0.25">
      <c r="A371" t="s">
        <v>43</v>
      </c>
      <c r="B371">
        <v>20</v>
      </c>
      <c r="C371">
        <v>48566.7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A28A6-2762-44A2-9AD1-359BA1663DAC}">
  <dimension ref="A1:B6"/>
  <sheetViews>
    <sheetView workbookViewId="0"/>
  </sheetViews>
  <sheetFormatPr defaultRowHeight="13.8" x14ac:dyDescent="0.25"/>
  <cols>
    <col min="1" max="1" width="15.5" bestFit="1" customWidth="1"/>
    <col min="2" max="2" width="13.5" bestFit="1" customWidth="1"/>
  </cols>
  <sheetData>
    <row r="1" spans="1:2" x14ac:dyDescent="0.25">
      <c r="A1" t="s">
        <v>473</v>
      </c>
      <c r="B1" t="s">
        <v>474</v>
      </c>
    </row>
    <row r="2" spans="1:2" x14ac:dyDescent="0.25">
      <c r="A2" t="s">
        <v>452</v>
      </c>
      <c r="B2">
        <v>3.03</v>
      </c>
    </row>
    <row r="3" spans="1:2" x14ac:dyDescent="0.25">
      <c r="A3" t="s">
        <v>155</v>
      </c>
      <c r="B3">
        <v>23.36</v>
      </c>
    </row>
    <row r="4" spans="1:2" x14ac:dyDescent="0.25">
      <c r="A4" t="s">
        <v>156</v>
      </c>
      <c r="B4">
        <v>24.06</v>
      </c>
    </row>
    <row r="5" spans="1:2" x14ac:dyDescent="0.25">
      <c r="A5" t="s">
        <v>154</v>
      </c>
      <c r="B5">
        <v>24.57</v>
      </c>
    </row>
    <row r="6" spans="1:2" x14ac:dyDescent="0.25">
      <c r="A6" t="s">
        <v>157</v>
      </c>
      <c r="B6">
        <v>24.97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A619D-1F34-4B31-A10F-EB0E1B2E969B}">
  <dimension ref="A1:D7"/>
  <sheetViews>
    <sheetView workbookViewId="0"/>
  </sheetViews>
  <sheetFormatPr defaultRowHeight="13.8" x14ac:dyDescent="0.25"/>
  <cols>
    <col min="1" max="1" width="16.8984375" bestFit="1" customWidth="1"/>
    <col min="2" max="2" width="16.69921875" bestFit="1" customWidth="1"/>
    <col min="3" max="3" width="17.19921875" bestFit="1" customWidth="1"/>
    <col min="4" max="4" width="17.8984375" bestFit="1" customWidth="1"/>
  </cols>
  <sheetData>
    <row r="1" spans="1:4" x14ac:dyDescent="0.25">
      <c r="A1" t="s">
        <v>469</v>
      </c>
      <c r="B1" t="s">
        <v>470</v>
      </c>
      <c r="C1" t="s">
        <v>471</v>
      </c>
      <c r="D1" t="s">
        <v>472</v>
      </c>
    </row>
    <row r="2" spans="1:4" x14ac:dyDescent="0.25">
      <c r="A2" t="s">
        <v>148</v>
      </c>
      <c r="B2">
        <v>57825.78</v>
      </c>
      <c r="C2">
        <v>0</v>
      </c>
      <c r="D2">
        <v>149928.75</v>
      </c>
    </row>
    <row r="3" spans="1:4" x14ac:dyDescent="0.25">
      <c r="A3" t="s">
        <v>149</v>
      </c>
      <c r="B3">
        <v>54349.04</v>
      </c>
      <c r="C3">
        <v>0</v>
      </c>
      <c r="D3">
        <v>161238.75</v>
      </c>
    </row>
    <row r="4" spans="1:4" x14ac:dyDescent="0.25">
      <c r="A4" t="s">
        <v>150</v>
      </c>
      <c r="B4">
        <v>58977.99</v>
      </c>
      <c r="C4">
        <v>0</v>
      </c>
      <c r="D4">
        <v>163865</v>
      </c>
    </row>
    <row r="5" spans="1:4" x14ac:dyDescent="0.25">
      <c r="A5" t="s">
        <v>151</v>
      </c>
      <c r="B5">
        <v>61147.54</v>
      </c>
      <c r="C5">
        <v>0</v>
      </c>
      <c r="D5">
        <v>166400</v>
      </c>
    </row>
    <row r="6" spans="1:4" x14ac:dyDescent="0.25">
      <c r="A6" t="s">
        <v>152</v>
      </c>
      <c r="B6">
        <v>56388.04</v>
      </c>
      <c r="C6">
        <v>0</v>
      </c>
      <c r="D6">
        <v>152046</v>
      </c>
    </row>
    <row r="7" spans="1:4" x14ac:dyDescent="0.25">
      <c r="A7" t="s">
        <v>153</v>
      </c>
      <c r="B7">
        <v>57553.75</v>
      </c>
      <c r="C7">
        <v>0</v>
      </c>
      <c r="D7">
        <v>168589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0BD57-22A2-476E-A09D-C0BA97BFAECB}">
  <dimension ref="A1:C26"/>
  <sheetViews>
    <sheetView workbookViewId="0"/>
  </sheetViews>
  <sheetFormatPr defaultRowHeight="13.8" x14ac:dyDescent="0.25"/>
  <cols>
    <col min="1" max="1" width="12.796875" bestFit="1" customWidth="1"/>
    <col min="2" max="2" width="15.5" bestFit="1" customWidth="1"/>
    <col min="3" max="3" width="15.8984375" bestFit="1" customWidth="1"/>
  </cols>
  <sheetData>
    <row r="1" spans="1:3" x14ac:dyDescent="0.25">
      <c r="A1" t="s">
        <v>0</v>
      </c>
      <c r="B1" t="s">
        <v>15</v>
      </c>
      <c r="C1" t="s">
        <v>468</v>
      </c>
    </row>
    <row r="2" spans="1:3" x14ac:dyDescent="0.25">
      <c r="A2" t="s">
        <v>18</v>
      </c>
      <c r="B2" t="s">
        <v>155</v>
      </c>
      <c r="C2">
        <v>87086.83</v>
      </c>
    </row>
    <row r="3" spans="1:3" x14ac:dyDescent="0.25">
      <c r="A3" t="s">
        <v>18</v>
      </c>
      <c r="B3" t="s">
        <v>157</v>
      </c>
      <c r="C3">
        <v>62543.4</v>
      </c>
    </row>
    <row r="4" spans="1:3" x14ac:dyDescent="0.25">
      <c r="A4" t="s">
        <v>18</v>
      </c>
      <c r="B4" t="s">
        <v>154</v>
      </c>
      <c r="C4">
        <v>45806.8</v>
      </c>
    </row>
    <row r="5" spans="1:3" x14ac:dyDescent="0.25">
      <c r="A5" t="s">
        <v>18</v>
      </c>
      <c r="B5" t="s">
        <v>452</v>
      </c>
      <c r="C5">
        <v>0</v>
      </c>
    </row>
    <row r="6" spans="1:3" x14ac:dyDescent="0.25">
      <c r="A6" t="s">
        <v>18</v>
      </c>
      <c r="B6" t="s">
        <v>156</v>
      </c>
      <c r="C6">
        <v>56863.35</v>
      </c>
    </row>
    <row r="7" spans="1:3" x14ac:dyDescent="0.25">
      <c r="A7" t="s">
        <v>20</v>
      </c>
      <c r="B7" t="s">
        <v>155</v>
      </c>
      <c r="C7">
        <v>57373.875</v>
      </c>
    </row>
    <row r="8" spans="1:3" x14ac:dyDescent="0.25">
      <c r="A8" t="s">
        <v>20</v>
      </c>
      <c r="B8" t="s">
        <v>157</v>
      </c>
      <c r="C8">
        <v>53785.55</v>
      </c>
    </row>
    <row r="9" spans="1:3" x14ac:dyDescent="0.25">
      <c r="A9" t="s">
        <v>20</v>
      </c>
      <c r="B9" t="s">
        <v>154</v>
      </c>
      <c r="C9">
        <v>57505.5</v>
      </c>
    </row>
    <row r="10" spans="1:3" x14ac:dyDescent="0.25">
      <c r="A10" t="s">
        <v>20</v>
      </c>
      <c r="B10" t="s">
        <v>452</v>
      </c>
      <c r="C10">
        <v>0</v>
      </c>
    </row>
    <row r="11" spans="1:3" x14ac:dyDescent="0.25">
      <c r="A11" t="s">
        <v>20</v>
      </c>
      <c r="B11" t="s">
        <v>156</v>
      </c>
      <c r="C11">
        <v>59731.625</v>
      </c>
    </row>
    <row r="12" spans="1:3" x14ac:dyDescent="0.25">
      <c r="A12" t="s">
        <v>19</v>
      </c>
      <c r="B12" t="s">
        <v>155</v>
      </c>
      <c r="C12">
        <v>58182.15</v>
      </c>
    </row>
    <row r="13" spans="1:3" x14ac:dyDescent="0.25">
      <c r="A13" t="s">
        <v>19</v>
      </c>
      <c r="B13" t="s">
        <v>157</v>
      </c>
      <c r="C13">
        <v>54425</v>
      </c>
    </row>
    <row r="14" spans="1:3" x14ac:dyDescent="0.25">
      <c r="A14" t="s">
        <v>19</v>
      </c>
      <c r="B14" t="s">
        <v>154</v>
      </c>
      <c r="C14">
        <v>56354.54</v>
      </c>
    </row>
    <row r="15" spans="1:3" x14ac:dyDescent="0.25">
      <c r="A15" t="s">
        <v>19</v>
      </c>
      <c r="B15" t="s">
        <v>452</v>
      </c>
      <c r="C15">
        <v>0</v>
      </c>
    </row>
    <row r="16" spans="1:3" x14ac:dyDescent="0.25">
      <c r="A16" t="s">
        <v>19</v>
      </c>
      <c r="B16" t="s">
        <v>156</v>
      </c>
      <c r="C16">
        <v>59620</v>
      </c>
    </row>
    <row r="17" spans="1:3" x14ac:dyDescent="0.25">
      <c r="A17" t="s">
        <v>21</v>
      </c>
      <c r="B17" t="s">
        <v>155</v>
      </c>
      <c r="C17">
        <v>56873.934999999998</v>
      </c>
    </row>
    <row r="18" spans="1:3" x14ac:dyDescent="0.25">
      <c r="A18" t="s">
        <v>21</v>
      </c>
      <c r="B18" t="s">
        <v>157</v>
      </c>
      <c r="C18">
        <v>54693.074999999997</v>
      </c>
    </row>
    <row r="19" spans="1:3" x14ac:dyDescent="0.25">
      <c r="A19" t="s">
        <v>21</v>
      </c>
      <c r="B19" t="s">
        <v>154</v>
      </c>
      <c r="C19">
        <v>63627.199999999997</v>
      </c>
    </row>
    <row r="20" spans="1:3" x14ac:dyDescent="0.25">
      <c r="A20" t="s">
        <v>21</v>
      </c>
      <c r="B20" t="s">
        <v>452</v>
      </c>
      <c r="C20">
        <v>0</v>
      </c>
    </row>
    <row r="21" spans="1:3" x14ac:dyDescent="0.25">
      <c r="A21" t="s">
        <v>21</v>
      </c>
      <c r="B21" t="s">
        <v>156</v>
      </c>
      <c r="C21">
        <v>59139.979999999901</v>
      </c>
    </row>
    <row r="22" spans="1:3" x14ac:dyDescent="0.25">
      <c r="A22" t="s">
        <v>17</v>
      </c>
      <c r="B22" t="s">
        <v>155</v>
      </c>
      <c r="C22">
        <v>62528.95</v>
      </c>
    </row>
    <row r="23" spans="1:3" x14ac:dyDescent="0.25">
      <c r="A23" t="s">
        <v>17</v>
      </c>
      <c r="B23" t="s">
        <v>157</v>
      </c>
      <c r="C23">
        <v>48944.695</v>
      </c>
    </row>
    <row r="24" spans="1:3" x14ac:dyDescent="0.25">
      <c r="A24" t="s">
        <v>17</v>
      </c>
      <c r="B24" t="s">
        <v>154</v>
      </c>
      <c r="C24">
        <v>54446.084999999999</v>
      </c>
    </row>
    <row r="25" spans="1:3" x14ac:dyDescent="0.25">
      <c r="A25" t="s">
        <v>17</v>
      </c>
      <c r="B25" t="s">
        <v>452</v>
      </c>
      <c r="C25">
        <v>0</v>
      </c>
    </row>
    <row r="26" spans="1:3" x14ac:dyDescent="0.25">
      <c r="A26" t="s">
        <v>17</v>
      </c>
      <c r="B26" t="s">
        <v>156</v>
      </c>
      <c r="C26">
        <v>61856.184999999998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895C4-A4B2-4F10-8B90-C38FD91B0FC8}">
  <dimension ref="A1:C11"/>
  <sheetViews>
    <sheetView workbookViewId="0"/>
  </sheetViews>
  <sheetFormatPr defaultRowHeight="13.8" x14ac:dyDescent="0.25"/>
  <cols>
    <col min="1" max="1" width="15" bestFit="1" customWidth="1"/>
    <col min="2" max="2" width="16.59765625" bestFit="1" customWidth="1"/>
    <col min="3" max="3" width="12.5" bestFit="1" customWidth="1"/>
  </cols>
  <sheetData>
    <row r="1" spans="1:3" x14ac:dyDescent="0.25">
      <c r="A1" t="s">
        <v>9</v>
      </c>
      <c r="B1" t="s">
        <v>2</v>
      </c>
      <c r="C1" t="s">
        <v>450</v>
      </c>
    </row>
    <row r="2" spans="1:3" x14ac:dyDescent="0.25">
      <c r="A2" t="s">
        <v>80</v>
      </c>
      <c r="B2" t="s">
        <v>50</v>
      </c>
      <c r="C2">
        <v>162037</v>
      </c>
    </row>
    <row r="3" spans="1:3" x14ac:dyDescent="0.25">
      <c r="A3" t="s">
        <v>72</v>
      </c>
      <c r="B3" t="s">
        <v>46</v>
      </c>
      <c r="C3">
        <v>155144</v>
      </c>
    </row>
    <row r="4" spans="1:3" x14ac:dyDescent="0.25">
      <c r="A4" t="s">
        <v>77</v>
      </c>
      <c r="B4" t="s">
        <v>43</v>
      </c>
      <c r="C4">
        <v>163865</v>
      </c>
    </row>
    <row r="5" spans="1:3" x14ac:dyDescent="0.25">
      <c r="A5" t="s">
        <v>79</v>
      </c>
      <c r="B5" t="s">
        <v>46</v>
      </c>
      <c r="C5">
        <v>149928.75</v>
      </c>
    </row>
    <row r="6" spans="1:3" x14ac:dyDescent="0.25">
      <c r="A6" t="s">
        <v>75</v>
      </c>
      <c r="B6" t="s">
        <v>43</v>
      </c>
      <c r="C6">
        <v>166400</v>
      </c>
    </row>
    <row r="7" spans="1:3" x14ac:dyDescent="0.25">
      <c r="A7" t="s">
        <v>81</v>
      </c>
      <c r="B7" t="s">
        <v>45</v>
      </c>
      <c r="C7">
        <v>148054.5</v>
      </c>
    </row>
    <row r="8" spans="1:3" x14ac:dyDescent="0.25">
      <c r="A8" t="s">
        <v>78</v>
      </c>
      <c r="B8" t="s">
        <v>45</v>
      </c>
      <c r="C8">
        <v>168589</v>
      </c>
    </row>
    <row r="9" spans="1:3" x14ac:dyDescent="0.25">
      <c r="A9" t="s">
        <v>73</v>
      </c>
      <c r="B9" t="s">
        <v>52</v>
      </c>
      <c r="C9">
        <v>149263.4</v>
      </c>
    </row>
    <row r="10" spans="1:3" x14ac:dyDescent="0.25">
      <c r="A10" t="s">
        <v>76</v>
      </c>
      <c r="B10" t="s">
        <v>47</v>
      </c>
      <c r="C10">
        <v>161907</v>
      </c>
    </row>
    <row r="11" spans="1:3" x14ac:dyDescent="0.25">
      <c r="A11" t="s">
        <v>74</v>
      </c>
      <c r="B11" t="s">
        <v>46</v>
      </c>
      <c r="C11">
        <v>148045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3AB91-C8E1-467B-807B-7315015D23E9}">
  <dimension ref="A1:C178"/>
  <sheetViews>
    <sheetView workbookViewId="0"/>
  </sheetViews>
  <sheetFormatPr defaultRowHeight="13.8" x14ac:dyDescent="0.25"/>
  <cols>
    <col min="1" max="1" width="22.19921875" bestFit="1" customWidth="1"/>
    <col min="2" max="2" width="18.796875" bestFit="1" customWidth="1"/>
    <col min="3" max="3" width="18" bestFit="1" customWidth="1"/>
  </cols>
  <sheetData>
    <row r="1" spans="1:3" x14ac:dyDescent="0.25">
      <c r="A1" t="s">
        <v>1</v>
      </c>
      <c r="B1" t="s">
        <v>478</v>
      </c>
      <c r="C1" t="s">
        <v>479</v>
      </c>
    </row>
    <row r="2" spans="1:3" x14ac:dyDescent="0.25">
      <c r="A2" t="s">
        <v>31</v>
      </c>
      <c r="B2">
        <v>0</v>
      </c>
      <c r="C2">
        <v>6</v>
      </c>
    </row>
    <row r="3" spans="1:3" x14ac:dyDescent="0.25">
      <c r="A3" t="s">
        <v>31</v>
      </c>
      <c r="B3">
        <v>1</v>
      </c>
      <c r="C3">
        <v>4</v>
      </c>
    </row>
    <row r="4" spans="1:3" x14ac:dyDescent="0.25">
      <c r="A4" t="s">
        <v>31</v>
      </c>
      <c r="B4">
        <v>2</v>
      </c>
      <c r="C4">
        <v>4</v>
      </c>
    </row>
    <row r="5" spans="1:3" x14ac:dyDescent="0.25">
      <c r="A5" t="s">
        <v>31</v>
      </c>
      <c r="B5">
        <v>3</v>
      </c>
      <c r="C5">
        <v>6</v>
      </c>
    </row>
    <row r="6" spans="1:3" x14ac:dyDescent="0.25">
      <c r="A6" t="s">
        <v>31</v>
      </c>
      <c r="B6">
        <v>4</v>
      </c>
      <c r="C6">
        <v>5</v>
      </c>
    </row>
    <row r="7" spans="1:3" x14ac:dyDescent="0.25">
      <c r="A7" t="s">
        <v>31</v>
      </c>
      <c r="B7">
        <v>5</v>
      </c>
      <c r="C7">
        <v>2</v>
      </c>
    </row>
    <row r="8" spans="1:3" x14ac:dyDescent="0.25">
      <c r="A8" t="s">
        <v>31</v>
      </c>
      <c r="B8">
        <v>6</v>
      </c>
      <c r="C8">
        <v>6</v>
      </c>
    </row>
    <row r="9" spans="1:3" x14ac:dyDescent="0.25">
      <c r="A9" t="s">
        <v>31</v>
      </c>
      <c r="B9">
        <v>7</v>
      </c>
      <c r="C9">
        <v>6</v>
      </c>
    </row>
    <row r="10" spans="1:3" x14ac:dyDescent="0.25">
      <c r="A10" t="s">
        <v>31</v>
      </c>
      <c r="B10">
        <v>8</v>
      </c>
      <c r="C10">
        <v>4</v>
      </c>
    </row>
    <row r="11" spans="1:3" x14ac:dyDescent="0.25">
      <c r="A11" t="s">
        <v>31</v>
      </c>
      <c r="B11">
        <v>9</v>
      </c>
      <c r="C11">
        <v>7</v>
      </c>
    </row>
    <row r="12" spans="1:3" x14ac:dyDescent="0.25">
      <c r="A12" t="s">
        <v>31</v>
      </c>
      <c r="B12">
        <v>10</v>
      </c>
      <c r="C12">
        <v>3</v>
      </c>
    </row>
    <row r="13" spans="1:3" x14ac:dyDescent="0.25">
      <c r="A13" t="s">
        <v>31</v>
      </c>
      <c r="B13">
        <v>12</v>
      </c>
      <c r="C13">
        <v>5</v>
      </c>
    </row>
    <row r="14" spans="1:3" x14ac:dyDescent="0.25">
      <c r="A14" t="s">
        <v>31</v>
      </c>
      <c r="B14">
        <v>15</v>
      </c>
      <c r="C14">
        <v>5</v>
      </c>
    </row>
    <row r="15" spans="1:3" x14ac:dyDescent="0.25">
      <c r="A15" t="s">
        <v>31</v>
      </c>
      <c r="B15">
        <v>18</v>
      </c>
      <c r="C15">
        <v>2</v>
      </c>
    </row>
    <row r="16" spans="1:3" x14ac:dyDescent="0.25">
      <c r="A16" t="s">
        <v>31</v>
      </c>
      <c r="B16">
        <v>20</v>
      </c>
      <c r="C16">
        <v>6</v>
      </c>
    </row>
    <row r="17" spans="1:3" x14ac:dyDescent="0.25">
      <c r="A17" t="s">
        <v>31</v>
      </c>
      <c r="B17">
        <v>25</v>
      </c>
      <c r="C17">
        <v>3</v>
      </c>
    </row>
    <row r="18" spans="1:3" x14ac:dyDescent="0.25">
      <c r="A18" t="s">
        <v>34</v>
      </c>
      <c r="B18">
        <v>0</v>
      </c>
      <c r="C18">
        <v>6</v>
      </c>
    </row>
    <row r="19" spans="1:3" x14ac:dyDescent="0.25">
      <c r="A19" t="s">
        <v>34</v>
      </c>
      <c r="B19">
        <v>1</v>
      </c>
      <c r="C19">
        <v>5</v>
      </c>
    </row>
    <row r="20" spans="1:3" x14ac:dyDescent="0.25">
      <c r="A20" t="s">
        <v>34</v>
      </c>
      <c r="B20">
        <v>2</v>
      </c>
      <c r="C20">
        <v>3</v>
      </c>
    </row>
    <row r="21" spans="1:3" x14ac:dyDescent="0.25">
      <c r="A21" t="s">
        <v>34</v>
      </c>
      <c r="B21">
        <v>3</v>
      </c>
      <c r="C21">
        <v>8</v>
      </c>
    </row>
    <row r="22" spans="1:3" x14ac:dyDescent="0.25">
      <c r="A22" t="s">
        <v>34</v>
      </c>
      <c r="B22">
        <v>4</v>
      </c>
      <c r="C22">
        <v>4</v>
      </c>
    </row>
    <row r="23" spans="1:3" x14ac:dyDescent="0.25">
      <c r="A23" t="s">
        <v>34</v>
      </c>
      <c r="B23">
        <v>5</v>
      </c>
      <c r="C23">
        <v>6</v>
      </c>
    </row>
    <row r="24" spans="1:3" x14ac:dyDescent="0.25">
      <c r="A24" t="s">
        <v>34</v>
      </c>
      <c r="B24">
        <v>6</v>
      </c>
      <c r="C24">
        <v>3</v>
      </c>
    </row>
    <row r="25" spans="1:3" x14ac:dyDescent="0.25">
      <c r="A25" t="s">
        <v>34</v>
      </c>
      <c r="B25">
        <v>7</v>
      </c>
      <c r="C25">
        <v>3</v>
      </c>
    </row>
    <row r="26" spans="1:3" x14ac:dyDescent="0.25">
      <c r="A26" t="s">
        <v>34</v>
      </c>
      <c r="B26">
        <v>8</v>
      </c>
      <c r="C26">
        <v>4</v>
      </c>
    </row>
    <row r="27" spans="1:3" x14ac:dyDescent="0.25">
      <c r="A27" t="s">
        <v>34</v>
      </c>
      <c r="B27">
        <v>9</v>
      </c>
      <c r="C27">
        <v>2</v>
      </c>
    </row>
    <row r="28" spans="1:3" x14ac:dyDescent="0.25">
      <c r="A28" t="s">
        <v>34</v>
      </c>
      <c r="B28">
        <v>10</v>
      </c>
      <c r="C28">
        <v>2</v>
      </c>
    </row>
    <row r="29" spans="1:3" x14ac:dyDescent="0.25">
      <c r="A29" t="s">
        <v>34</v>
      </c>
      <c r="B29">
        <v>12</v>
      </c>
      <c r="C29">
        <v>6</v>
      </c>
    </row>
    <row r="30" spans="1:3" x14ac:dyDescent="0.25">
      <c r="A30" t="s">
        <v>34</v>
      </c>
      <c r="B30">
        <v>15</v>
      </c>
      <c r="C30">
        <v>6</v>
      </c>
    </row>
    <row r="31" spans="1:3" x14ac:dyDescent="0.25">
      <c r="A31" t="s">
        <v>34</v>
      </c>
      <c r="B31">
        <v>18</v>
      </c>
      <c r="C31">
        <v>4</v>
      </c>
    </row>
    <row r="32" spans="1:3" x14ac:dyDescent="0.25">
      <c r="A32" t="s">
        <v>34</v>
      </c>
      <c r="B32">
        <v>20</v>
      </c>
      <c r="C32">
        <v>4</v>
      </c>
    </row>
    <row r="33" spans="1:3" x14ac:dyDescent="0.25">
      <c r="A33" t="s">
        <v>34</v>
      </c>
      <c r="B33">
        <v>25</v>
      </c>
      <c r="C33">
        <v>3</v>
      </c>
    </row>
    <row r="34" spans="1:3" x14ac:dyDescent="0.25">
      <c r="A34" t="s">
        <v>29</v>
      </c>
      <c r="B34">
        <v>0</v>
      </c>
      <c r="C34">
        <v>7</v>
      </c>
    </row>
    <row r="35" spans="1:3" x14ac:dyDescent="0.25">
      <c r="A35" t="s">
        <v>29</v>
      </c>
      <c r="B35">
        <v>1</v>
      </c>
      <c r="C35">
        <v>6</v>
      </c>
    </row>
    <row r="36" spans="1:3" x14ac:dyDescent="0.25">
      <c r="A36" t="s">
        <v>29</v>
      </c>
      <c r="B36">
        <v>2</v>
      </c>
      <c r="C36">
        <v>8</v>
      </c>
    </row>
    <row r="37" spans="1:3" x14ac:dyDescent="0.25">
      <c r="A37" t="s">
        <v>29</v>
      </c>
      <c r="B37">
        <v>3</v>
      </c>
      <c r="C37">
        <v>7</v>
      </c>
    </row>
    <row r="38" spans="1:3" x14ac:dyDescent="0.25">
      <c r="A38" t="s">
        <v>29</v>
      </c>
      <c r="B38">
        <v>4</v>
      </c>
      <c r="C38">
        <v>4</v>
      </c>
    </row>
    <row r="39" spans="1:3" x14ac:dyDescent="0.25">
      <c r="A39" t="s">
        <v>29</v>
      </c>
      <c r="B39">
        <v>5</v>
      </c>
      <c r="C39">
        <v>8</v>
      </c>
    </row>
    <row r="40" spans="1:3" x14ac:dyDescent="0.25">
      <c r="A40" t="s">
        <v>29</v>
      </c>
      <c r="B40">
        <v>6</v>
      </c>
      <c r="C40">
        <v>7</v>
      </c>
    </row>
    <row r="41" spans="1:3" x14ac:dyDescent="0.25">
      <c r="A41" t="s">
        <v>29</v>
      </c>
      <c r="B41">
        <v>7</v>
      </c>
      <c r="C41">
        <v>8</v>
      </c>
    </row>
    <row r="42" spans="1:3" x14ac:dyDescent="0.25">
      <c r="A42" t="s">
        <v>29</v>
      </c>
      <c r="B42">
        <v>8</v>
      </c>
      <c r="C42">
        <v>5</v>
      </c>
    </row>
    <row r="43" spans="1:3" x14ac:dyDescent="0.25">
      <c r="A43" t="s">
        <v>29</v>
      </c>
      <c r="B43">
        <v>9</v>
      </c>
      <c r="C43">
        <v>8</v>
      </c>
    </row>
    <row r="44" spans="1:3" x14ac:dyDescent="0.25">
      <c r="A44" t="s">
        <v>29</v>
      </c>
      <c r="B44">
        <v>10</v>
      </c>
      <c r="C44">
        <v>7</v>
      </c>
    </row>
    <row r="45" spans="1:3" x14ac:dyDescent="0.25">
      <c r="A45" t="s">
        <v>29</v>
      </c>
      <c r="B45">
        <v>12</v>
      </c>
      <c r="C45">
        <v>9</v>
      </c>
    </row>
    <row r="46" spans="1:3" x14ac:dyDescent="0.25">
      <c r="A46" t="s">
        <v>29</v>
      </c>
      <c r="B46">
        <v>15</v>
      </c>
      <c r="C46">
        <v>13</v>
      </c>
    </row>
    <row r="47" spans="1:3" x14ac:dyDescent="0.25">
      <c r="A47" t="s">
        <v>29</v>
      </c>
      <c r="B47">
        <v>18</v>
      </c>
      <c r="C47">
        <v>7</v>
      </c>
    </row>
    <row r="48" spans="1:3" x14ac:dyDescent="0.25">
      <c r="A48" t="s">
        <v>29</v>
      </c>
      <c r="B48">
        <v>20</v>
      </c>
      <c r="C48">
        <v>12</v>
      </c>
    </row>
    <row r="49" spans="1:3" x14ac:dyDescent="0.25">
      <c r="A49" t="s">
        <v>29</v>
      </c>
      <c r="B49">
        <v>25</v>
      </c>
      <c r="C49">
        <v>6</v>
      </c>
    </row>
    <row r="50" spans="1:3" x14ac:dyDescent="0.25">
      <c r="A50" t="s">
        <v>24</v>
      </c>
      <c r="B50">
        <v>0</v>
      </c>
      <c r="C50">
        <v>6</v>
      </c>
    </row>
    <row r="51" spans="1:3" x14ac:dyDescent="0.25">
      <c r="A51" t="s">
        <v>24</v>
      </c>
      <c r="B51">
        <v>1</v>
      </c>
      <c r="C51">
        <v>1</v>
      </c>
    </row>
    <row r="52" spans="1:3" x14ac:dyDescent="0.25">
      <c r="A52" t="s">
        <v>24</v>
      </c>
      <c r="B52">
        <v>2</v>
      </c>
      <c r="C52">
        <v>7</v>
      </c>
    </row>
    <row r="53" spans="1:3" x14ac:dyDescent="0.25">
      <c r="A53" t="s">
        <v>24</v>
      </c>
      <c r="B53">
        <v>3</v>
      </c>
      <c r="C53">
        <v>4</v>
      </c>
    </row>
    <row r="54" spans="1:3" x14ac:dyDescent="0.25">
      <c r="A54" t="s">
        <v>24</v>
      </c>
      <c r="B54">
        <v>4</v>
      </c>
      <c r="C54">
        <v>7</v>
      </c>
    </row>
    <row r="55" spans="1:3" x14ac:dyDescent="0.25">
      <c r="A55" t="s">
        <v>24</v>
      </c>
      <c r="B55">
        <v>5</v>
      </c>
      <c r="C55">
        <v>7</v>
      </c>
    </row>
    <row r="56" spans="1:3" x14ac:dyDescent="0.25">
      <c r="A56" t="s">
        <v>24</v>
      </c>
      <c r="B56">
        <v>6</v>
      </c>
      <c r="C56">
        <v>4</v>
      </c>
    </row>
    <row r="57" spans="1:3" x14ac:dyDescent="0.25">
      <c r="A57" t="s">
        <v>24</v>
      </c>
      <c r="B57">
        <v>7</v>
      </c>
      <c r="C57">
        <v>3</v>
      </c>
    </row>
    <row r="58" spans="1:3" x14ac:dyDescent="0.25">
      <c r="A58" t="s">
        <v>24</v>
      </c>
      <c r="B58">
        <v>8</v>
      </c>
      <c r="C58">
        <v>4</v>
      </c>
    </row>
    <row r="59" spans="1:3" x14ac:dyDescent="0.25">
      <c r="A59" t="s">
        <v>24</v>
      </c>
      <c r="B59">
        <v>9</v>
      </c>
      <c r="C59">
        <v>8</v>
      </c>
    </row>
    <row r="60" spans="1:3" x14ac:dyDescent="0.25">
      <c r="A60" t="s">
        <v>24</v>
      </c>
      <c r="B60">
        <v>10</v>
      </c>
      <c r="C60">
        <v>7</v>
      </c>
    </row>
    <row r="61" spans="1:3" x14ac:dyDescent="0.25">
      <c r="A61" t="s">
        <v>24</v>
      </c>
      <c r="B61">
        <v>12</v>
      </c>
      <c r="C61">
        <v>3</v>
      </c>
    </row>
    <row r="62" spans="1:3" x14ac:dyDescent="0.25">
      <c r="A62" t="s">
        <v>24</v>
      </c>
      <c r="B62">
        <v>15</v>
      </c>
      <c r="C62">
        <v>4</v>
      </c>
    </row>
    <row r="63" spans="1:3" x14ac:dyDescent="0.25">
      <c r="A63" t="s">
        <v>24</v>
      </c>
      <c r="B63">
        <v>18</v>
      </c>
      <c r="C63">
        <v>4</v>
      </c>
    </row>
    <row r="64" spans="1:3" x14ac:dyDescent="0.25">
      <c r="A64" t="s">
        <v>24</v>
      </c>
      <c r="B64">
        <v>20</v>
      </c>
      <c r="C64">
        <v>4</v>
      </c>
    </row>
    <row r="65" spans="1:3" x14ac:dyDescent="0.25">
      <c r="A65" t="s">
        <v>24</v>
      </c>
      <c r="B65">
        <v>25</v>
      </c>
      <c r="C65">
        <v>3</v>
      </c>
    </row>
    <row r="66" spans="1:3" x14ac:dyDescent="0.25">
      <c r="A66" t="s">
        <v>32</v>
      </c>
      <c r="B66">
        <v>0</v>
      </c>
      <c r="C66">
        <v>3</v>
      </c>
    </row>
    <row r="67" spans="1:3" x14ac:dyDescent="0.25">
      <c r="A67" t="s">
        <v>32</v>
      </c>
      <c r="B67">
        <v>1</v>
      </c>
      <c r="C67">
        <v>4</v>
      </c>
    </row>
    <row r="68" spans="1:3" x14ac:dyDescent="0.25">
      <c r="A68" t="s">
        <v>32</v>
      </c>
      <c r="B68">
        <v>2</v>
      </c>
      <c r="C68">
        <v>6</v>
      </c>
    </row>
    <row r="69" spans="1:3" x14ac:dyDescent="0.25">
      <c r="A69" t="s">
        <v>32</v>
      </c>
      <c r="B69">
        <v>3</v>
      </c>
      <c r="C69">
        <v>4</v>
      </c>
    </row>
    <row r="70" spans="1:3" x14ac:dyDescent="0.25">
      <c r="A70" t="s">
        <v>32</v>
      </c>
      <c r="B70">
        <v>4</v>
      </c>
      <c r="C70">
        <v>3</v>
      </c>
    </row>
    <row r="71" spans="1:3" x14ac:dyDescent="0.25">
      <c r="A71" t="s">
        <v>32</v>
      </c>
      <c r="B71">
        <v>5</v>
      </c>
      <c r="C71">
        <v>7</v>
      </c>
    </row>
    <row r="72" spans="1:3" x14ac:dyDescent="0.25">
      <c r="A72" t="s">
        <v>32</v>
      </c>
      <c r="B72">
        <v>6</v>
      </c>
      <c r="C72">
        <v>5</v>
      </c>
    </row>
    <row r="73" spans="1:3" x14ac:dyDescent="0.25">
      <c r="A73" t="s">
        <v>32</v>
      </c>
      <c r="B73">
        <v>7</v>
      </c>
      <c r="C73">
        <v>9</v>
      </c>
    </row>
    <row r="74" spans="1:3" x14ac:dyDescent="0.25">
      <c r="A74" t="s">
        <v>32</v>
      </c>
      <c r="B74">
        <v>8</v>
      </c>
      <c r="C74">
        <v>5</v>
      </c>
    </row>
    <row r="75" spans="1:3" x14ac:dyDescent="0.25">
      <c r="A75" t="s">
        <v>32</v>
      </c>
      <c r="B75">
        <v>9</v>
      </c>
      <c r="C75">
        <v>5</v>
      </c>
    </row>
    <row r="76" spans="1:3" x14ac:dyDescent="0.25">
      <c r="A76" t="s">
        <v>32</v>
      </c>
      <c r="B76">
        <v>10</v>
      </c>
      <c r="C76">
        <v>6</v>
      </c>
    </row>
    <row r="77" spans="1:3" x14ac:dyDescent="0.25">
      <c r="A77" t="s">
        <v>32</v>
      </c>
      <c r="B77">
        <v>12</v>
      </c>
      <c r="C77">
        <v>2</v>
      </c>
    </row>
    <row r="78" spans="1:3" x14ac:dyDescent="0.25">
      <c r="A78" t="s">
        <v>32</v>
      </c>
      <c r="B78">
        <v>15</v>
      </c>
      <c r="C78">
        <v>6</v>
      </c>
    </row>
    <row r="79" spans="1:3" x14ac:dyDescent="0.25">
      <c r="A79" t="s">
        <v>32</v>
      </c>
      <c r="B79">
        <v>18</v>
      </c>
      <c r="C79">
        <v>3</v>
      </c>
    </row>
    <row r="80" spans="1:3" x14ac:dyDescent="0.25">
      <c r="A80" t="s">
        <v>32</v>
      </c>
      <c r="B80">
        <v>20</v>
      </c>
      <c r="C80">
        <v>4</v>
      </c>
    </row>
    <row r="81" spans="1:3" x14ac:dyDescent="0.25">
      <c r="A81" t="s">
        <v>32</v>
      </c>
      <c r="B81">
        <v>25</v>
      </c>
      <c r="C81">
        <v>2</v>
      </c>
    </row>
    <row r="82" spans="1:3" x14ac:dyDescent="0.25">
      <c r="A82" t="s">
        <v>26</v>
      </c>
      <c r="B82">
        <v>0</v>
      </c>
      <c r="C82">
        <v>2</v>
      </c>
    </row>
    <row r="83" spans="1:3" x14ac:dyDescent="0.25">
      <c r="A83" t="s">
        <v>26</v>
      </c>
      <c r="B83">
        <v>1</v>
      </c>
      <c r="C83">
        <v>1</v>
      </c>
    </row>
    <row r="84" spans="1:3" x14ac:dyDescent="0.25">
      <c r="A84" t="s">
        <v>26</v>
      </c>
      <c r="B84">
        <v>2</v>
      </c>
      <c r="C84">
        <v>2</v>
      </c>
    </row>
    <row r="85" spans="1:3" x14ac:dyDescent="0.25">
      <c r="A85" t="s">
        <v>26</v>
      </c>
      <c r="B85">
        <v>3</v>
      </c>
      <c r="C85">
        <v>2</v>
      </c>
    </row>
    <row r="86" spans="1:3" x14ac:dyDescent="0.25">
      <c r="A86" t="s">
        <v>26</v>
      </c>
      <c r="B86">
        <v>4</v>
      </c>
      <c r="C86">
        <v>3</v>
      </c>
    </row>
    <row r="87" spans="1:3" x14ac:dyDescent="0.25">
      <c r="A87" t="s">
        <v>26</v>
      </c>
      <c r="B87">
        <v>5</v>
      </c>
      <c r="C87">
        <v>6</v>
      </c>
    </row>
    <row r="88" spans="1:3" x14ac:dyDescent="0.25">
      <c r="A88" t="s">
        <v>26</v>
      </c>
      <c r="B88">
        <v>6</v>
      </c>
      <c r="C88">
        <v>2</v>
      </c>
    </row>
    <row r="89" spans="1:3" x14ac:dyDescent="0.25">
      <c r="A89" t="s">
        <v>26</v>
      </c>
      <c r="B89">
        <v>7</v>
      </c>
      <c r="C89">
        <v>7</v>
      </c>
    </row>
    <row r="90" spans="1:3" x14ac:dyDescent="0.25">
      <c r="A90" t="s">
        <v>26</v>
      </c>
      <c r="B90">
        <v>8</v>
      </c>
      <c r="C90">
        <v>3</v>
      </c>
    </row>
    <row r="91" spans="1:3" x14ac:dyDescent="0.25">
      <c r="A91" t="s">
        <v>26</v>
      </c>
      <c r="B91">
        <v>9</v>
      </c>
      <c r="C91">
        <v>4</v>
      </c>
    </row>
    <row r="92" spans="1:3" x14ac:dyDescent="0.25">
      <c r="A92" t="s">
        <v>26</v>
      </c>
      <c r="B92">
        <v>10</v>
      </c>
      <c r="C92">
        <v>3</v>
      </c>
    </row>
    <row r="93" spans="1:3" x14ac:dyDescent="0.25">
      <c r="A93" t="s">
        <v>26</v>
      </c>
      <c r="B93">
        <v>12</v>
      </c>
      <c r="C93">
        <v>4</v>
      </c>
    </row>
    <row r="94" spans="1:3" x14ac:dyDescent="0.25">
      <c r="A94" t="s">
        <v>26</v>
      </c>
      <c r="B94">
        <v>15</v>
      </c>
      <c r="C94">
        <v>8</v>
      </c>
    </row>
    <row r="95" spans="1:3" x14ac:dyDescent="0.25">
      <c r="A95" t="s">
        <v>26</v>
      </c>
      <c r="B95">
        <v>18</v>
      </c>
      <c r="C95">
        <v>4</v>
      </c>
    </row>
    <row r="96" spans="1:3" x14ac:dyDescent="0.25">
      <c r="A96" t="s">
        <v>26</v>
      </c>
      <c r="B96">
        <v>20</v>
      </c>
      <c r="C96">
        <v>6</v>
      </c>
    </row>
    <row r="97" spans="1:3" x14ac:dyDescent="0.25">
      <c r="A97" t="s">
        <v>26</v>
      </c>
      <c r="B97">
        <v>25</v>
      </c>
      <c r="C97">
        <v>8</v>
      </c>
    </row>
    <row r="98" spans="1:3" x14ac:dyDescent="0.25">
      <c r="A98" t="s">
        <v>22</v>
      </c>
      <c r="B98">
        <v>0</v>
      </c>
      <c r="C98">
        <v>4</v>
      </c>
    </row>
    <row r="99" spans="1:3" x14ac:dyDescent="0.25">
      <c r="A99" t="s">
        <v>22</v>
      </c>
      <c r="B99">
        <v>1</v>
      </c>
      <c r="C99">
        <v>4</v>
      </c>
    </row>
    <row r="100" spans="1:3" x14ac:dyDescent="0.25">
      <c r="A100" t="s">
        <v>22</v>
      </c>
      <c r="B100">
        <v>2</v>
      </c>
      <c r="C100">
        <v>5</v>
      </c>
    </row>
    <row r="101" spans="1:3" x14ac:dyDescent="0.25">
      <c r="A101" t="s">
        <v>22</v>
      </c>
      <c r="B101">
        <v>3</v>
      </c>
      <c r="C101">
        <v>8</v>
      </c>
    </row>
    <row r="102" spans="1:3" x14ac:dyDescent="0.25">
      <c r="A102" t="s">
        <v>22</v>
      </c>
      <c r="B102">
        <v>4</v>
      </c>
      <c r="C102">
        <v>3</v>
      </c>
    </row>
    <row r="103" spans="1:3" x14ac:dyDescent="0.25">
      <c r="A103" t="s">
        <v>22</v>
      </c>
      <c r="B103">
        <v>5</v>
      </c>
      <c r="C103">
        <v>4</v>
      </c>
    </row>
    <row r="104" spans="1:3" x14ac:dyDescent="0.25">
      <c r="A104" t="s">
        <v>22</v>
      </c>
      <c r="B104">
        <v>6</v>
      </c>
      <c r="C104">
        <v>1</v>
      </c>
    </row>
    <row r="105" spans="1:3" x14ac:dyDescent="0.25">
      <c r="A105" t="s">
        <v>22</v>
      </c>
      <c r="B105">
        <v>7</v>
      </c>
      <c r="C105">
        <v>5</v>
      </c>
    </row>
    <row r="106" spans="1:3" x14ac:dyDescent="0.25">
      <c r="A106" t="s">
        <v>22</v>
      </c>
      <c r="B106">
        <v>8</v>
      </c>
      <c r="C106">
        <v>4</v>
      </c>
    </row>
    <row r="107" spans="1:3" x14ac:dyDescent="0.25">
      <c r="A107" t="s">
        <v>22</v>
      </c>
      <c r="B107">
        <v>9</v>
      </c>
      <c r="C107">
        <v>9</v>
      </c>
    </row>
    <row r="108" spans="1:3" x14ac:dyDescent="0.25">
      <c r="A108" t="s">
        <v>22</v>
      </c>
      <c r="B108">
        <v>10</v>
      </c>
      <c r="C108">
        <v>3</v>
      </c>
    </row>
    <row r="109" spans="1:3" x14ac:dyDescent="0.25">
      <c r="A109" t="s">
        <v>22</v>
      </c>
      <c r="B109">
        <v>12</v>
      </c>
      <c r="C109">
        <v>4</v>
      </c>
    </row>
    <row r="110" spans="1:3" x14ac:dyDescent="0.25">
      <c r="A110" t="s">
        <v>22</v>
      </c>
      <c r="B110">
        <v>15</v>
      </c>
      <c r="C110">
        <v>12</v>
      </c>
    </row>
    <row r="111" spans="1:3" x14ac:dyDescent="0.25">
      <c r="A111" t="s">
        <v>22</v>
      </c>
      <c r="B111">
        <v>18</v>
      </c>
      <c r="C111">
        <v>3</v>
      </c>
    </row>
    <row r="112" spans="1:3" x14ac:dyDescent="0.25">
      <c r="A112" t="s">
        <v>22</v>
      </c>
      <c r="B112">
        <v>20</v>
      </c>
      <c r="C112">
        <v>4</v>
      </c>
    </row>
    <row r="113" spans="1:3" x14ac:dyDescent="0.25">
      <c r="A113" t="s">
        <v>22</v>
      </c>
      <c r="B113">
        <v>25</v>
      </c>
      <c r="C113">
        <v>5</v>
      </c>
    </row>
    <row r="114" spans="1:3" x14ac:dyDescent="0.25">
      <c r="A114" t="s">
        <v>35</v>
      </c>
      <c r="B114">
        <v>0</v>
      </c>
      <c r="C114">
        <v>11</v>
      </c>
    </row>
    <row r="115" spans="1:3" x14ac:dyDescent="0.25">
      <c r="A115" t="s">
        <v>35</v>
      </c>
      <c r="B115">
        <v>1</v>
      </c>
      <c r="C115">
        <v>13</v>
      </c>
    </row>
    <row r="116" spans="1:3" x14ac:dyDescent="0.25">
      <c r="A116" t="s">
        <v>35</v>
      </c>
      <c r="B116">
        <v>2</v>
      </c>
      <c r="C116">
        <v>10</v>
      </c>
    </row>
    <row r="117" spans="1:3" x14ac:dyDescent="0.25">
      <c r="A117" t="s">
        <v>35</v>
      </c>
      <c r="B117">
        <v>3</v>
      </c>
      <c r="C117">
        <v>11</v>
      </c>
    </row>
    <row r="118" spans="1:3" x14ac:dyDescent="0.25">
      <c r="A118" t="s">
        <v>35</v>
      </c>
      <c r="B118">
        <v>4</v>
      </c>
      <c r="C118">
        <v>22</v>
      </c>
    </row>
    <row r="119" spans="1:3" x14ac:dyDescent="0.25">
      <c r="A119" t="s">
        <v>35</v>
      </c>
      <c r="B119">
        <v>5</v>
      </c>
      <c r="C119">
        <v>10</v>
      </c>
    </row>
    <row r="120" spans="1:3" x14ac:dyDescent="0.25">
      <c r="A120" t="s">
        <v>35</v>
      </c>
      <c r="B120">
        <v>6</v>
      </c>
      <c r="C120">
        <v>10</v>
      </c>
    </row>
    <row r="121" spans="1:3" x14ac:dyDescent="0.25">
      <c r="A121" t="s">
        <v>35</v>
      </c>
      <c r="B121">
        <v>7</v>
      </c>
      <c r="C121">
        <v>16</v>
      </c>
    </row>
    <row r="122" spans="1:3" x14ac:dyDescent="0.25">
      <c r="A122" t="s">
        <v>35</v>
      </c>
      <c r="B122">
        <v>8</v>
      </c>
      <c r="C122">
        <v>16</v>
      </c>
    </row>
    <row r="123" spans="1:3" x14ac:dyDescent="0.25">
      <c r="A123" t="s">
        <v>35</v>
      </c>
      <c r="B123">
        <v>9</v>
      </c>
      <c r="C123">
        <v>10</v>
      </c>
    </row>
    <row r="124" spans="1:3" x14ac:dyDescent="0.25">
      <c r="A124" t="s">
        <v>35</v>
      </c>
      <c r="B124">
        <v>10</v>
      </c>
      <c r="C124">
        <v>15</v>
      </c>
    </row>
    <row r="125" spans="1:3" x14ac:dyDescent="0.25">
      <c r="A125" t="s">
        <v>35</v>
      </c>
      <c r="B125">
        <v>12</v>
      </c>
      <c r="C125">
        <v>15</v>
      </c>
    </row>
    <row r="126" spans="1:3" x14ac:dyDescent="0.25">
      <c r="A126" t="s">
        <v>35</v>
      </c>
      <c r="B126">
        <v>15</v>
      </c>
      <c r="C126">
        <v>17</v>
      </c>
    </row>
    <row r="127" spans="1:3" x14ac:dyDescent="0.25">
      <c r="A127" t="s">
        <v>35</v>
      </c>
      <c r="B127">
        <v>18</v>
      </c>
      <c r="C127">
        <v>13</v>
      </c>
    </row>
    <row r="128" spans="1:3" x14ac:dyDescent="0.25">
      <c r="A128" t="s">
        <v>35</v>
      </c>
      <c r="B128">
        <v>20</v>
      </c>
      <c r="C128">
        <v>12</v>
      </c>
    </row>
    <row r="129" spans="1:3" x14ac:dyDescent="0.25">
      <c r="A129" t="s">
        <v>35</v>
      </c>
      <c r="B129">
        <v>25</v>
      </c>
      <c r="C129">
        <v>21</v>
      </c>
    </row>
    <row r="130" spans="1:3" x14ac:dyDescent="0.25">
      <c r="A130" t="s">
        <v>28</v>
      </c>
      <c r="B130">
        <v>0</v>
      </c>
      <c r="C130">
        <v>3</v>
      </c>
    </row>
    <row r="131" spans="1:3" x14ac:dyDescent="0.25">
      <c r="A131" t="s">
        <v>28</v>
      </c>
      <c r="B131">
        <v>1</v>
      </c>
      <c r="C131">
        <v>4</v>
      </c>
    </row>
    <row r="132" spans="1:3" x14ac:dyDescent="0.25">
      <c r="A132" t="s">
        <v>28</v>
      </c>
      <c r="B132">
        <v>2</v>
      </c>
      <c r="C132">
        <v>3</v>
      </c>
    </row>
    <row r="133" spans="1:3" x14ac:dyDescent="0.25">
      <c r="A133" t="s">
        <v>28</v>
      </c>
      <c r="B133">
        <v>3</v>
      </c>
      <c r="C133">
        <v>4</v>
      </c>
    </row>
    <row r="134" spans="1:3" x14ac:dyDescent="0.25">
      <c r="A134" t="s">
        <v>28</v>
      </c>
      <c r="B134">
        <v>4</v>
      </c>
      <c r="C134">
        <v>1</v>
      </c>
    </row>
    <row r="135" spans="1:3" x14ac:dyDescent="0.25">
      <c r="A135" t="s">
        <v>28</v>
      </c>
      <c r="B135">
        <v>5</v>
      </c>
      <c r="C135">
        <v>6</v>
      </c>
    </row>
    <row r="136" spans="1:3" x14ac:dyDescent="0.25">
      <c r="A136" t="s">
        <v>28</v>
      </c>
      <c r="B136">
        <v>6</v>
      </c>
      <c r="C136">
        <v>1</v>
      </c>
    </row>
    <row r="137" spans="1:3" x14ac:dyDescent="0.25">
      <c r="A137" t="s">
        <v>28</v>
      </c>
      <c r="B137">
        <v>7</v>
      </c>
      <c r="C137">
        <v>3</v>
      </c>
    </row>
    <row r="138" spans="1:3" x14ac:dyDescent="0.25">
      <c r="A138" t="s">
        <v>28</v>
      </c>
      <c r="B138">
        <v>8</v>
      </c>
      <c r="C138">
        <v>4</v>
      </c>
    </row>
    <row r="139" spans="1:3" x14ac:dyDescent="0.25">
      <c r="A139" t="s">
        <v>28</v>
      </c>
      <c r="B139">
        <v>9</v>
      </c>
      <c r="C139">
        <v>3</v>
      </c>
    </row>
    <row r="140" spans="1:3" x14ac:dyDescent="0.25">
      <c r="A140" t="s">
        <v>28</v>
      </c>
      <c r="B140">
        <v>10</v>
      </c>
      <c r="C140">
        <v>5</v>
      </c>
    </row>
    <row r="141" spans="1:3" x14ac:dyDescent="0.25">
      <c r="A141" t="s">
        <v>28</v>
      </c>
      <c r="B141">
        <v>12</v>
      </c>
      <c r="C141">
        <v>3</v>
      </c>
    </row>
    <row r="142" spans="1:3" x14ac:dyDescent="0.25">
      <c r="A142" t="s">
        <v>28</v>
      </c>
      <c r="B142">
        <v>15</v>
      </c>
      <c r="C142">
        <v>2</v>
      </c>
    </row>
    <row r="143" spans="1:3" x14ac:dyDescent="0.25">
      <c r="A143" t="s">
        <v>28</v>
      </c>
      <c r="B143">
        <v>18</v>
      </c>
      <c r="C143">
        <v>5</v>
      </c>
    </row>
    <row r="144" spans="1:3" x14ac:dyDescent="0.25">
      <c r="A144" t="s">
        <v>28</v>
      </c>
      <c r="B144">
        <v>20</v>
      </c>
      <c r="C144">
        <v>4</v>
      </c>
    </row>
    <row r="145" spans="1:3" x14ac:dyDescent="0.25">
      <c r="A145" t="s">
        <v>28</v>
      </c>
      <c r="B145">
        <v>25</v>
      </c>
      <c r="C145">
        <v>5</v>
      </c>
    </row>
    <row r="146" spans="1:3" x14ac:dyDescent="0.25">
      <c r="A146" t="s">
        <v>23</v>
      </c>
      <c r="B146">
        <v>0</v>
      </c>
      <c r="C146">
        <v>7</v>
      </c>
    </row>
    <row r="147" spans="1:3" x14ac:dyDescent="0.25">
      <c r="A147" t="s">
        <v>23</v>
      </c>
      <c r="B147">
        <v>1</v>
      </c>
      <c r="C147">
        <v>3</v>
      </c>
    </row>
    <row r="148" spans="1:3" x14ac:dyDescent="0.25">
      <c r="A148" t="s">
        <v>23</v>
      </c>
      <c r="B148">
        <v>2</v>
      </c>
      <c r="C148">
        <v>1</v>
      </c>
    </row>
    <row r="149" spans="1:3" x14ac:dyDescent="0.25">
      <c r="A149" t="s">
        <v>23</v>
      </c>
      <c r="B149">
        <v>3</v>
      </c>
      <c r="C149">
        <v>2</v>
      </c>
    </row>
    <row r="150" spans="1:3" x14ac:dyDescent="0.25">
      <c r="A150" t="s">
        <v>23</v>
      </c>
      <c r="B150">
        <v>4</v>
      </c>
      <c r="C150">
        <v>7</v>
      </c>
    </row>
    <row r="151" spans="1:3" x14ac:dyDescent="0.25">
      <c r="A151" t="s">
        <v>23</v>
      </c>
      <c r="B151">
        <v>5</v>
      </c>
      <c r="C151">
        <v>4</v>
      </c>
    </row>
    <row r="152" spans="1:3" x14ac:dyDescent="0.25">
      <c r="A152" t="s">
        <v>23</v>
      </c>
      <c r="B152">
        <v>6</v>
      </c>
      <c r="C152">
        <v>4</v>
      </c>
    </row>
    <row r="153" spans="1:3" x14ac:dyDescent="0.25">
      <c r="A153" t="s">
        <v>23</v>
      </c>
      <c r="B153">
        <v>7</v>
      </c>
      <c r="C153">
        <v>4</v>
      </c>
    </row>
    <row r="154" spans="1:3" x14ac:dyDescent="0.25">
      <c r="A154" t="s">
        <v>23</v>
      </c>
      <c r="B154">
        <v>8</v>
      </c>
      <c r="C154">
        <v>1</v>
      </c>
    </row>
    <row r="155" spans="1:3" x14ac:dyDescent="0.25">
      <c r="A155" t="s">
        <v>23</v>
      </c>
      <c r="B155">
        <v>9</v>
      </c>
      <c r="C155">
        <v>5</v>
      </c>
    </row>
    <row r="156" spans="1:3" x14ac:dyDescent="0.25">
      <c r="A156" t="s">
        <v>23</v>
      </c>
      <c r="B156">
        <v>10</v>
      </c>
      <c r="C156">
        <v>3</v>
      </c>
    </row>
    <row r="157" spans="1:3" x14ac:dyDescent="0.25">
      <c r="A157" t="s">
        <v>23</v>
      </c>
      <c r="B157">
        <v>12</v>
      </c>
      <c r="C157">
        <v>7</v>
      </c>
    </row>
    <row r="158" spans="1:3" x14ac:dyDescent="0.25">
      <c r="A158" t="s">
        <v>23</v>
      </c>
      <c r="B158">
        <v>15</v>
      </c>
      <c r="C158">
        <v>4</v>
      </c>
    </row>
    <row r="159" spans="1:3" x14ac:dyDescent="0.25">
      <c r="A159" t="s">
        <v>23</v>
      </c>
      <c r="B159">
        <v>18</v>
      </c>
      <c r="C159">
        <v>2</v>
      </c>
    </row>
    <row r="160" spans="1:3" x14ac:dyDescent="0.25">
      <c r="A160" t="s">
        <v>23</v>
      </c>
      <c r="B160">
        <v>20</v>
      </c>
      <c r="C160">
        <v>8</v>
      </c>
    </row>
    <row r="161" spans="1:3" x14ac:dyDescent="0.25">
      <c r="A161" t="s">
        <v>23</v>
      </c>
      <c r="B161">
        <v>25</v>
      </c>
      <c r="C161">
        <v>1</v>
      </c>
    </row>
    <row r="162" spans="1:3" x14ac:dyDescent="0.25">
      <c r="A162" t="s">
        <v>33</v>
      </c>
      <c r="B162">
        <v>0</v>
      </c>
      <c r="C162">
        <v>4</v>
      </c>
    </row>
    <row r="163" spans="1:3" x14ac:dyDescent="0.25">
      <c r="A163" t="s">
        <v>33</v>
      </c>
      <c r="B163">
        <v>1</v>
      </c>
      <c r="C163">
        <v>2</v>
      </c>
    </row>
    <row r="164" spans="1:3" x14ac:dyDescent="0.25">
      <c r="A164" t="s">
        <v>33</v>
      </c>
      <c r="B164">
        <v>2</v>
      </c>
      <c r="C164">
        <v>2</v>
      </c>
    </row>
    <row r="165" spans="1:3" x14ac:dyDescent="0.25">
      <c r="A165" t="s">
        <v>33</v>
      </c>
      <c r="B165">
        <v>3</v>
      </c>
      <c r="C165">
        <v>4</v>
      </c>
    </row>
    <row r="166" spans="1:3" x14ac:dyDescent="0.25">
      <c r="A166" t="s">
        <v>33</v>
      </c>
      <c r="B166">
        <v>4</v>
      </c>
      <c r="C166">
        <v>5</v>
      </c>
    </row>
    <row r="167" spans="1:3" x14ac:dyDescent="0.25">
      <c r="A167" t="s">
        <v>33</v>
      </c>
      <c r="B167">
        <v>5</v>
      </c>
      <c r="C167">
        <v>3</v>
      </c>
    </row>
    <row r="168" spans="1:3" x14ac:dyDescent="0.25">
      <c r="A168" t="s">
        <v>33</v>
      </c>
      <c r="B168">
        <v>6</v>
      </c>
      <c r="C168">
        <v>4</v>
      </c>
    </row>
    <row r="169" spans="1:3" x14ac:dyDescent="0.25">
      <c r="A169" t="s">
        <v>33</v>
      </c>
      <c r="B169">
        <v>7</v>
      </c>
      <c r="C169">
        <v>4</v>
      </c>
    </row>
    <row r="170" spans="1:3" x14ac:dyDescent="0.25">
      <c r="A170" t="s">
        <v>33</v>
      </c>
      <c r="B170">
        <v>8</v>
      </c>
      <c r="C170">
        <v>3</v>
      </c>
    </row>
    <row r="171" spans="1:3" x14ac:dyDescent="0.25">
      <c r="A171" t="s">
        <v>33</v>
      </c>
      <c r="B171">
        <v>9</v>
      </c>
      <c r="C171">
        <v>1</v>
      </c>
    </row>
    <row r="172" spans="1:3" x14ac:dyDescent="0.25">
      <c r="A172" t="s">
        <v>33</v>
      </c>
      <c r="B172">
        <v>10</v>
      </c>
      <c r="C172">
        <v>10</v>
      </c>
    </row>
    <row r="173" spans="1:3" x14ac:dyDescent="0.25">
      <c r="A173" t="s">
        <v>33</v>
      </c>
      <c r="B173">
        <v>12</v>
      </c>
      <c r="C173">
        <v>2</v>
      </c>
    </row>
    <row r="174" spans="1:3" x14ac:dyDescent="0.25">
      <c r="A174" t="s">
        <v>33</v>
      </c>
      <c r="B174">
        <v>15</v>
      </c>
      <c r="C174">
        <v>5</v>
      </c>
    </row>
    <row r="175" spans="1:3" x14ac:dyDescent="0.25">
      <c r="A175" t="s">
        <v>33</v>
      </c>
      <c r="B175">
        <v>18</v>
      </c>
      <c r="C175">
        <v>3</v>
      </c>
    </row>
    <row r="176" spans="1:3" x14ac:dyDescent="0.25">
      <c r="A176" t="s">
        <v>33</v>
      </c>
      <c r="B176">
        <v>20</v>
      </c>
      <c r="C176">
        <v>5</v>
      </c>
    </row>
    <row r="177" spans="1:3" x14ac:dyDescent="0.25">
      <c r="A177" t="s">
        <v>33</v>
      </c>
      <c r="B177">
        <v>25</v>
      </c>
      <c r="C177">
        <v>3</v>
      </c>
    </row>
    <row r="178" spans="1:3" x14ac:dyDescent="0.25">
      <c r="A178" t="s">
        <v>451</v>
      </c>
      <c r="B178">
        <v>0</v>
      </c>
      <c r="C178">
        <v>30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9FBEE-8FBF-4F3C-BF0E-E14FF28A029B}">
  <dimension ref="A1:C46"/>
  <sheetViews>
    <sheetView workbookViewId="0"/>
  </sheetViews>
  <sheetFormatPr defaultRowHeight="13.8" x14ac:dyDescent="0.25"/>
  <cols>
    <col min="1" max="1" width="22.19921875" bestFit="1" customWidth="1"/>
    <col min="2" max="2" width="15.5" bestFit="1" customWidth="1"/>
    <col min="3" max="3" width="16.8984375" bestFit="1" customWidth="1"/>
  </cols>
  <sheetData>
    <row r="1" spans="1:3" x14ac:dyDescent="0.25">
      <c r="A1" t="s">
        <v>466</v>
      </c>
      <c r="B1" t="s">
        <v>15</v>
      </c>
      <c r="C1" t="s">
        <v>477</v>
      </c>
    </row>
    <row r="2" spans="1:3" x14ac:dyDescent="0.25">
      <c r="A2" t="s">
        <v>31</v>
      </c>
      <c r="B2" t="s">
        <v>155</v>
      </c>
      <c r="C2">
        <v>66442.03</v>
      </c>
    </row>
    <row r="3" spans="1:3" x14ac:dyDescent="0.25">
      <c r="A3" t="s">
        <v>31</v>
      </c>
      <c r="B3" t="s">
        <v>157</v>
      </c>
      <c r="C3">
        <v>67914.399999999994</v>
      </c>
    </row>
    <row r="4" spans="1:3" x14ac:dyDescent="0.25">
      <c r="A4" t="s">
        <v>31</v>
      </c>
      <c r="B4" t="s">
        <v>154</v>
      </c>
      <c r="C4">
        <v>59814.23</v>
      </c>
    </row>
    <row r="5" spans="1:3" x14ac:dyDescent="0.25">
      <c r="A5" t="s">
        <v>31</v>
      </c>
      <c r="B5" t="s">
        <v>156</v>
      </c>
      <c r="C5">
        <v>57403.57</v>
      </c>
    </row>
    <row r="6" spans="1:3" x14ac:dyDescent="0.25">
      <c r="A6" t="s">
        <v>34</v>
      </c>
      <c r="B6" t="s">
        <v>155</v>
      </c>
      <c r="C6">
        <v>73137.350000000006</v>
      </c>
    </row>
    <row r="7" spans="1:3" x14ac:dyDescent="0.25">
      <c r="A7" t="s">
        <v>34</v>
      </c>
      <c r="B7" t="s">
        <v>157</v>
      </c>
      <c r="C7">
        <v>47559.85</v>
      </c>
    </row>
    <row r="8" spans="1:3" x14ac:dyDescent="0.25">
      <c r="A8" t="s">
        <v>34</v>
      </c>
      <c r="B8" t="s">
        <v>154</v>
      </c>
      <c r="C8">
        <v>76175.41</v>
      </c>
    </row>
    <row r="9" spans="1:3" x14ac:dyDescent="0.25">
      <c r="A9" t="s">
        <v>34</v>
      </c>
      <c r="B9" t="s">
        <v>156</v>
      </c>
      <c r="C9">
        <v>47286.22</v>
      </c>
    </row>
    <row r="10" spans="1:3" x14ac:dyDescent="0.25">
      <c r="A10" t="s">
        <v>29</v>
      </c>
      <c r="B10" t="s">
        <v>155</v>
      </c>
      <c r="C10">
        <v>59800.84</v>
      </c>
    </row>
    <row r="11" spans="1:3" x14ac:dyDescent="0.25">
      <c r="A11" t="s">
        <v>29</v>
      </c>
      <c r="B11" t="s">
        <v>157</v>
      </c>
      <c r="C11">
        <v>44231.66</v>
      </c>
    </row>
    <row r="12" spans="1:3" x14ac:dyDescent="0.25">
      <c r="A12" t="s">
        <v>29</v>
      </c>
      <c r="B12" t="s">
        <v>154</v>
      </c>
      <c r="C12">
        <v>56627.82</v>
      </c>
    </row>
    <row r="13" spans="1:3" x14ac:dyDescent="0.25">
      <c r="A13" t="s">
        <v>29</v>
      </c>
      <c r="B13" t="s">
        <v>156</v>
      </c>
      <c r="C13">
        <v>65019.29</v>
      </c>
    </row>
    <row r="14" spans="1:3" x14ac:dyDescent="0.25">
      <c r="A14" t="s">
        <v>24</v>
      </c>
      <c r="B14" t="s">
        <v>155</v>
      </c>
      <c r="C14">
        <v>78243.3</v>
      </c>
    </row>
    <row r="15" spans="1:3" x14ac:dyDescent="0.25">
      <c r="A15" t="s">
        <v>24</v>
      </c>
      <c r="B15" t="s">
        <v>157</v>
      </c>
      <c r="C15">
        <v>52304.32</v>
      </c>
    </row>
    <row r="16" spans="1:3" x14ac:dyDescent="0.25">
      <c r="A16" t="s">
        <v>24</v>
      </c>
      <c r="B16" t="s">
        <v>154</v>
      </c>
      <c r="C16">
        <v>53893.78</v>
      </c>
    </row>
    <row r="17" spans="1:3" x14ac:dyDescent="0.25">
      <c r="A17" t="s">
        <v>24</v>
      </c>
      <c r="B17" t="s">
        <v>156</v>
      </c>
      <c r="C17">
        <v>58862.67</v>
      </c>
    </row>
    <row r="18" spans="1:3" x14ac:dyDescent="0.25">
      <c r="A18" t="s">
        <v>32</v>
      </c>
      <c r="B18" t="s">
        <v>155</v>
      </c>
      <c r="C18">
        <v>58078.879999999997</v>
      </c>
    </row>
    <row r="19" spans="1:3" x14ac:dyDescent="0.25">
      <c r="A19" t="s">
        <v>32</v>
      </c>
      <c r="B19" t="s">
        <v>157</v>
      </c>
      <c r="C19">
        <v>54094.8</v>
      </c>
    </row>
    <row r="20" spans="1:3" x14ac:dyDescent="0.25">
      <c r="A20" t="s">
        <v>32</v>
      </c>
      <c r="B20" t="s">
        <v>154</v>
      </c>
      <c r="C20">
        <v>60617.08</v>
      </c>
    </row>
    <row r="21" spans="1:3" x14ac:dyDescent="0.25">
      <c r="A21" t="s">
        <v>32</v>
      </c>
      <c r="B21" t="s">
        <v>156</v>
      </c>
      <c r="C21">
        <v>81477.960000000006</v>
      </c>
    </row>
    <row r="22" spans="1:3" x14ac:dyDescent="0.25">
      <c r="A22" t="s">
        <v>26</v>
      </c>
      <c r="B22" t="s">
        <v>155</v>
      </c>
      <c r="C22">
        <v>58308.480000000003</v>
      </c>
    </row>
    <row r="23" spans="1:3" x14ac:dyDescent="0.25">
      <c r="A23" t="s">
        <v>26</v>
      </c>
      <c r="B23" t="s">
        <v>157</v>
      </c>
      <c r="C23">
        <v>57159.29</v>
      </c>
    </row>
    <row r="24" spans="1:3" x14ac:dyDescent="0.25">
      <c r="A24" t="s">
        <v>26</v>
      </c>
      <c r="B24" t="s">
        <v>154</v>
      </c>
      <c r="C24">
        <v>64365.59</v>
      </c>
    </row>
    <row r="25" spans="1:3" x14ac:dyDescent="0.25">
      <c r="A25" t="s">
        <v>26</v>
      </c>
      <c r="B25" t="s">
        <v>156</v>
      </c>
      <c r="C25">
        <v>39802.089999999997</v>
      </c>
    </row>
    <row r="26" spans="1:3" x14ac:dyDescent="0.25">
      <c r="A26" t="s">
        <v>22</v>
      </c>
      <c r="B26" t="s">
        <v>155</v>
      </c>
      <c r="C26">
        <v>61957.24</v>
      </c>
    </row>
    <row r="27" spans="1:3" x14ac:dyDescent="0.25">
      <c r="A27" t="s">
        <v>22</v>
      </c>
      <c r="B27" t="s">
        <v>157</v>
      </c>
      <c r="C27">
        <v>72027.710000000006</v>
      </c>
    </row>
    <row r="28" spans="1:3" x14ac:dyDescent="0.25">
      <c r="A28" t="s">
        <v>22</v>
      </c>
      <c r="B28" t="s">
        <v>154</v>
      </c>
      <c r="C28">
        <v>48652.01</v>
      </c>
    </row>
    <row r="29" spans="1:3" x14ac:dyDescent="0.25">
      <c r="A29" t="s">
        <v>22</v>
      </c>
      <c r="B29" t="s">
        <v>156</v>
      </c>
      <c r="C29">
        <v>68917.78</v>
      </c>
    </row>
    <row r="30" spans="1:3" x14ac:dyDescent="0.25">
      <c r="A30" t="s">
        <v>35</v>
      </c>
      <c r="B30" t="s">
        <v>155</v>
      </c>
      <c r="C30">
        <v>53885.38</v>
      </c>
    </row>
    <row r="31" spans="1:3" x14ac:dyDescent="0.25">
      <c r="A31" t="s">
        <v>35</v>
      </c>
      <c r="B31" t="s">
        <v>157</v>
      </c>
      <c r="C31">
        <v>52290.07</v>
      </c>
    </row>
    <row r="32" spans="1:3" x14ac:dyDescent="0.25">
      <c r="A32" t="s">
        <v>35</v>
      </c>
      <c r="B32" t="s">
        <v>154</v>
      </c>
      <c r="C32">
        <v>60815.38</v>
      </c>
    </row>
    <row r="33" spans="1:3" x14ac:dyDescent="0.25">
      <c r="A33" t="s">
        <v>35</v>
      </c>
      <c r="B33" t="s">
        <v>156</v>
      </c>
      <c r="C33">
        <v>57685.120000000003</v>
      </c>
    </row>
    <row r="34" spans="1:3" x14ac:dyDescent="0.25">
      <c r="A34" t="s">
        <v>28</v>
      </c>
      <c r="B34" t="s">
        <v>155</v>
      </c>
      <c r="C34">
        <v>53790.15</v>
      </c>
    </row>
    <row r="35" spans="1:3" x14ac:dyDescent="0.25">
      <c r="A35" t="s">
        <v>28</v>
      </c>
      <c r="B35" t="s">
        <v>157</v>
      </c>
      <c r="C35">
        <v>49532.02</v>
      </c>
    </row>
    <row r="36" spans="1:3" x14ac:dyDescent="0.25">
      <c r="A36" t="s">
        <v>28</v>
      </c>
      <c r="B36" t="s">
        <v>154</v>
      </c>
      <c r="C36">
        <v>52839.19</v>
      </c>
    </row>
    <row r="37" spans="1:3" x14ac:dyDescent="0.25">
      <c r="A37" t="s">
        <v>28</v>
      </c>
      <c r="B37" t="s">
        <v>156</v>
      </c>
      <c r="C37">
        <v>58504.36</v>
      </c>
    </row>
    <row r="38" spans="1:3" x14ac:dyDescent="0.25">
      <c r="A38" t="s">
        <v>23</v>
      </c>
      <c r="B38" t="s">
        <v>155</v>
      </c>
      <c r="C38">
        <v>75169.759999999995</v>
      </c>
    </row>
    <row r="39" spans="1:3" x14ac:dyDescent="0.25">
      <c r="A39" t="s">
        <v>23</v>
      </c>
      <c r="B39" t="s">
        <v>157</v>
      </c>
      <c r="C39">
        <v>50924.09</v>
      </c>
    </row>
    <row r="40" spans="1:3" x14ac:dyDescent="0.25">
      <c r="A40" t="s">
        <v>23</v>
      </c>
      <c r="B40" t="s">
        <v>154</v>
      </c>
      <c r="C40">
        <v>53307.61</v>
      </c>
    </row>
    <row r="41" spans="1:3" x14ac:dyDescent="0.25">
      <c r="A41" t="s">
        <v>23</v>
      </c>
      <c r="B41" t="s">
        <v>156</v>
      </c>
      <c r="C41">
        <v>65049.75</v>
      </c>
    </row>
    <row r="42" spans="1:3" x14ac:dyDescent="0.25">
      <c r="A42" t="s">
        <v>33</v>
      </c>
      <c r="B42" t="s">
        <v>155</v>
      </c>
      <c r="C42">
        <v>70679.58</v>
      </c>
    </row>
    <row r="43" spans="1:3" x14ac:dyDescent="0.25">
      <c r="A43" t="s">
        <v>33</v>
      </c>
      <c r="B43" t="s">
        <v>157</v>
      </c>
      <c r="C43">
        <v>67950.850000000006</v>
      </c>
    </row>
    <row r="44" spans="1:3" x14ac:dyDescent="0.25">
      <c r="A44" t="s">
        <v>33</v>
      </c>
      <c r="B44" t="s">
        <v>154</v>
      </c>
      <c r="C44">
        <v>64979.1</v>
      </c>
    </row>
    <row r="45" spans="1:3" x14ac:dyDescent="0.25">
      <c r="A45" t="s">
        <v>33</v>
      </c>
      <c r="B45" t="s">
        <v>156</v>
      </c>
      <c r="C45">
        <v>57348.07</v>
      </c>
    </row>
    <row r="46" spans="1:3" x14ac:dyDescent="0.25">
      <c r="A46" t="s">
        <v>451</v>
      </c>
      <c r="B46" t="s">
        <v>452</v>
      </c>
      <c r="C46">
        <v>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E4D93-A432-4283-8236-E3DF408B338A}">
  <dimension ref="A1:D255"/>
  <sheetViews>
    <sheetView workbookViewId="0"/>
  </sheetViews>
  <sheetFormatPr defaultRowHeight="13.8" x14ac:dyDescent="0.25"/>
  <cols>
    <col min="1" max="1" width="22.19921875" bestFit="1" customWidth="1"/>
    <col min="2" max="2" width="15.5" bestFit="1" customWidth="1"/>
    <col min="3" max="4" width="16.8984375" bestFit="1" customWidth="1"/>
  </cols>
  <sheetData>
    <row r="1" spans="1:4" x14ac:dyDescent="0.25">
      <c r="A1" t="s">
        <v>466</v>
      </c>
      <c r="B1" t="s">
        <v>473</v>
      </c>
      <c r="C1" t="s">
        <v>469</v>
      </c>
      <c r="D1" t="s">
        <v>477</v>
      </c>
    </row>
    <row r="2" spans="1:4" x14ac:dyDescent="0.25">
      <c r="A2" t="s">
        <v>22</v>
      </c>
      <c r="B2" t="s">
        <v>154</v>
      </c>
      <c r="C2" t="s">
        <v>148</v>
      </c>
      <c r="D2">
        <v>54277.69</v>
      </c>
    </row>
    <row r="3" spans="1:4" x14ac:dyDescent="0.25">
      <c r="A3" t="s">
        <v>23</v>
      </c>
      <c r="B3" t="s">
        <v>155</v>
      </c>
      <c r="C3" t="s">
        <v>149</v>
      </c>
      <c r="D3">
        <v>67644.759999999995</v>
      </c>
    </row>
    <row r="4" spans="1:4" x14ac:dyDescent="0.25">
      <c r="A4" t="s">
        <v>24</v>
      </c>
      <c r="B4" t="s">
        <v>156</v>
      </c>
      <c r="C4" t="s">
        <v>150</v>
      </c>
      <c r="D4">
        <v>63671.26</v>
      </c>
    </row>
    <row r="5" spans="1:4" x14ac:dyDescent="0.25">
      <c r="A5" t="s">
        <v>35</v>
      </c>
      <c r="B5" t="s">
        <v>155</v>
      </c>
      <c r="C5" t="s">
        <v>149</v>
      </c>
      <c r="D5">
        <v>38883.93</v>
      </c>
    </row>
    <row r="6" spans="1:4" x14ac:dyDescent="0.25">
      <c r="A6" t="s">
        <v>26</v>
      </c>
      <c r="B6" t="s">
        <v>154</v>
      </c>
      <c r="C6" t="s">
        <v>151</v>
      </c>
      <c r="D6">
        <v>63111.97</v>
      </c>
    </row>
    <row r="7" spans="1:4" x14ac:dyDescent="0.25">
      <c r="A7" t="s">
        <v>35</v>
      </c>
      <c r="B7" t="s">
        <v>155</v>
      </c>
      <c r="C7" t="s">
        <v>151</v>
      </c>
      <c r="D7">
        <v>49038.91</v>
      </c>
    </row>
    <row r="8" spans="1:4" x14ac:dyDescent="0.25">
      <c r="A8" t="s">
        <v>28</v>
      </c>
      <c r="B8" t="s">
        <v>155</v>
      </c>
      <c r="C8" t="s">
        <v>152</v>
      </c>
      <c r="D8">
        <v>32715.05</v>
      </c>
    </row>
    <row r="9" spans="1:4" x14ac:dyDescent="0.25">
      <c r="A9" t="s">
        <v>29</v>
      </c>
      <c r="B9" t="s">
        <v>157</v>
      </c>
      <c r="C9" t="s">
        <v>149</v>
      </c>
      <c r="D9">
        <v>43922.559999999998</v>
      </c>
    </row>
    <row r="10" spans="1:4" x14ac:dyDescent="0.25">
      <c r="A10" t="s">
        <v>451</v>
      </c>
      <c r="B10" t="s">
        <v>452</v>
      </c>
      <c r="C10" t="s">
        <v>150</v>
      </c>
      <c r="D10">
        <v>0</v>
      </c>
    </row>
    <row r="11" spans="1:4" x14ac:dyDescent="0.25">
      <c r="A11" t="s">
        <v>451</v>
      </c>
      <c r="B11" t="s">
        <v>452</v>
      </c>
      <c r="C11" t="s">
        <v>149</v>
      </c>
      <c r="D11">
        <v>0</v>
      </c>
    </row>
    <row r="12" spans="1:4" x14ac:dyDescent="0.25">
      <c r="A12" t="s">
        <v>29</v>
      </c>
      <c r="B12" t="s">
        <v>154</v>
      </c>
      <c r="C12" t="s">
        <v>148</v>
      </c>
      <c r="D12">
        <v>38466.629999999997</v>
      </c>
    </row>
    <row r="13" spans="1:4" x14ac:dyDescent="0.25">
      <c r="A13" t="s">
        <v>23</v>
      </c>
      <c r="B13" t="s">
        <v>155</v>
      </c>
      <c r="C13" t="s">
        <v>152</v>
      </c>
      <c r="D13">
        <v>56485.98</v>
      </c>
    </row>
    <row r="14" spans="1:4" x14ac:dyDescent="0.25">
      <c r="A14" t="s">
        <v>35</v>
      </c>
      <c r="B14" t="s">
        <v>155</v>
      </c>
      <c r="C14" t="s">
        <v>148</v>
      </c>
      <c r="D14">
        <v>54194.51</v>
      </c>
    </row>
    <row r="15" spans="1:4" x14ac:dyDescent="0.25">
      <c r="A15" t="s">
        <v>31</v>
      </c>
      <c r="B15" t="s">
        <v>157</v>
      </c>
      <c r="C15" t="s">
        <v>148</v>
      </c>
      <c r="D15">
        <v>88136.74</v>
      </c>
    </row>
    <row r="16" spans="1:4" x14ac:dyDescent="0.25">
      <c r="A16" t="s">
        <v>31</v>
      </c>
      <c r="B16" t="s">
        <v>156</v>
      </c>
      <c r="C16" t="s">
        <v>151</v>
      </c>
      <c r="D16">
        <v>55729.36</v>
      </c>
    </row>
    <row r="17" spans="1:4" x14ac:dyDescent="0.25">
      <c r="A17" t="s">
        <v>35</v>
      </c>
      <c r="B17" t="s">
        <v>157</v>
      </c>
      <c r="C17" t="s">
        <v>149</v>
      </c>
      <c r="D17">
        <v>62684.51</v>
      </c>
    </row>
    <row r="18" spans="1:4" x14ac:dyDescent="0.25">
      <c r="A18" t="s">
        <v>23</v>
      </c>
      <c r="B18" t="s">
        <v>155</v>
      </c>
      <c r="C18" t="s">
        <v>151</v>
      </c>
      <c r="D18">
        <v>80864.97</v>
      </c>
    </row>
    <row r="19" spans="1:4" x14ac:dyDescent="0.25">
      <c r="A19" t="s">
        <v>29</v>
      </c>
      <c r="B19" t="s">
        <v>154</v>
      </c>
      <c r="C19" t="s">
        <v>152</v>
      </c>
      <c r="D19">
        <v>57088.72</v>
      </c>
    </row>
    <row r="20" spans="1:4" x14ac:dyDescent="0.25">
      <c r="A20" t="s">
        <v>28</v>
      </c>
      <c r="B20" t="s">
        <v>157</v>
      </c>
      <c r="C20" t="s">
        <v>153</v>
      </c>
      <c r="D20">
        <v>58048.66</v>
      </c>
    </row>
    <row r="21" spans="1:4" x14ac:dyDescent="0.25">
      <c r="A21" t="s">
        <v>32</v>
      </c>
      <c r="B21" t="s">
        <v>155</v>
      </c>
      <c r="C21" t="s">
        <v>148</v>
      </c>
      <c r="D21">
        <v>57790.82</v>
      </c>
    </row>
    <row r="22" spans="1:4" x14ac:dyDescent="0.25">
      <c r="A22" t="s">
        <v>29</v>
      </c>
      <c r="B22" t="s">
        <v>154</v>
      </c>
      <c r="C22" t="s">
        <v>149</v>
      </c>
      <c r="D22">
        <v>54255.78</v>
      </c>
    </row>
    <row r="23" spans="1:4" x14ac:dyDescent="0.25">
      <c r="A23" t="s">
        <v>29</v>
      </c>
      <c r="B23" t="s">
        <v>157</v>
      </c>
      <c r="C23" t="s">
        <v>148</v>
      </c>
      <c r="D23">
        <v>39089.69</v>
      </c>
    </row>
    <row r="24" spans="1:4" x14ac:dyDescent="0.25">
      <c r="A24" t="s">
        <v>32</v>
      </c>
      <c r="B24" t="s">
        <v>157</v>
      </c>
      <c r="C24" t="s">
        <v>151</v>
      </c>
      <c r="D24">
        <v>92900.08</v>
      </c>
    </row>
    <row r="25" spans="1:4" x14ac:dyDescent="0.25">
      <c r="A25" t="s">
        <v>32</v>
      </c>
      <c r="B25" t="s">
        <v>157</v>
      </c>
      <c r="C25" t="s">
        <v>148</v>
      </c>
      <c r="D25">
        <v>63625.24</v>
      </c>
    </row>
    <row r="26" spans="1:4" x14ac:dyDescent="0.25">
      <c r="A26" t="s">
        <v>33</v>
      </c>
      <c r="B26" t="s">
        <v>157</v>
      </c>
      <c r="C26" t="s">
        <v>151</v>
      </c>
      <c r="D26">
        <v>103131.64</v>
      </c>
    </row>
    <row r="27" spans="1:4" x14ac:dyDescent="0.25">
      <c r="A27" t="s">
        <v>28</v>
      </c>
      <c r="B27" t="s">
        <v>157</v>
      </c>
      <c r="C27" t="s">
        <v>152</v>
      </c>
      <c r="D27">
        <v>45070.62</v>
      </c>
    </row>
    <row r="28" spans="1:4" x14ac:dyDescent="0.25">
      <c r="A28" t="s">
        <v>33</v>
      </c>
      <c r="B28" t="s">
        <v>154</v>
      </c>
      <c r="C28" t="s">
        <v>149</v>
      </c>
      <c r="D28">
        <v>90901.25</v>
      </c>
    </row>
    <row r="29" spans="1:4" x14ac:dyDescent="0.25">
      <c r="A29" t="s">
        <v>32</v>
      </c>
      <c r="B29" t="s">
        <v>156</v>
      </c>
      <c r="C29" t="s">
        <v>149</v>
      </c>
      <c r="D29">
        <v>57929.07</v>
      </c>
    </row>
    <row r="30" spans="1:4" x14ac:dyDescent="0.25">
      <c r="A30" t="s">
        <v>29</v>
      </c>
      <c r="B30" t="s">
        <v>155</v>
      </c>
      <c r="C30" t="s">
        <v>149</v>
      </c>
      <c r="D30">
        <v>84171.81</v>
      </c>
    </row>
    <row r="31" spans="1:4" x14ac:dyDescent="0.25">
      <c r="A31" t="s">
        <v>24</v>
      </c>
      <c r="B31" t="s">
        <v>155</v>
      </c>
      <c r="C31" t="s">
        <v>153</v>
      </c>
      <c r="D31">
        <v>96836.51</v>
      </c>
    </row>
    <row r="32" spans="1:4" x14ac:dyDescent="0.25">
      <c r="A32" t="s">
        <v>33</v>
      </c>
      <c r="B32" t="s">
        <v>155</v>
      </c>
      <c r="C32" t="s">
        <v>150</v>
      </c>
      <c r="D32">
        <v>100636.8</v>
      </c>
    </row>
    <row r="33" spans="1:4" x14ac:dyDescent="0.25">
      <c r="A33" t="s">
        <v>32</v>
      </c>
      <c r="B33" t="s">
        <v>154</v>
      </c>
      <c r="C33" t="s">
        <v>153</v>
      </c>
      <c r="D33">
        <v>37738.44</v>
      </c>
    </row>
    <row r="34" spans="1:4" x14ac:dyDescent="0.25">
      <c r="A34" t="s">
        <v>451</v>
      </c>
      <c r="B34" t="s">
        <v>452</v>
      </c>
      <c r="C34" t="s">
        <v>148</v>
      </c>
      <c r="D34">
        <v>0</v>
      </c>
    </row>
    <row r="35" spans="1:4" x14ac:dyDescent="0.25">
      <c r="A35" t="s">
        <v>32</v>
      </c>
      <c r="B35" t="s">
        <v>157</v>
      </c>
      <c r="C35" t="s">
        <v>150</v>
      </c>
      <c r="D35">
        <v>13526.23</v>
      </c>
    </row>
    <row r="36" spans="1:4" x14ac:dyDescent="0.25">
      <c r="A36" t="s">
        <v>24</v>
      </c>
      <c r="B36" t="s">
        <v>157</v>
      </c>
      <c r="C36" t="s">
        <v>149</v>
      </c>
      <c r="D36">
        <v>42427.37</v>
      </c>
    </row>
    <row r="37" spans="1:4" x14ac:dyDescent="0.25">
      <c r="A37" t="s">
        <v>33</v>
      </c>
      <c r="B37" t="s">
        <v>154</v>
      </c>
      <c r="C37" t="s">
        <v>150</v>
      </c>
      <c r="D37">
        <v>64566.21</v>
      </c>
    </row>
    <row r="38" spans="1:4" x14ac:dyDescent="0.25">
      <c r="A38" t="s">
        <v>34</v>
      </c>
      <c r="B38" t="s">
        <v>156</v>
      </c>
      <c r="C38" t="s">
        <v>153</v>
      </c>
      <c r="D38">
        <v>13716.76</v>
      </c>
    </row>
    <row r="39" spans="1:4" x14ac:dyDescent="0.25">
      <c r="A39" t="s">
        <v>23</v>
      </c>
      <c r="B39" t="s">
        <v>157</v>
      </c>
      <c r="C39" t="s">
        <v>150</v>
      </c>
      <c r="D39">
        <v>59206.75</v>
      </c>
    </row>
    <row r="40" spans="1:4" x14ac:dyDescent="0.25">
      <c r="A40" t="s">
        <v>34</v>
      </c>
      <c r="B40" t="s">
        <v>154</v>
      </c>
      <c r="C40" t="s">
        <v>153</v>
      </c>
      <c r="D40">
        <v>77096.899999999994</v>
      </c>
    </row>
    <row r="41" spans="1:4" x14ac:dyDescent="0.25">
      <c r="A41" t="s">
        <v>26</v>
      </c>
      <c r="B41" t="s">
        <v>156</v>
      </c>
      <c r="C41" t="s">
        <v>152</v>
      </c>
      <c r="D41">
        <v>29371.919999999998</v>
      </c>
    </row>
    <row r="42" spans="1:4" x14ac:dyDescent="0.25">
      <c r="A42" t="s">
        <v>23</v>
      </c>
      <c r="B42" t="s">
        <v>154</v>
      </c>
      <c r="C42" t="s">
        <v>149</v>
      </c>
      <c r="D42">
        <v>43049.8</v>
      </c>
    </row>
    <row r="43" spans="1:4" x14ac:dyDescent="0.25">
      <c r="A43" t="s">
        <v>34</v>
      </c>
      <c r="B43" t="s">
        <v>155</v>
      </c>
      <c r="C43" t="s">
        <v>151</v>
      </c>
      <c r="D43">
        <v>41333.120000000003</v>
      </c>
    </row>
    <row r="44" spans="1:4" x14ac:dyDescent="0.25">
      <c r="A44" t="s">
        <v>24</v>
      </c>
      <c r="B44" t="s">
        <v>154</v>
      </c>
      <c r="C44" t="s">
        <v>150</v>
      </c>
      <c r="D44">
        <v>63045.81</v>
      </c>
    </row>
    <row r="45" spans="1:4" x14ac:dyDescent="0.25">
      <c r="A45" t="s">
        <v>26</v>
      </c>
      <c r="B45" t="s">
        <v>156</v>
      </c>
      <c r="C45" t="s">
        <v>151</v>
      </c>
      <c r="D45">
        <v>37026.01</v>
      </c>
    </row>
    <row r="46" spans="1:4" x14ac:dyDescent="0.25">
      <c r="A46" t="s">
        <v>451</v>
      </c>
      <c r="B46" t="s">
        <v>452</v>
      </c>
      <c r="C46" t="s">
        <v>152</v>
      </c>
      <c r="D46">
        <v>0</v>
      </c>
    </row>
    <row r="47" spans="1:4" x14ac:dyDescent="0.25">
      <c r="A47" t="s">
        <v>35</v>
      </c>
      <c r="B47" t="s">
        <v>154</v>
      </c>
      <c r="C47" t="s">
        <v>151</v>
      </c>
      <c r="D47">
        <v>59564.52</v>
      </c>
    </row>
    <row r="48" spans="1:4" x14ac:dyDescent="0.25">
      <c r="A48" t="s">
        <v>22</v>
      </c>
      <c r="B48" t="s">
        <v>156</v>
      </c>
      <c r="C48" t="s">
        <v>148</v>
      </c>
      <c r="D48">
        <v>67961.78</v>
      </c>
    </row>
    <row r="49" spans="1:4" x14ac:dyDescent="0.25">
      <c r="A49" t="s">
        <v>35</v>
      </c>
      <c r="B49" t="s">
        <v>154</v>
      </c>
      <c r="C49" t="s">
        <v>152</v>
      </c>
      <c r="D49">
        <v>66136.33</v>
      </c>
    </row>
    <row r="50" spans="1:4" x14ac:dyDescent="0.25">
      <c r="A50" t="s">
        <v>35</v>
      </c>
      <c r="B50" t="s">
        <v>156</v>
      </c>
      <c r="C50" t="s">
        <v>152</v>
      </c>
      <c r="D50">
        <v>49244.6</v>
      </c>
    </row>
    <row r="51" spans="1:4" x14ac:dyDescent="0.25">
      <c r="A51" t="s">
        <v>28</v>
      </c>
      <c r="B51" t="s">
        <v>156</v>
      </c>
      <c r="C51" t="s">
        <v>148</v>
      </c>
      <c r="D51">
        <v>64740.4</v>
      </c>
    </row>
    <row r="52" spans="1:4" x14ac:dyDescent="0.25">
      <c r="A52" t="s">
        <v>35</v>
      </c>
      <c r="B52" t="s">
        <v>156</v>
      </c>
      <c r="C52" t="s">
        <v>153</v>
      </c>
      <c r="D52">
        <v>40678.82</v>
      </c>
    </row>
    <row r="53" spans="1:4" x14ac:dyDescent="0.25">
      <c r="A53" t="s">
        <v>35</v>
      </c>
      <c r="B53" t="s">
        <v>156</v>
      </c>
      <c r="C53" t="s">
        <v>148</v>
      </c>
      <c r="D53">
        <v>57143.43</v>
      </c>
    </row>
    <row r="54" spans="1:4" x14ac:dyDescent="0.25">
      <c r="A54" t="s">
        <v>34</v>
      </c>
      <c r="B54" t="s">
        <v>157</v>
      </c>
      <c r="C54" t="s">
        <v>152</v>
      </c>
      <c r="D54">
        <v>35208.78</v>
      </c>
    </row>
    <row r="55" spans="1:4" x14ac:dyDescent="0.25">
      <c r="A55" t="s">
        <v>29</v>
      </c>
      <c r="B55" t="s">
        <v>156</v>
      </c>
      <c r="C55" t="s">
        <v>148</v>
      </c>
      <c r="D55">
        <v>59470.18</v>
      </c>
    </row>
    <row r="56" spans="1:4" x14ac:dyDescent="0.25">
      <c r="A56" t="s">
        <v>32</v>
      </c>
      <c r="B56" t="s">
        <v>157</v>
      </c>
      <c r="C56" t="s">
        <v>153</v>
      </c>
      <c r="D56">
        <v>40484.65</v>
      </c>
    </row>
    <row r="57" spans="1:4" x14ac:dyDescent="0.25">
      <c r="A57" t="s">
        <v>35</v>
      </c>
      <c r="B57" t="s">
        <v>154</v>
      </c>
      <c r="C57" t="s">
        <v>149</v>
      </c>
      <c r="D57">
        <v>56468.12</v>
      </c>
    </row>
    <row r="58" spans="1:4" x14ac:dyDescent="0.25">
      <c r="A58" t="s">
        <v>34</v>
      </c>
      <c r="B58" t="s">
        <v>156</v>
      </c>
      <c r="C58" t="s">
        <v>148</v>
      </c>
      <c r="D58">
        <v>48491.03</v>
      </c>
    </row>
    <row r="59" spans="1:4" x14ac:dyDescent="0.25">
      <c r="A59" t="s">
        <v>28</v>
      </c>
      <c r="B59" t="s">
        <v>157</v>
      </c>
      <c r="C59" t="s">
        <v>148</v>
      </c>
      <c r="D59">
        <v>54306.57</v>
      </c>
    </row>
    <row r="60" spans="1:4" x14ac:dyDescent="0.25">
      <c r="A60" t="s">
        <v>35</v>
      </c>
      <c r="B60" t="s">
        <v>157</v>
      </c>
      <c r="C60" t="s">
        <v>148</v>
      </c>
      <c r="D60">
        <v>54093.23</v>
      </c>
    </row>
    <row r="61" spans="1:4" x14ac:dyDescent="0.25">
      <c r="A61" t="s">
        <v>28</v>
      </c>
      <c r="B61" t="s">
        <v>156</v>
      </c>
      <c r="C61" t="s">
        <v>153</v>
      </c>
      <c r="D61">
        <v>53003.44</v>
      </c>
    </row>
    <row r="62" spans="1:4" x14ac:dyDescent="0.25">
      <c r="A62" t="s">
        <v>35</v>
      </c>
      <c r="B62" t="s">
        <v>156</v>
      </c>
      <c r="C62" t="s">
        <v>149</v>
      </c>
      <c r="D62">
        <v>72825.600000000006</v>
      </c>
    </row>
    <row r="63" spans="1:4" x14ac:dyDescent="0.25">
      <c r="A63" t="s">
        <v>28</v>
      </c>
      <c r="B63" t="s">
        <v>155</v>
      </c>
      <c r="C63" t="s">
        <v>149</v>
      </c>
      <c r="D63">
        <v>69684.08</v>
      </c>
    </row>
    <row r="64" spans="1:4" x14ac:dyDescent="0.25">
      <c r="A64" t="s">
        <v>26</v>
      </c>
      <c r="B64" t="s">
        <v>157</v>
      </c>
      <c r="C64" t="s">
        <v>149</v>
      </c>
      <c r="D64">
        <v>61714.36</v>
      </c>
    </row>
    <row r="65" spans="1:4" x14ac:dyDescent="0.25">
      <c r="A65" t="s">
        <v>28</v>
      </c>
      <c r="B65" t="s">
        <v>155</v>
      </c>
      <c r="C65" t="s">
        <v>150</v>
      </c>
      <c r="D65">
        <v>72828.3</v>
      </c>
    </row>
    <row r="66" spans="1:4" x14ac:dyDescent="0.25">
      <c r="A66" t="s">
        <v>35</v>
      </c>
      <c r="B66" t="s">
        <v>154</v>
      </c>
      <c r="C66" t="s">
        <v>153</v>
      </c>
      <c r="D66">
        <v>64660.62</v>
      </c>
    </row>
    <row r="67" spans="1:4" x14ac:dyDescent="0.25">
      <c r="A67" t="s">
        <v>31</v>
      </c>
      <c r="B67" t="s">
        <v>155</v>
      </c>
      <c r="C67" t="s">
        <v>150</v>
      </c>
      <c r="D67">
        <v>35197.089999999997</v>
      </c>
    </row>
    <row r="68" spans="1:4" x14ac:dyDescent="0.25">
      <c r="A68" t="s">
        <v>35</v>
      </c>
      <c r="B68" t="s">
        <v>154</v>
      </c>
      <c r="C68" t="s">
        <v>148</v>
      </c>
      <c r="D68">
        <v>62908.22</v>
      </c>
    </row>
    <row r="69" spans="1:4" x14ac:dyDescent="0.25">
      <c r="A69" t="s">
        <v>23</v>
      </c>
      <c r="B69" t="s">
        <v>155</v>
      </c>
      <c r="C69" t="s">
        <v>148</v>
      </c>
      <c r="D69">
        <v>135390</v>
      </c>
    </row>
    <row r="70" spans="1:4" x14ac:dyDescent="0.25">
      <c r="A70" t="s">
        <v>24</v>
      </c>
      <c r="B70" t="s">
        <v>157</v>
      </c>
      <c r="C70" t="s">
        <v>153</v>
      </c>
      <c r="D70">
        <v>64149.06</v>
      </c>
    </row>
    <row r="71" spans="1:4" x14ac:dyDescent="0.25">
      <c r="A71" t="s">
        <v>24</v>
      </c>
      <c r="B71" t="s">
        <v>155</v>
      </c>
      <c r="C71" t="s">
        <v>148</v>
      </c>
      <c r="D71">
        <v>97632.44</v>
      </c>
    </row>
    <row r="72" spans="1:4" x14ac:dyDescent="0.25">
      <c r="A72" t="s">
        <v>29</v>
      </c>
      <c r="B72" t="s">
        <v>154</v>
      </c>
      <c r="C72" t="s">
        <v>153</v>
      </c>
      <c r="D72">
        <v>45409.29</v>
      </c>
    </row>
    <row r="73" spans="1:4" x14ac:dyDescent="0.25">
      <c r="A73" t="s">
        <v>23</v>
      </c>
      <c r="B73" t="s">
        <v>155</v>
      </c>
      <c r="C73" t="s">
        <v>153</v>
      </c>
      <c r="D73">
        <v>68200.12</v>
      </c>
    </row>
    <row r="74" spans="1:4" x14ac:dyDescent="0.25">
      <c r="A74" t="s">
        <v>24</v>
      </c>
      <c r="B74" t="s">
        <v>155</v>
      </c>
      <c r="C74" t="s">
        <v>151</v>
      </c>
      <c r="D74">
        <v>79005.100000000006</v>
      </c>
    </row>
    <row r="75" spans="1:4" x14ac:dyDescent="0.25">
      <c r="A75" t="s">
        <v>35</v>
      </c>
      <c r="B75" t="s">
        <v>155</v>
      </c>
      <c r="C75" t="s">
        <v>153</v>
      </c>
      <c r="D75">
        <v>56929.52</v>
      </c>
    </row>
    <row r="76" spans="1:4" x14ac:dyDescent="0.25">
      <c r="A76" t="s">
        <v>33</v>
      </c>
      <c r="B76" t="s">
        <v>155</v>
      </c>
      <c r="C76" t="s">
        <v>148</v>
      </c>
      <c r="D76">
        <v>50738.96</v>
      </c>
    </row>
    <row r="77" spans="1:4" x14ac:dyDescent="0.25">
      <c r="A77" t="s">
        <v>34</v>
      </c>
      <c r="B77" t="s">
        <v>157</v>
      </c>
      <c r="C77" t="s">
        <v>149</v>
      </c>
      <c r="D77">
        <v>45857.62</v>
      </c>
    </row>
    <row r="78" spans="1:4" x14ac:dyDescent="0.25">
      <c r="A78" t="s">
        <v>29</v>
      </c>
      <c r="B78" t="s">
        <v>155</v>
      </c>
      <c r="C78" t="s">
        <v>151</v>
      </c>
      <c r="D78">
        <v>46680.92</v>
      </c>
    </row>
    <row r="79" spans="1:4" x14ac:dyDescent="0.25">
      <c r="A79" t="s">
        <v>35</v>
      </c>
      <c r="B79" t="s">
        <v>157</v>
      </c>
      <c r="C79" t="s">
        <v>152</v>
      </c>
      <c r="D79">
        <v>42059.63</v>
      </c>
    </row>
    <row r="80" spans="1:4" x14ac:dyDescent="0.25">
      <c r="A80" t="s">
        <v>23</v>
      </c>
      <c r="B80" t="s">
        <v>156</v>
      </c>
      <c r="C80" t="s">
        <v>150</v>
      </c>
      <c r="D80">
        <v>87036.74</v>
      </c>
    </row>
    <row r="81" spans="1:4" x14ac:dyDescent="0.25">
      <c r="A81" t="s">
        <v>29</v>
      </c>
      <c r="B81" t="s">
        <v>154</v>
      </c>
      <c r="C81" t="s">
        <v>151</v>
      </c>
      <c r="D81">
        <v>93860.62</v>
      </c>
    </row>
    <row r="82" spans="1:4" x14ac:dyDescent="0.25">
      <c r="A82" t="s">
        <v>26</v>
      </c>
      <c r="B82" t="s">
        <v>154</v>
      </c>
      <c r="C82" t="s">
        <v>150</v>
      </c>
      <c r="D82">
        <v>58678.69</v>
      </c>
    </row>
    <row r="83" spans="1:4" x14ac:dyDescent="0.25">
      <c r="A83" t="s">
        <v>26</v>
      </c>
      <c r="B83" t="s">
        <v>157</v>
      </c>
      <c r="C83" t="s">
        <v>153</v>
      </c>
      <c r="D83">
        <v>53180.18</v>
      </c>
    </row>
    <row r="84" spans="1:4" x14ac:dyDescent="0.25">
      <c r="A84" t="s">
        <v>33</v>
      </c>
      <c r="B84" t="s">
        <v>157</v>
      </c>
      <c r="C84" t="s">
        <v>150</v>
      </c>
      <c r="D84">
        <v>44284.72</v>
      </c>
    </row>
    <row r="85" spans="1:4" x14ac:dyDescent="0.25">
      <c r="A85" t="s">
        <v>33</v>
      </c>
      <c r="B85" t="s">
        <v>156</v>
      </c>
      <c r="C85" t="s">
        <v>151</v>
      </c>
      <c r="D85">
        <v>27661.599999999999</v>
      </c>
    </row>
    <row r="86" spans="1:4" x14ac:dyDescent="0.25">
      <c r="A86" t="s">
        <v>33</v>
      </c>
      <c r="B86" t="s">
        <v>157</v>
      </c>
      <c r="C86" t="s">
        <v>149</v>
      </c>
      <c r="D86">
        <v>78118.62</v>
      </c>
    </row>
    <row r="87" spans="1:4" x14ac:dyDescent="0.25">
      <c r="A87" t="s">
        <v>35</v>
      </c>
      <c r="B87" t="s">
        <v>157</v>
      </c>
      <c r="C87" t="s">
        <v>150</v>
      </c>
      <c r="D87">
        <v>67227.17</v>
      </c>
    </row>
    <row r="88" spans="1:4" x14ac:dyDescent="0.25">
      <c r="A88" t="s">
        <v>31</v>
      </c>
      <c r="B88" t="s">
        <v>154</v>
      </c>
      <c r="C88" t="s">
        <v>151</v>
      </c>
      <c r="D88">
        <v>46021.760000000002</v>
      </c>
    </row>
    <row r="89" spans="1:4" x14ac:dyDescent="0.25">
      <c r="A89" t="s">
        <v>33</v>
      </c>
      <c r="B89" t="s">
        <v>156</v>
      </c>
      <c r="C89" t="s">
        <v>153</v>
      </c>
      <c r="D89">
        <v>32202.49</v>
      </c>
    </row>
    <row r="90" spans="1:4" x14ac:dyDescent="0.25">
      <c r="A90" t="s">
        <v>22</v>
      </c>
      <c r="B90" t="s">
        <v>155</v>
      </c>
      <c r="C90" t="s">
        <v>149</v>
      </c>
      <c r="D90">
        <v>40125.339999999997</v>
      </c>
    </row>
    <row r="91" spans="1:4" x14ac:dyDescent="0.25">
      <c r="A91" t="s">
        <v>35</v>
      </c>
      <c r="B91" t="s">
        <v>157</v>
      </c>
      <c r="C91" t="s">
        <v>153</v>
      </c>
      <c r="D91">
        <v>30873.71</v>
      </c>
    </row>
    <row r="92" spans="1:4" x14ac:dyDescent="0.25">
      <c r="A92" t="s">
        <v>31</v>
      </c>
      <c r="B92" t="s">
        <v>155</v>
      </c>
      <c r="C92" t="s">
        <v>153</v>
      </c>
      <c r="D92">
        <v>47309.4</v>
      </c>
    </row>
    <row r="93" spans="1:4" x14ac:dyDescent="0.25">
      <c r="A93" t="s">
        <v>22</v>
      </c>
      <c r="B93" t="s">
        <v>155</v>
      </c>
      <c r="C93" t="s">
        <v>150</v>
      </c>
      <c r="D93">
        <v>71705.34</v>
      </c>
    </row>
    <row r="94" spans="1:4" x14ac:dyDescent="0.25">
      <c r="A94" t="s">
        <v>29</v>
      </c>
      <c r="B94" t="s">
        <v>156</v>
      </c>
      <c r="C94" t="s">
        <v>149</v>
      </c>
      <c r="D94">
        <v>79418.03</v>
      </c>
    </row>
    <row r="95" spans="1:4" x14ac:dyDescent="0.25">
      <c r="A95" t="s">
        <v>24</v>
      </c>
      <c r="B95" t="s">
        <v>154</v>
      </c>
      <c r="C95" t="s">
        <v>151</v>
      </c>
      <c r="D95">
        <v>74589.09</v>
      </c>
    </row>
    <row r="96" spans="1:4" x14ac:dyDescent="0.25">
      <c r="A96" t="s">
        <v>33</v>
      </c>
      <c r="B96" t="s">
        <v>155</v>
      </c>
      <c r="C96" t="s">
        <v>149</v>
      </c>
      <c r="D96">
        <v>38608.92</v>
      </c>
    </row>
    <row r="97" spans="1:4" x14ac:dyDescent="0.25">
      <c r="A97" t="s">
        <v>29</v>
      </c>
      <c r="B97" t="s">
        <v>155</v>
      </c>
      <c r="C97" t="s">
        <v>153</v>
      </c>
      <c r="D97">
        <v>76839.399999999994</v>
      </c>
    </row>
    <row r="98" spans="1:4" x14ac:dyDescent="0.25">
      <c r="A98" t="s">
        <v>34</v>
      </c>
      <c r="B98" t="s">
        <v>157</v>
      </c>
      <c r="C98" t="s">
        <v>153</v>
      </c>
      <c r="D98">
        <v>69454.240000000005</v>
      </c>
    </row>
    <row r="99" spans="1:4" x14ac:dyDescent="0.25">
      <c r="A99" t="s">
        <v>32</v>
      </c>
      <c r="B99" t="s">
        <v>156</v>
      </c>
      <c r="C99" t="s">
        <v>148</v>
      </c>
      <c r="D99">
        <v>67243.3</v>
      </c>
    </row>
    <row r="100" spans="1:4" x14ac:dyDescent="0.25">
      <c r="A100" t="s">
        <v>26</v>
      </c>
      <c r="B100" t="s">
        <v>154</v>
      </c>
      <c r="C100" t="s">
        <v>152</v>
      </c>
      <c r="D100">
        <v>60741.21</v>
      </c>
    </row>
    <row r="101" spans="1:4" x14ac:dyDescent="0.25">
      <c r="A101" t="s">
        <v>32</v>
      </c>
      <c r="B101" t="s">
        <v>155</v>
      </c>
      <c r="C101" t="s">
        <v>152</v>
      </c>
      <c r="D101">
        <v>92820</v>
      </c>
    </row>
    <row r="102" spans="1:4" x14ac:dyDescent="0.25">
      <c r="A102" t="s">
        <v>23</v>
      </c>
      <c r="B102" t="s">
        <v>156</v>
      </c>
      <c r="C102" t="s">
        <v>152</v>
      </c>
      <c r="D102">
        <v>52775.93</v>
      </c>
    </row>
    <row r="103" spans="1:4" x14ac:dyDescent="0.25">
      <c r="A103" t="s">
        <v>35</v>
      </c>
      <c r="B103" t="s">
        <v>154</v>
      </c>
      <c r="C103" t="s">
        <v>150</v>
      </c>
      <c r="D103">
        <v>57201.57</v>
      </c>
    </row>
    <row r="104" spans="1:4" x14ac:dyDescent="0.25">
      <c r="A104" t="s">
        <v>34</v>
      </c>
      <c r="B104" t="s">
        <v>155</v>
      </c>
      <c r="C104" t="s">
        <v>149</v>
      </c>
      <c r="D104">
        <v>61930.79</v>
      </c>
    </row>
    <row r="105" spans="1:4" x14ac:dyDescent="0.25">
      <c r="A105" t="s">
        <v>23</v>
      </c>
      <c r="B105" t="s">
        <v>156</v>
      </c>
      <c r="C105" t="s">
        <v>151</v>
      </c>
      <c r="D105">
        <v>73270.929999999993</v>
      </c>
    </row>
    <row r="106" spans="1:4" x14ac:dyDescent="0.25">
      <c r="A106" t="s">
        <v>35</v>
      </c>
      <c r="B106" t="s">
        <v>155</v>
      </c>
      <c r="C106" t="s">
        <v>150</v>
      </c>
      <c r="D106">
        <v>56603.57</v>
      </c>
    </row>
    <row r="107" spans="1:4" x14ac:dyDescent="0.25">
      <c r="A107" t="s">
        <v>451</v>
      </c>
      <c r="B107" t="s">
        <v>452</v>
      </c>
      <c r="C107" t="s">
        <v>151</v>
      </c>
      <c r="D107">
        <v>0</v>
      </c>
    </row>
    <row r="108" spans="1:4" x14ac:dyDescent="0.25">
      <c r="A108" t="s">
        <v>22</v>
      </c>
      <c r="B108" t="s">
        <v>155</v>
      </c>
      <c r="C108" t="s">
        <v>152</v>
      </c>
      <c r="D108">
        <v>95799.43</v>
      </c>
    </row>
    <row r="109" spans="1:4" x14ac:dyDescent="0.25">
      <c r="A109" t="s">
        <v>24</v>
      </c>
      <c r="B109" t="s">
        <v>156</v>
      </c>
      <c r="C109" t="s">
        <v>152</v>
      </c>
      <c r="D109">
        <v>10972.15</v>
      </c>
    </row>
    <row r="110" spans="1:4" x14ac:dyDescent="0.25">
      <c r="A110" t="s">
        <v>32</v>
      </c>
      <c r="B110" t="s">
        <v>156</v>
      </c>
      <c r="C110" t="s">
        <v>151</v>
      </c>
      <c r="D110">
        <v>113846.5</v>
      </c>
    </row>
    <row r="111" spans="1:4" x14ac:dyDescent="0.25">
      <c r="A111" t="s">
        <v>31</v>
      </c>
      <c r="B111" t="s">
        <v>154</v>
      </c>
      <c r="C111" t="s">
        <v>148</v>
      </c>
      <c r="D111">
        <v>77944.149999999994</v>
      </c>
    </row>
    <row r="112" spans="1:4" x14ac:dyDescent="0.25">
      <c r="A112" t="s">
        <v>29</v>
      </c>
      <c r="B112" t="s">
        <v>155</v>
      </c>
      <c r="C112" t="s">
        <v>148</v>
      </c>
      <c r="D112">
        <v>56384.9</v>
      </c>
    </row>
    <row r="113" spans="1:4" x14ac:dyDescent="0.25">
      <c r="A113" t="s">
        <v>22</v>
      </c>
      <c r="B113" t="s">
        <v>156</v>
      </c>
      <c r="C113" t="s">
        <v>150</v>
      </c>
      <c r="D113">
        <v>84015.13</v>
      </c>
    </row>
    <row r="114" spans="1:4" x14ac:dyDescent="0.25">
      <c r="A114" t="s">
        <v>31</v>
      </c>
      <c r="B114" t="s">
        <v>154</v>
      </c>
      <c r="C114" t="s">
        <v>149</v>
      </c>
      <c r="D114">
        <v>46443.5</v>
      </c>
    </row>
    <row r="115" spans="1:4" x14ac:dyDescent="0.25">
      <c r="A115" t="s">
        <v>28</v>
      </c>
      <c r="B115" t="s">
        <v>154</v>
      </c>
      <c r="C115" t="s">
        <v>153</v>
      </c>
      <c r="D115">
        <v>54809.65</v>
      </c>
    </row>
    <row r="116" spans="1:4" x14ac:dyDescent="0.25">
      <c r="A116" t="s">
        <v>34</v>
      </c>
      <c r="B116" t="s">
        <v>155</v>
      </c>
      <c r="C116" t="s">
        <v>152</v>
      </c>
      <c r="D116">
        <v>79191.070000000007</v>
      </c>
    </row>
    <row r="117" spans="1:4" x14ac:dyDescent="0.25">
      <c r="A117" t="s">
        <v>33</v>
      </c>
      <c r="B117" t="s">
        <v>156</v>
      </c>
      <c r="C117" t="s">
        <v>149</v>
      </c>
      <c r="D117">
        <v>46877.279999999999</v>
      </c>
    </row>
    <row r="118" spans="1:4" x14ac:dyDescent="0.25">
      <c r="A118" t="s">
        <v>23</v>
      </c>
      <c r="B118" t="s">
        <v>154</v>
      </c>
      <c r="C118" t="s">
        <v>152</v>
      </c>
      <c r="D118">
        <v>45413.55</v>
      </c>
    </row>
    <row r="119" spans="1:4" x14ac:dyDescent="0.25">
      <c r="A119" t="s">
        <v>32</v>
      </c>
      <c r="B119" t="s">
        <v>154</v>
      </c>
      <c r="C119" t="s">
        <v>151</v>
      </c>
      <c r="D119">
        <v>69400.28</v>
      </c>
    </row>
    <row r="120" spans="1:4" x14ac:dyDescent="0.25">
      <c r="A120" t="s">
        <v>24</v>
      </c>
      <c r="B120" t="s">
        <v>157</v>
      </c>
      <c r="C120" t="s">
        <v>152</v>
      </c>
      <c r="D120">
        <v>34502.269999999997</v>
      </c>
    </row>
    <row r="121" spans="1:4" x14ac:dyDescent="0.25">
      <c r="A121" t="s">
        <v>28</v>
      </c>
      <c r="B121" t="s">
        <v>156</v>
      </c>
      <c r="C121" t="s">
        <v>152</v>
      </c>
      <c r="D121">
        <v>41615.43</v>
      </c>
    </row>
    <row r="122" spans="1:4" x14ac:dyDescent="0.25">
      <c r="A122" t="s">
        <v>33</v>
      </c>
      <c r="B122" t="s">
        <v>157</v>
      </c>
      <c r="C122" t="s">
        <v>148</v>
      </c>
      <c r="D122">
        <v>70050.720000000001</v>
      </c>
    </row>
    <row r="123" spans="1:4" x14ac:dyDescent="0.25">
      <c r="A123" t="s">
        <v>34</v>
      </c>
      <c r="B123" t="s">
        <v>155</v>
      </c>
      <c r="C123" t="s">
        <v>153</v>
      </c>
      <c r="D123">
        <v>84434.59</v>
      </c>
    </row>
    <row r="124" spans="1:4" x14ac:dyDescent="0.25">
      <c r="A124" t="s">
        <v>32</v>
      </c>
      <c r="B124" t="s">
        <v>156</v>
      </c>
      <c r="C124" t="s">
        <v>150</v>
      </c>
      <c r="D124">
        <v>55054.37</v>
      </c>
    </row>
    <row r="125" spans="1:4" x14ac:dyDescent="0.25">
      <c r="A125" t="s">
        <v>33</v>
      </c>
      <c r="B125" t="s">
        <v>154</v>
      </c>
      <c r="C125" t="s">
        <v>153</v>
      </c>
      <c r="D125">
        <v>66415.05</v>
      </c>
    </row>
    <row r="126" spans="1:4" x14ac:dyDescent="0.25">
      <c r="A126" t="s">
        <v>31</v>
      </c>
      <c r="B126" t="s">
        <v>155</v>
      </c>
      <c r="C126" t="s">
        <v>152</v>
      </c>
      <c r="D126">
        <v>87286.1</v>
      </c>
    </row>
    <row r="127" spans="1:4" x14ac:dyDescent="0.25">
      <c r="A127" t="s">
        <v>35</v>
      </c>
      <c r="B127" t="s">
        <v>157</v>
      </c>
      <c r="C127" t="s">
        <v>151</v>
      </c>
      <c r="D127">
        <v>34153.5</v>
      </c>
    </row>
    <row r="128" spans="1:4" x14ac:dyDescent="0.25">
      <c r="A128" t="s">
        <v>22</v>
      </c>
      <c r="B128" t="s">
        <v>157</v>
      </c>
      <c r="C128" t="s">
        <v>148</v>
      </c>
      <c r="D128">
        <v>67905.78</v>
      </c>
    </row>
    <row r="129" spans="1:4" x14ac:dyDescent="0.25">
      <c r="A129" t="s">
        <v>28</v>
      </c>
      <c r="B129" t="s">
        <v>155</v>
      </c>
      <c r="C129" t="s">
        <v>153</v>
      </c>
      <c r="D129">
        <v>52937.41</v>
      </c>
    </row>
    <row r="130" spans="1:4" x14ac:dyDescent="0.25">
      <c r="A130" t="s">
        <v>24</v>
      </c>
      <c r="B130" t="s">
        <v>157</v>
      </c>
      <c r="C130" t="s">
        <v>150</v>
      </c>
      <c r="D130">
        <v>80245.460000000006</v>
      </c>
    </row>
    <row r="131" spans="1:4" x14ac:dyDescent="0.25">
      <c r="A131" t="s">
        <v>26</v>
      </c>
      <c r="B131" t="s">
        <v>155</v>
      </c>
      <c r="C131" t="s">
        <v>153</v>
      </c>
      <c r="D131">
        <v>96248.22</v>
      </c>
    </row>
    <row r="132" spans="1:4" x14ac:dyDescent="0.25">
      <c r="A132" t="s">
        <v>28</v>
      </c>
      <c r="B132" t="s">
        <v>157</v>
      </c>
      <c r="C132" t="s">
        <v>149</v>
      </c>
      <c r="D132">
        <v>32744.67</v>
      </c>
    </row>
    <row r="133" spans="1:4" x14ac:dyDescent="0.25">
      <c r="A133" t="s">
        <v>22</v>
      </c>
      <c r="B133" t="s">
        <v>154</v>
      </c>
      <c r="C133" t="s">
        <v>153</v>
      </c>
      <c r="D133">
        <v>51686.04</v>
      </c>
    </row>
    <row r="134" spans="1:4" x14ac:dyDescent="0.25">
      <c r="A134" t="s">
        <v>31</v>
      </c>
      <c r="B134" t="s">
        <v>157</v>
      </c>
      <c r="C134" t="s">
        <v>152</v>
      </c>
      <c r="D134">
        <v>75823.259999999995</v>
      </c>
    </row>
    <row r="135" spans="1:4" x14ac:dyDescent="0.25">
      <c r="A135" t="s">
        <v>26</v>
      </c>
      <c r="B135" t="s">
        <v>157</v>
      </c>
      <c r="C135" t="s">
        <v>148</v>
      </c>
      <c r="D135">
        <v>41496.19</v>
      </c>
    </row>
    <row r="136" spans="1:4" x14ac:dyDescent="0.25">
      <c r="A136" t="s">
        <v>31</v>
      </c>
      <c r="B136" t="s">
        <v>154</v>
      </c>
      <c r="C136" t="s">
        <v>153</v>
      </c>
      <c r="D136">
        <v>61218.07</v>
      </c>
    </row>
    <row r="137" spans="1:4" x14ac:dyDescent="0.25">
      <c r="A137" t="s">
        <v>31</v>
      </c>
      <c r="B137" t="s">
        <v>155</v>
      </c>
      <c r="C137" t="s">
        <v>151</v>
      </c>
      <c r="D137">
        <v>155144</v>
      </c>
    </row>
    <row r="138" spans="1:4" x14ac:dyDescent="0.25">
      <c r="A138" t="s">
        <v>24</v>
      </c>
      <c r="B138" t="s">
        <v>154</v>
      </c>
      <c r="C138" t="s">
        <v>152</v>
      </c>
      <c r="D138">
        <v>30386.11</v>
      </c>
    </row>
    <row r="139" spans="1:4" x14ac:dyDescent="0.25">
      <c r="A139" t="s">
        <v>23</v>
      </c>
      <c r="B139" t="s">
        <v>156</v>
      </c>
      <c r="C139" t="s">
        <v>148</v>
      </c>
      <c r="D139">
        <v>48543.54</v>
      </c>
    </row>
    <row r="140" spans="1:4" x14ac:dyDescent="0.25">
      <c r="A140" t="s">
        <v>23</v>
      </c>
      <c r="B140" t="s">
        <v>154</v>
      </c>
      <c r="C140" t="s">
        <v>150</v>
      </c>
      <c r="D140">
        <v>58242.79</v>
      </c>
    </row>
    <row r="141" spans="1:4" x14ac:dyDescent="0.25">
      <c r="A141" t="s">
        <v>26</v>
      </c>
      <c r="B141" t="s">
        <v>155</v>
      </c>
      <c r="C141" t="s">
        <v>150</v>
      </c>
      <c r="D141">
        <v>34256.44</v>
      </c>
    </row>
    <row r="142" spans="1:4" x14ac:dyDescent="0.25">
      <c r="A142" t="s">
        <v>23</v>
      </c>
      <c r="B142" t="s">
        <v>157</v>
      </c>
      <c r="C142" t="s">
        <v>152</v>
      </c>
      <c r="D142">
        <v>62315.360000000001</v>
      </c>
    </row>
    <row r="143" spans="1:4" x14ac:dyDescent="0.25">
      <c r="A143" t="s">
        <v>24</v>
      </c>
      <c r="B143" t="s">
        <v>156</v>
      </c>
      <c r="C143" t="s">
        <v>153</v>
      </c>
      <c r="D143">
        <v>88460.88</v>
      </c>
    </row>
    <row r="144" spans="1:4" x14ac:dyDescent="0.25">
      <c r="A144" t="s">
        <v>23</v>
      </c>
      <c r="B144" t="s">
        <v>155</v>
      </c>
      <c r="C144" t="s">
        <v>150</v>
      </c>
      <c r="D144">
        <v>84116.33</v>
      </c>
    </row>
    <row r="145" spans="1:4" x14ac:dyDescent="0.25">
      <c r="A145" t="s">
        <v>22</v>
      </c>
      <c r="B145" t="s">
        <v>155</v>
      </c>
      <c r="C145" t="s">
        <v>153</v>
      </c>
      <c r="D145">
        <v>41646.94</v>
      </c>
    </row>
    <row r="146" spans="1:4" x14ac:dyDescent="0.25">
      <c r="A146" t="s">
        <v>31</v>
      </c>
      <c r="B146" t="s">
        <v>155</v>
      </c>
      <c r="C146" t="s">
        <v>149</v>
      </c>
      <c r="D146">
        <v>55897.57</v>
      </c>
    </row>
    <row r="147" spans="1:4" x14ac:dyDescent="0.25">
      <c r="A147" t="s">
        <v>28</v>
      </c>
      <c r="B147" t="s">
        <v>154</v>
      </c>
      <c r="C147" t="s">
        <v>150</v>
      </c>
      <c r="D147">
        <v>58617.78</v>
      </c>
    </row>
    <row r="148" spans="1:4" x14ac:dyDescent="0.25">
      <c r="A148" t="s">
        <v>22</v>
      </c>
      <c r="B148" t="s">
        <v>155</v>
      </c>
      <c r="C148" t="s">
        <v>148</v>
      </c>
      <c r="D148">
        <v>52696.37</v>
      </c>
    </row>
    <row r="149" spans="1:4" x14ac:dyDescent="0.25">
      <c r="A149" t="s">
        <v>33</v>
      </c>
      <c r="B149" t="s">
        <v>156</v>
      </c>
      <c r="C149" t="s">
        <v>152</v>
      </c>
      <c r="D149">
        <v>70170.11</v>
      </c>
    </row>
    <row r="150" spans="1:4" x14ac:dyDescent="0.25">
      <c r="A150" t="s">
        <v>22</v>
      </c>
      <c r="B150" t="s">
        <v>156</v>
      </c>
      <c r="C150" t="s">
        <v>152</v>
      </c>
      <c r="D150">
        <v>87439.9</v>
      </c>
    </row>
    <row r="151" spans="1:4" x14ac:dyDescent="0.25">
      <c r="A151" t="s">
        <v>22</v>
      </c>
      <c r="B151" t="s">
        <v>154</v>
      </c>
      <c r="C151" t="s">
        <v>152</v>
      </c>
      <c r="D151">
        <v>52585.74</v>
      </c>
    </row>
    <row r="152" spans="1:4" x14ac:dyDescent="0.25">
      <c r="A152" t="s">
        <v>33</v>
      </c>
      <c r="B152" t="s">
        <v>156</v>
      </c>
      <c r="C152" t="s">
        <v>150</v>
      </c>
      <c r="D152">
        <v>100688.25</v>
      </c>
    </row>
    <row r="153" spans="1:4" x14ac:dyDescent="0.25">
      <c r="A153" t="s">
        <v>31</v>
      </c>
      <c r="B153" t="s">
        <v>157</v>
      </c>
      <c r="C153" t="s">
        <v>150</v>
      </c>
      <c r="D153">
        <v>16169.42</v>
      </c>
    </row>
    <row r="154" spans="1:4" x14ac:dyDescent="0.25">
      <c r="A154" t="s">
        <v>29</v>
      </c>
      <c r="B154" t="s">
        <v>156</v>
      </c>
      <c r="C154" t="s">
        <v>153</v>
      </c>
      <c r="D154">
        <v>65839.67</v>
      </c>
    </row>
    <row r="155" spans="1:4" x14ac:dyDescent="0.25">
      <c r="A155" t="s">
        <v>33</v>
      </c>
      <c r="B155" t="s">
        <v>154</v>
      </c>
      <c r="C155" t="s">
        <v>148</v>
      </c>
      <c r="D155">
        <v>56885.46</v>
      </c>
    </row>
    <row r="156" spans="1:4" x14ac:dyDescent="0.25">
      <c r="A156" t="s">
        <v>31</v>
      </c>
      <c r="B156" t="s">
        <v>156</v>
      </c>
      <c r="C156" t="s">
        <v>148</v>
      </c>
      <c r="D156">
        <v>55314.04</v>
      </c>
    </row>
    <row r="157" spans="1:4" x14ac:dyDescent="0.25">
      <c r="A157" t="s">
        <v>29</v>
      </c>
      <c r="B157" t="s">
        <v>155</v>
      </c>
      <c r="C157" t="s">
        <v>152</v>
      </c>
      <c r="D157">
        <v>36187.46</v>
      </c>
    </row>
    <row r="158" spans="1:4" x14ac:dyDescent="0.25">
      <c r="A158" t="s">
        <v>33</v>
      </c>
      <c r="B158" t="s">
        <v>157</v>
      </c>
      <c r="C158" t="s">
        <v>152</v>
      </c>
      <c r="D158">
        <v>15212.62</v>
      </c>
    </row>
    <row r="159" spans="1:4" x14ac:dyDescent="0.25">
      <c r="A159" t="s">
        <v>26</v>
      </c>
      <c r="B159" t="s">
        <v>155</v>
      </c>
      <c r="C159" t="s">
        <v>152</v>
      </c>
      <c r="D159">
        <v>23105.99</v>
      </c>
    </row>
    <row r="160" spans="1:4" x14ac:dyDescent="0.25">
      <c r="A160" t="s">
        <v>24</v>
      </c>
      <c r="B160" t="s">
        <v>155</v>
      </c>
      <c r="C160" t="s">
        <v>152</v>
      </c>
      <c r="D160">
        <v>82839.320000000007</v>
      </c>
    </row>
    <row r="161" spans="1:4" x14ac:dyDescent="0.25">
      <c r="A161" t="s">
        <v>29</v>
      </c>
      <c r="B161" t="s">
        <v>156</v>
      </c>
      <c r="C161" t="s">
        <v>150</v>
      </c>
      <c r="D161">
        <v>56086.26</v>
      </c>
    </row>
    <row r="162" spans="1:4" x14ac:dyDescent="0.25">
      <c r="A162" t="s">
        <v>22</v>
      </c>
      <c r="B162" t="s">
        <v>157</v>
      </c>
      <c r="C162" t="s">
        <v>149</v>
      </c>
      <c r="D162">
        <v>63481.73</v>
      </c>
    </row>
    <row r="163" spans="1:4" x14ac:dyDescent="0.25">
      <c r="A163" t="s">
        <v>28</v>
      </c>
      <c r="B163" t="s">
        <v>154</v>
      </c>
      <c r="C163" t="s">
        <v>149</v>
      </c>
      <c r="D163">
        <v>52689</v>
      </c>
    </row>
    <row r="164" spans="1:4" x14ac:dyDescent="0.25">
      <c r="A164" t="s">
        <v>22</v>
      </c>
      <c r="B164" t="s">
        <v>156</v>
      </c>
      <c r="C164" t="s">
        <v>149</v>
      </c>
      <c r="D164">
        <v>53755.79</v>
      </c>
    </row>
    <row r="165" spans="1:4" x14ac:dyDescent="0.25">
      <c r="A165" t="s">
        <v>35</v>
      </c>
      <c r="B165" t="s">
        <v>156</v>
      </c>
      <c r="C165" t="s">
        <v>150</v>
      </c>
      <c r="D165">
        <v>66248.59</v>
      </c>
    </row>
    <row r="166" spans="1:4" x14ac:dyDescent="0.25">
      <c r="A166" t="s">
        <v>34</v>
      </c>
      <c r="B166" t="s">
        <v>157</v>
      </c>
      <c r="C166" t="s">
        <v>150</v>
      </c>
      <c r="D166">
        <v>46438.36</v>
      </c>
    </row>
    <row r="167" spans="1:4" x14ac:dyDescent="0.25">
      <c r="A167" t="s">
        <v>34</v>
      </c>
      <c r="B167" t="s">
        <v>154</v>
      </c>
      <c r="C167" t="s">
        <v>150</v>
      </c>
      <c r="D167">
        <v>50457.16</v>
      </c>
    </row>
    <row r="168" spans="1:4" x14ac:dyDescent="0.25">
      <c r="A168" t="s">
        <v>26</v>
      </c>
      <c r="B168" t="s">
        <v>156</v>
      </c>
      <c r="C168" t="s">
        <v>153</v>
      </c>
      <c r="D168">
        <v>74264.45</v>
      </c>
    </row>
    <row r="169" spans="1:4" x14ac:dyDescent="0.25">
      <c r="A169" t="s">
        <v>26</v>
      </c>
      <c r="B169" t="s">
        <v>156</v>
      </c>
      <c r="C169" t="s">
        <v>149</v>
      </c>
      <c r="D169">
        <v>64947.74</v>
      </c>
    </row>
    <row r="170" spans="1:4" x14ac:dyDescent="0.25">
      <c r="A170" t="s">
        <v>26</v>
      </c>
      <c r="B170" t="s">
        <v>156</v>
      </c>
      <c r="C170" t="s">
        <v>150</v>
      </c>
      <c r="D170">
        <v>10988</v>
      </c>
    </row>
    <row r="171" spans="1:4" x14ac:dyDescent="0.25">
      <c r="A171" t="s">
        <v>29</v>
      </c>
      <c r="B171" t="s">
        <v>154</v>
      </c>
      <c r="C171" t="s">
        <v>150</v>
      </c>
      <c r="D171">
        <v>41797.599999999999</v>
      </c>
    </row>
    <row r="172" spans="1:4" x14ac:dyDescent="0.25">
      <c r="A172" t="s">
        <v>23</v>
      </c>
      <c r="B172" t="s">
        <v>157</v>
      </c>
      <c r="C172" t="s">
        <v>148</v>
      </c>
      <c r="D172">
        <v>34316.25</v>
      </c>
    </row>
    <row r="173" spans="1:4" x14ac:dyDescent="0.25">
      <c r="A173" t="s">
        <v>29</v>
      </c>
      <c r="B173" t="s">
        <v>157</v>
      </c>
      <c r="C173" t="s">
        <v>152</v>
      </c>
      <c r="D173">
        <v>55107.86</v>
      </c>
    </row>
    <row r="174" spans="1:4" x14ac:dyDescent="0.25">
      <c r="A174" t="s">
        <v>26</v>
      </c>
      <c r="B174" t="s">
        <v>155</v>
      </c>
      <c r="C174" t="s">
        <v>149</v>
      </c>
      <c r="D174">
        <v>82755.05</v>
      </c>
    </row>
    <row r="175" spans="1:4" x14ac:dyDescent="0.25">
      <c r="A175" t="s">
        <v>29</v>
      </c>
      <c r="B175" t="s">
        <v>155</v>
      </c>
      <c r="C175" t="s">
        <v>150</v>
      </c>
      <c r="D175">
        <v>53646.400000000001</v>
      </c>
    </row>
    <row r="176" spans="1:4" x14ac:dyDescent="0.25">
      <c r="A176" t="s">
        <v>28</v>
      </c>
      <c r="B176" t="s">
        <v>156</v>
      </c>
      <c r="C176" t="s">
        <v>151</v>
      </c>
      <c r="D176">
        <v>61829.07</v>
      </c>
    </row>
    <row r="177" spans="1:4" x14ac:dyDescent="0.25">
      <c r="A177" t="s">
        <v>29</v>
      </c>
      <c r="B177" t="s">
        <v>157</v>
      </c>
      <c r="C177" t="s">
        <v>153</v>
      </c>
      <c r="D177">
        <v>38155.99</v>
      </c>
    </row>
    <row r="178" spans="1:4" x14ac:dyDescent="0.25">
      <c r="A178" t="s">
        <v>22</v>
      </c>
      <c r="B178" t="s">
        <v>157</v>
      </c>
      <c r="C178" t="s">
        <v>152</v>
      </c>
      <c r="D178">
        <v>43211.94</v>
      </c>
    </row>
    <row r="179" spans="1:4" x14ac:dyDescent="0.25">
      <c r="A179" t="s">
        <v>32</v>
      </c>
      <c r="B179" t="s">
        <v>154</v>
      </c>
      <c r="C179" t="s">
        <v>152</v>
      </c>
      <c r="D179">
        <v>48699.33</v>
      </c>
    </row>
    <row r="180" spans="1:4" x14ac:dyDescent="0.25">
      <c r="A180" t="s">
        <v>31</v>
      </c>
      <c r="B180" t="s">
        <v>154</v>
      </c>
      <c r="C180" t="s">
        <v>150</v>
      </c>
      <c r="D180">
        <v>14580.18</v>
      </c>
    </row>
    <row r="181" spans="1:4" x14ac:dyDescent="0.25">
      <c r="A181" t="s">
        <v>24</v>
      </c>
      <c r="B181" t="s">
        <v>156</v>
      </c>
      <c r="C181" t="s">
        <v>151</v>
      </c>
      <c r="D181">
        <v>67474</v>
      </c>
    </row>
    <row r="182" spans="1:4" x14ac:dyDescent="0.25">
      <c r="A182" t="s">
        <v>34</v>
      </c>
      <c r="B182" t="s">
        <v>155</v>
      </c>
      <c r="C182" t="s">
        <v>148</v>
      </c>
      <c r="D182">
        <v>89985.62</v>
      </c>
    </row>
    <row r="183" spans="1:4" x14ac:dyDescent="0.25">
      <c r="A183" t="s">
        <v>32</v>
      </c>
      <c r="B183" t="s">
        <v>154</v>
      </c>
      <c r="C183" t="s">
        <v>148</v>
      </c>
      <c r="D183">
        <v>88994.15</v>
      </c>
    </row>
    <row r="184" spans="1:4" x14ac:dyDescent="0.25">
      <c r="A184" t="s">
        <v>23</v>
      </c>
      <c r="B184" t="s">
        <v>154</v>
      </c>
      <c r="C184" t="s">
        <v>151</v>
      </c>
      <c r="D184">
        <v>62135.14</v>
      </c>
    </row>
    <row r="185" spans="1:4" x14ac:dyDescent="0.25">
      <c r="A185" t="s">
        <v>451</v>
      </c>
      <c r="B185" t="s">
        <v>452</v>
      </c>
      <c r="C185" t="s">
        <v>153</v>
      </c>
      <c r="D185">
        <v>0</v>
      </c>
    </row>
    <row r="186" spans="1:4" x14ac:dyDescent="0.25">
      <c r="A186" t="s">
        <v>31</v>
      </c>
      <c r="B186" t="s">
        <v>156</v>
      </c>
      <c r="C186" t="s">
        <v>149</v>
      </c>
      <c r="D186">
        <v>74454.600000000006</v>
      </c>
    </row>
    <row r="187" spans="1:4" x14ac:dyDescent="0.25">
      <c r="A187" t="s">
        <v>24</v>
      </c>
      <c r="B187" t="s">
        <v>154</v>
      </c>
      <c r="C187" t="s">
        <v>148</v>
      </c>
      <c r="D187">
        <v>104786.12</v>
      </c>
    </row>
    <row r="188" spans="1:4" x14ac:dyDescent="0.25">
      <c r="A188" t="s">
        <v>26</v>
      </c>
      <c r="B188" t="s">
        <v>156</v>
      </c>
      <c r="C188" t="s">
        <v>148</v>
      </c>
      <c r="D188">
        <v>21074.79</v>
      </c>
    </row>
    <row r="189" spans="1:4" x14ac:dyDescent="0.25">
      <c r="A189" t="s">
        <v>22</v>
      </c>
      <c r="B189" t="s">
        <v>156</v>
      </c>
      <c r="C189" t="s">
        <v>151</v>
      </c>
      <c r="D189">
        <v>65193.61</v>
      </c>
    </row>
    <row r="190" spans="1:4" x14ac:dyDescent="0.25">
      <c r="A190" t="s">
        <v>35</v>
      </c>
      <c r="B190" t="s">
        <v>156</v>
      </c>
      <c r="C190" t="s">
        <v>151</v>
      </c>
      <c r="D190">
        <v>76177.78</v>
      </c>
    </row>
    <row r="191" spans="1:4" x14ac:dyDescent="0.25">
      <c r="A191" t="s">
        <v>24</v>
      </c>
      <c r="B191" t="s">
        <v>156</v>
      </c>
      <c r="C191" t="s">
        <v>149</v>
      </c>
      <c r="D191">
        <v>52758.65</v>
      </c>
    </row>
    <row r="192" spans="1:4" x14ac:dyDescent="0.25">
      <c r="A192" t="s">
        <v>24</v>
      </c>
      <c r="B192" t="s">
        <v>157</v>
      </c>
      <c r="C192" t="s">
        <v>148</v>
      </c>
      <c r="D192">
        <v>43436.07</v>
      </c>
    </row>
    <row r="193" spans="1:4" x14ac:dyDescent="0.25">
      <c r="A193" t="s">
        <v>32</v>
      </c>
      <c r="B193" t="s">
        <v>156</v>
      </c>
      <c r="C193" t="s">
        <v>152</v>
      </c>
      <c r="D193">
        <v>92273.279999999999</v>
      </c>
    </row>
    <row r="194" spans="1:4" x14ac:dyDescent="0.25">
      <c r="A194" t="s">
        <v>35</v>
      </c>
      <c r="B194" t="s">
        <v>155</v>
      </c>
      <c r="C194" t="s">
        <v>152</v>
      </c>
      <c r="D194">
        <v>65385.02</v>
      </c>
    </row>
    <row r="195" spans="1:4" x14ac:dyDescent="0.25">
      <c r="A195" t="s">
        <v>28</v>
      </c>
      <c r="B195" t="s">
        <v>156</v>
      </c>
      <c r="C195" t="s">
        <v>150</v>
      </c>
      <c r="D195">
        <v>63067.5</v>
      </c>
    </row>
    <row r="196" spans="1:4" x14ac:dyDescent="0.25">
      <c r="A196" t="s">
        <v>32</v>
      </c>
      <c r="B196" t="s">
        <v>155</v>
      </c>
      <c r="C196" t="s">
        <v>149</v>
      </c>
      <c r="D196">
        <v>45304.35</v>
      </c>
    </row>
    <row r="197" spans="1:4" x14ac:dyDescent="0.25">
      <c r="A197" t="s">
        <v>24</v>
      </c>
      <c r="B197" t="s">
        <v>155</v>
      </c>
      <c r="C197" t="s">
        <v>149</v>
      </c>
      <c r="D197">
        <v>33542.050000000003</v>
      </c>
    </row>
    <row r="198" spans="1:4" x14ac:dyDescent="0.25">
      <c r="A198" t="s">
        <v>22</v>
      </c>
      <c r="B198" t="s">
        <v>155</v>
      </c>
      <c r="C198" t="s">
        <v>151</v>
      </c>
      <c r="D198">
        <v>67154.080000000002</v>
      </c>
    </row>
    <row r="199" spans="1:4" x14ac:dyDescent="0.25">
      <c r="A199" t="s">
        <v>26</v>
      </c>
      <c r="B199" t="s">
        <v>154</v>
      </c>
      <c r="C199" t="s">
        <v>153</v>
      </c>
      <c r="D199">
        <v>83455.12</v>
      </c>
    </row>
    <row r="200" spans="1:4" x14ac:dyDescent="0.25">
      <c r="A200" t="s">
        <v>34</v>
      </c>
      <c r="B200" t="s">
        <v>154</v>
      </c>
      <c r="C200" t="s">
        <v>152</v>
      </c>
      <c r="D200">
        <v>62216.5</v>
      </c>
    </row>
    <row r="201" spans="1:4" x14ac:dyDescent="0.25">
      <c r="A201" t="s">
        <v>34</v>
      </c>
      <c r="B201" t="s">
        <v>156</v>
      </c>
      <c r="C201" t="s">
        <v>151</v>
      </c>
      <c r="D201">
        <v>49756.03</v>
      </c>
    </row>
    <row r="202" spans="1:4" x14ac:dyDescent="0.25">
      <c r="A202" t="s">
        <v>22</v>
      </c>
      <c r="B202" t="s">
        <v>157</v>
      </c>
      <c r="C202" t="s">
        <v>153</v>
      </c>
      <c r="D202">
        <v>98340.05</v>
      </c>
    </row>
    <row r="203" spans="1:4" x14ac:dyDescent="0.25">
      <c r="A203" t="s">
        <v>28</v>
      </c>
      <c r="B203" t="s">
        <v>154</v>
      </c>
      <c r="C203" t="s">
        <v>152</v>
      </c>
      <c r="D203">
        <v>56432.5</v>
      </c>
    </row>
    <row r="204" spans="1:4" x14ac:dyDescent="0.25">
      <c r="A204" t="s">
        <v>29</v>
      </c>
      <c r="B204" t="s">
        <v>156</v>
      </c>
      <c r="C204" t="s">
        <v>152</v>
      </c>
      <c r="D204">
        <v>69526.13</v>
      </c>
    </row>
    <row r="205" spans="1:4" x14ac:dyDescent="0.25">
      <c r="A205" t="s">
        <v>28</v>
      </c>
      <c r="B205" t="s">
        <v>157</v>
      </c>
      <c r="C205" t="s">
        <v>150</v>
      </c>
      <c r="D205">
        <v>41437.730000000003</v>
      </c>
    </row>
    <row r="206" spans="1:4" x14ac:dyDescent="0.25">
      <c r="A206" t="s">
        <v>22</v>
      </c>
      <c r="B206" t="s">
        <v>157</v>
      </c>
      <c r="C206" t="s">
        <v>151</v>
      </c>
      <c r="D206">
        <v>78548.100000000006</v>
      </c>
    </row>
    <row r="207" spans="1:4" x14ac:dyDescent="0.25">
      <c r="A207" t="s">
        <v>23</v>
      </c>
      <c r="B207" t="s">
        <v>156</v>
      </c>
      <c r="C207" t="s">
        <v>153</v>
      </c>
      <c r="D207">
        <v>52934.68</v>
      </c>
    </row>
    <row r="208" spans="1:4" x14ac:dyDescent="0.25">
      <c r="A208" t="s">
        <v>32</v>
      </c>
      <c r="B208" t="s">
        <v>154</v>
      </c>
      <c r="C208" t="s">
        <v>150</v>
      </c>
      <c r="D208">
        <v>72017.64</v>
      </c>
    </row>
    <row r="209" spans="1:4" x14ac:dyDescent="0.25">
      <c r="A209" t="s">
        <v>32</v>
      </c>
      <c r="B209" t="s">
        <v>155</v>
      </c>
      <c r="C209" t="s">
        <v>150</v>
      </c>
      <c r="D209">
        <v>48611.05</v>
      </c>
    </row>
    <row r="210" spans="1:4" x14ac:dyDescent="0.25">
      <c r="A210" t="s">
        <v>31</v>
      </c>
      <c r="B210" t="s">
        <v>157</v>
      </c>
      <c r="C210" t="s">
        <v>153</v>
      </c>
      <c r="D210">
        <v>64722.95</v>
      </c>
    </row>
    <row r="211" spans="1:4" x14ac:dyDescent="0.25">
      <c r="A211" t="s">
        <v>33</v>
      </c>
      <c r="B211" t="s">
        <v>156</v>
      </c>
      <c r="C211" t="s">
        <v>148</v>
      </c>
      <c r="D211">
        <v>68446.45</v>
      </c>
    </row>
    <row r="212" spans="1:4" x14ac:dyDescent="0.25">
      <c r="A212" t="s">
        <v>22</v>
      </c>
      <c r="B212" t="s">
        <v>156</v>
      </c>
      <c r="C212" t="s">
        <v>153</v>
      </c>
      <c r="D212">
        <v>53128.33</v>
      </c>
    </row>
    <row r="213" spans="1:4" x14ac:dyDescent="0.25">
      <c r="A213" t="s">
        <v>24</v>
      </c>
      <c r="B213" t="s">
        <v>157</v>
      </c>
      <c r="C213" t="s">
        <v>151</v>
      </c>
      <c r="D213">
        <v>47118.66</v>
      </c>
    </row>
    <row r="214" spans="1:4" x14ac:dyDescent="0.25">
      <c r="A214" t="s">
        <v>31</v>
      </c>
      <c r="B214" t="s">
        <v>156</v>
      </c>
      <c r="C214" t="s">
        <v>150</v>
      </c>
      <c r="D214">
        <v>54949.22</v>
      </c>
    </row>
    <row r="215" spans="1:4" x14ac:dyDescent="0.25">
      <c r="A215" t="s">
        <v>22</v>
      </c>
      <c r="B215" t="s">
        <v>157</v>
      </c>
      <c r="C215" t="s">
        <v>150</v>
      </c>
      <c r="D215">
        <v>81100.97</v>
      </c>
    </row>
    <row r="216" spans="1:4" x14ac:dyDescent="0.25">
      <c r="A216" t="s">
        <v>28</v>
      </c>
      <c r="B216" t="s">
        <v>157</v>
      </c>
      <c r="C216" t="s">
        <v>151</v>
      </c>
      <c r="D216">
        <v>52292.65</v>
      </c>
    </row>
    <row r="217" spans="1:4" x14ac:dyDescent="0.25">
      <c r="A217" t="s">
        <v>23</v>
      </c>
      <c r="B217" t="s">
        <v>157</v>
      </c>
      <c r="C217" t="s">
        <v>151</v>
      </c>
      <c r="D217">
        <v>27130.12</v>
      </c>
    </row>
    <row r="218" spans="1:4" x14ac:dyDescent="0.25">
      <c r="A218" t="s">
        <v>34</v>
      </c>
      <c r="B218" t="s">
        <v>154</v>
      </c>
      <c r="C218" t="s">
        <v>151</v>
      </c>
      <c r="D218">
        <v>131916</v>
      </c>
    </row>
    <row r="219" spans="1:4" x14ac:dyDescent="0.25">
      <c r="A219" t="s">
        <v>24</v>
      </c>
      <c r="B219" t="s">
        <v>154</v>
      </c>
      <c r="C219" t="s">
        <v>149</v>
      </c>
      <c r="D219">
        <v>27044.05</v>
      </c>
    </row>
    <row r="220" spans="1:4" x14ac:dyDescent="0.25">
      <c r="A220" t="s">
        <v>33</v>
      </c>
      <c r="B220" t="s">
        <v>157</v>
      </c>
      <c r="C220" t="s">
        <v>153</v>
      </c>
      <c r="D220">
        <v>35727.660000000003</v>
      </c>
    </row>
    <row r="221" spans="1:4" x14ac:dyDescent="0.25">
      <c r="A221" t="s">
        <v>33</v>
      </c>
      <c r="B221" t="s">
        <v>155</v>
      </c>
      <c r="C221" t="s">
        <v>153</v>
      </c>
      <c r="D221">
        <v>75291.44</v>
      </c>
    </row>
    <row r="222" spans="1:4" x14ac:dyDescent="0.25">
      <c r="A222" t="s">
        <v>26</v>
      </c>
      <c r="B222" t="s">
        <v>157</v>
      </c>
      <c r="C222" t="s">
        <v>151</v>
      </c>
      <c r="D222">
        <v>41449.85</v>
      </c>
    </row>
    <row r="223" spans="1:4" x14ac:dyDescent="0.25">
      <c r="A223" t="s">
        <v>24</v>
      </c>
      <c r="B223" t="s">
        <v>155</v>
      </c>
      <c r="C223" t="s">
        <v>150</v>
      </c>
      <c r="D223">
        <v>53017.71</v>
      </c>
    </row>
    <row r="224" spans="1:4" x14ac:dyDescent="0.25">
      <c r="A224" t="s">
        <v>34</v>
      </c>
      <c r="B224" t="s">
        <v>157</v>
      </c>
      <c r="C224" t="s">
        <v>151</v>
      </c>
      <c r="D224">
        <v>56566.25</v>
      </c>
    </row>
    <row r="225" spans="1:4" x14ac:dyDescent="0.25">
      <c r="A225" t="s">
        <v>26</v>
      </c>
      <c r="B225" t="s">
        <v>157</v>
      </c>
      <c r="C225" t="s">
        <v>152</v>
      </c>
      <c r="D225">
        <v>88770.38</v>
      </c>
    </row>
    <row r="226" spans="1:4" x14ac:dyDescent="0.25">
      <c r="A226" t="s">
        <v>31</v>
      </c>
      <c r="B226" t="s">
        <v>154</v>
      </c>
      <c r="C226" t="s">
        <v>152</v>
      </c>
      <c r="D226">
        <v>83197.320000000007</v>
      </c>
    </row>
    <row r="227" spans="1:4" x14ac:dyDescent="0.25">
      <c r="A227" t="s">
        <v>31</v>
      </c>
      <c r="B227" t="s">
        <v>157</v>
      </c>
      <c r="C227" t="s">
        <v>149</v>
      </c>
      <c r="D227">
        <v>84037.84</v>
      </c>
    </row>
    <row r="228" spans="1:4" x14ac:dyDescent="0.25">
      <c r="A228" t="s">
        <v>26</v>
      </c>
      <c r="B228" t="s">
        <v>154</v>
      </c>
      <c r="C228" t="s">
        <v>149</v>
      </c>
      <c r="D228">
        <v>57736.12</v>
      </c>
    </row>
    <row r="229" spans="1:4" x14ac:dyDescent="0.25">
      <c r="A229" t="s">
        <v>33</v>
      </c>
      <c r="B229" t="s">
        <v>154</v>
      </c>
      <c r="C229" t="s">
        <v>152</v>
      </c>
      <c r="D229">
        <v>50892.32</v>
      </c>
    </row>
    <row r="230" spans="1:4" x14ac:dyDescent="0.25">
      <c r="A230" t="s">
        <v>32</v>
      </c>
      <c r="B230" t="s">
        <v>157</v>
      </c>
      <c r="C230" t="s">
        <v>152</v>
      </c>
      <c r="D230">
        <v>62398.05</v>
      </c>
    </row>
    <row r="231" spans="1:4" x14ac:dyDescent="0.25">
      <c r="A231" t="s">
        <v>32</v>
      </c>
      <c r="B231" t="s">
        <v>155</v>
      </c>
      <c r="C231" t="s">
        <v>153</v>
      </c>
      <c r="D231">
        <v>4408.5600000000004</v>
      </c>
    </row>
    <row r="232" spans="1:4" x14ac:dyDescent="0.25">
      <c r="A232" t="s">
        <v>34</v>
      </c>
      <c r="B232" t="s">
        <v>156</v>
      </c>
      <c r="C232" t="s">
        <v>149</v>
      </c>
      <c r="D232">
        <v>41389.910000000003</v>
      </c>
    </row>
    <row r="233" spans="1:4" x14ac:dyDescent="0.25">
      <c r="A233" t="s">
        <v>31</v>
      </c>
      <c r="B233" t="s">
        <v>157</v>
      </c>
      <c r="C233" t="s">
        <v>151</v>
      </c>
      <c r="D233">
        <v>48410.18</v>
      </c>
    </row>
    <row r="234" spans="1:4" x14ac:dyDescent="0.25">
      <c r="A234" t="s">
        <v>28</v>
      </c>
      <c r="B234" t="s">
        <v>155</v>
      </c>
      <c r="C234" t="s">
        <v>151</v>
      </c>
      <c r="D234">
        <v>27933.46</v>
      </c>
    </row>
    <row r="235" spans="1:4" x14ac:dyDescent="0.25">
      <c r="A235" t="s">
        <v>28</v>
      </c>
      <c r="B235" t="s">
        <v>154</v>
      </c>
      <c r="C235" t="s">
        <v>148</v>
      </c>
      <c r="D235">
        <v>71379.75</v>
      </c>
    </row>
    <row r="236" spans="1:4" x14ac:dyDescent="0.25">
      <c r="A236" t="s">
        <v>23</v>
      </c>
      <c r="B236" t="s">
        <v>156</v>
      </c>
      <c r="C236" t="s">
        <v>149</v>
      </c>
      <c r="D236">
        <v>59796.7</v>
      </c>
    </row>
    <row r="237" spans="1:4" x14ac:dyDescent="0.25">
      <c r="A237" t="s">
        <v>29</v>
      </c>
      <c r="B237" t="s">
        <v>157</v>
      </c>
      <c r="C237" t="s">
        <v>150</v>
      </c>
      <c r="D237">
        <v>48244.97</v>
      </c>
    </row>
    <row r="238" spans="1:4" x14ac:dyDescent="0.25">
      <c r="A238" t="s">
        <v>31</v>
      </c>
      <c r="B238" t="s">
        <v>155</v>
      </c>
      <c r="C238" t="s">
        <v>148</v>
      </c>
      <c r="D238">
        <v>75296.100000000006</v>
      </c>
    </row>
    <row r="239" spans="1:4" x14ac:dyDescent="0.25">
      <c r="A239" t="s">
        <v>34</v>
      </c>
      <c r="B239" t="s">
        <v>154</v>
      </c>
      <c r="C239" t="s">
        <v>149</v>
      </c>
      <c r="D239">
        <v>77516.100000000006</v>
      </c>
    </row>
    <row r="240" spans="1:4" x14ac:dyDescent="0.25">
      <c r="A240" t="s">
        <v>28</v>
      </c>
      <c r="B240" t="s">
        <v>154</v>
      </c>
      <c r="C240" t="s">
        <v>151</v>
      </c>
      <c r="D240">
        <v>9729.0499999999993</v>
      </c>
    </row>
    <row r="241" spans="1:4" x14ac:dyDescent="0.25">
      <c r="A241" t="s">
        <v>28</v>
      </c>
      <c r="B241" t="s">
        <v>155</v>
      </c>
      <c r="C241" t="s">
        <v>148</v>
      </c>
      <c r="D241">
        <v>103128.35</v>
      </c>
    </row>
    <row r="242" spans="1:4" x14ac:dyDescent="0.25">
      <c r="A242" t="s">
        <v>22</v>
      </c>
      <c r="B242" t="s">
        <v>154</v>
      </c>
      <c r="C242" t="s">
        <v>149</v>
      </c>
      <c r="D242">
        <v>16222.49</v>
      </c>
    </row>
    <row r="243" spans="1:4" x14ac:dyDescent="0.25">
      <c r="A243" t="s">
        <v>32</v>
      </c>
      <c r="B243" t="s">
        <v>156</v>
      </c>
      <c r="C243" t="s">
        <v>153</v>
      </c>
      <c r="D243">
        <v>96812.33</v>
      </c>
    </row>
    <row r="244" spans="1:4" x14ac:dyDescent="0.25">
      <c r="A244" t="s">
        <v>33</v>
      </c>
      <c r="B244" t="s">
        <v>155</v>
      </c>
      <c r="C244" t="s">
        <v>152</v>
      </c>
      <c r="D244">
        <v>76662.41</v>
      </c>
    </row>
    <row r="245" spans="1:4" x14ac:dyDescent="0.25">
      <c r="A245" t="s">
        <v>26</v>
      </c>
      <c r="B245" t="s">
        <v>154</v>
      </c>
      <c r="C245" t="s">
        <v>148</v>
      </c>
      <c r="D245">
        <v>82958.75</v>
      </c>
    </row>
    <row r="246" spans="1:4" x14ac:dyDescent="0.25">
      <c r="A246" t="s">
        <v>29</v>
      </c>
      <c r="B246" t="s">
        <v>156</v>
      </c>
      <c r="C246" t="s">
        <v>151</v>
      </c>
      <c r="D246">
        <v>30873.05</v>
      </c>
    </row>
    <row r="247" spans="1:4" x14ac:dyDescent="0.25">
      <c r="A247" t="s">
        <v>34</v>
      </c>
      <c r="B247" t="s">
        <v>156</v>
      </c>
      <c r="C247" t="s">
        <v>150</v>
      </c>
      <c r="D247">
        <v>73808.2</v>
      </c>
    </row>
    <row r="248" spans="1:4" x14ac:dyDescent="0.25">
      <c r="A248" t="s">
        <v>34</v>
      </c>
      <c r="B248" t="s">
        <v>157</v>
      </c>
      <c r="C248" t="s">
        <v>148</v>
      </c>
      <c r="D248">
        <v>9432.0499999999993</v>
      </c>
    </row>
    <row r="249" spans="1:4" x14ac:dyDescent="0.25">
      <c r="A249" t="s">
        <v>32</v>
      </c>
      <c r="B249" t="s">
        <v>157</v>
      </c>
      <c r="C249" t="s">
        <v>149</v>
      </c>
      <c r="D249">
        <v>55353.14</v>
      </c>
    </row>
    <row r="250" spans="1:4" x14ac:dyDescent="0.25">
      <c r="A250" t="s">
        <v>29</v>
      </c>
      <c r="B250" t="s">
        <v>157</v>
      </c>
      <c r="C250" t="s">
        <v>151</v>
      </c>
      <c r="D250">
        <v>41580.050000000003</v>
      </c>
    </row>
    <row r="251" spans="1:4" x14ac:dyDescent="0.25">
      <c r="A251" t="s">
        <v>32</v>
      </c>
      <c r="B251" t="s">
        <v>155</v>
      </c>
      <c r="C251" t="s">
        <v>151</v>
      </c>
      <c r="D251">
        <v>75705.5</v>
      </c>
    </row>
    <row r="252" spans="1:4" x14ac:dyDescent="0.25">
      <c r="A252" t="s">
        <v>33</v>
      </c>
      <c r="B252" t="s">
        <v>155</v>
      </c>
      <c r="C252" t="s">
        <v>151</v>
      </c>
      <c r="D252">
        <v>139077.4</v>
      </c>
    </row>
    <row r="253" spans="1:4" x14ac:dyDescent="0.25">
      <c r="A253" t="s">
        <v>24</v>
      </c>
      <c r="B253" t="s">
        <v>156</v>
      </c>
      <c r="C253" t="s">
        <v>148</v>
      </c>
      <c r="D253">
        <v>13233.54</v>
      </c>
    </row>
    <row r="254" spans="1:4" x14ac:dyDescent="0.25">
      <c r="A254" t="s">
        <v>26</v>
      </c>
      <c r="B254" t="s">
        <v>155</v>
      </c>
      <c r="C254" t="s">
        <v>148</v>
      </c>
      <c r="D254">
        <v>13710.71</v>
      </c>
    </row>
    <row r="255" spans="1:4" x14ac:dyDescent="0.25">
      <c r="A255" t="s">
        <v>31</v>
      </c>
      <c r="B255" t="s">
        <v>156</v>
      </c>
      <c r="C255" t="s">
        <v>152</v>
      </c>
      <c r="D255">
        <v>77359.56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F646F-32A7-4FE2-B033-FAB358CA1C15}">
  <dimension ref="A1:C331"/>
  <sheetViews>
    <sheetView workbookViewId="0"/>
  </sheetViews>
  <sheetFormatPr defaultRowHeight="13.8" x14ac:dyDescent="0.25"/>
  <cols>
    <col min="1" max="1" width="13.19921875" bestFit="1" customWidth="1"/>
    <col min="2" max="2" width="22.19921875" bestFit="1" customWidth="1"/>
    <col min="3" max="3" width="16.796875" bestFit="1" customWidth="1"/>
  </cols>
  <sheetData>
    <row r="1" spans="1:3" x14ac:dyDescent="0.25">
      <c r="A1" t="s">
        <v>465</v>
      </c>
      <c r="B1" t="s">
        <v>466</v>
      </c>
      <c r="C1" t="s">
        <v>467</v>
      </c>
    </row>
    <row r="2" spans="1:3" x14ac:dyDescent="0.25">
      <c r="A2" t="s">
        <v>112</v>
      </c>
      <c r="B2" t="s">
        <v>22</v>
      </c>
      <c r="C2">
        <v>57182.95</v>
      </c>
    </row>
    <row r="3" spans="1:3" x14ac:dyDescent="0.25">
      <c r="A3" t="s">
        <v>113</v>
      </c>
      <c r="B3" t="s">
        <v>23</v>
      </c>
      <c r="C3">
        <v>99669.29</v>
      </c>
    </row>
    <row r="4" spans="1:3" x14ac:dyDescent="0.25">
      <c r="A4" t="s">
        <v>74</v>
      </c>
      <c r="B4" t="s">
        <v>24</v>
      </c>
      <c r="C4">
        <v>53542.18</v>
      </c>
    </row>
    <row r="5" spans="1:3" x14ac:dyDescent="0.25">
      <c r="A5" t="s">
        <v>114</v>
      </c>
      <c r="B5" t="s">
        <v>35</v>
      </c>
      <c r="C5">
        <v>67461.8</v>
      </c>
    </row>
    <row r="6" spans="1:3" x14ac:dyDescent="0.25">
      <c r="A6" t="s">
        <v>115</v>
      </c>
      <c r="B6" t="s">
        <v>26</v>
      </c>
      <c r="C6">
        <v>53898.66</v>
      </c>
    </row>
    <row r="7" spans="1:3" x14ac:dyDescent="0.25">
      <c r="A7" t="s">
        <v>116</v>
      </c>
      <c r="B7" t="s">
        <v>35</v>
      </c>
      <c r="C7">
        <v>60089.9</v>
      </c>
    </row>
    <row r="8" spans="1:3" x14ac:dyDescent="0.25">
      <c r="A8" t="s">
        <v>117</v>
      </c>
      <c r="B8" t="s">
        <v>28</v>
      </c>
      <c r="C8">
        <v>33951.5</v>
      </c>
    </row>
    <row r="9" spans="1:3" x14ac:dyDescent="0.25">
      <c r="A9" t="s">
        <v>112</v>
      </c>
      <c r="B9" t="s">
        <v>29</v>
      </c>
      <c r="C9">
        <v>61851.199999999997</v>
      </c>
    </row>
    <row r="10" spans="1:3" x14ac:dyDescent="0.25">
      <c r="A10" t="s">
        <v>451</v>
      </c>
      <c r="B10" t="s">
        <v>451</v>
      </c>
      <c r="C10">
        <v>0</v>
      </c>
    </row>
    <row r="11" spans="1:3" x14ac:dyDescent="0.25">
      <c r="A11" t="s">
        <v>118</v>
      </c>
      <c r="B11" t="s">
        <v>29</v>
      </c>
      <c r="C11">
        <v>35798.93</v>
      </c>
    </row>
    <row r="12" spans="1:3" x14ac:dyDescent="0.25">
      <c r="A12" t="s">
        <v>119</v>
      </c>
      <c r="B12" t="s">
        <v>23</v>
      </c>
      <c r="C12">
        <v>37459.43</v>
      </c>
    </row>
    <row r="13" spans="1:3" x14ac:dyDescent="0.25">
      <c r="A13" t="s">
        <v>93</v>
      </c>
      <c r="B13" t="s">
        <v>35</v>
      </c>
      <c r="C13">
        <v>59600.87</v>
      </c>
    </row>
    <row r="14" spans="1:3" x14ac:dyDescent="0.25">
      <c r="A14" t="s">
        <v>120</v>
      </c>
      <c r="B14" t="s">
        <v>31</v>
      </c>
      <c r="C14">
        <v>68376.33</v>
      </c>
    </row>
    <row r="15" spans="1:3" x14ac:dyDescent="0.25">
      <c r="A15" t="s">
        <v>112</v>
      </c>
      <c r="B15" t="s">
        <v>31</v>
      </c>
      <c r="C15">
        <v>54169.84</v>
      </c>
    </row>
    <row r="16" spans="1:3" x14ac:dyDescent="0.25">
      <c r="A16" t="s">
        <v>121</v>
      </c>
      <c r="B16" t="s">
        <v>35</v>
      </c>
      <c r="C16">
        <v>56967.35</v>
      </c>
    </row>
    <row r="17" spans="1:3" x14ac:dyDescent="0.25">
      <c r="A17" t="s">
        <v>122</v>
      </c>
      <c r="B17" t="s">
        <v>29</v>
      </c>
      <c r="C17">
        <v>111238.82</v>
      </c>
    </row>
    <row r="18" spans="1:3" x14ac:dyDescent="0.25">
      <c r="A18" t="s">
        <v>123</v>
      </c>
      <c r="B18" t="s">
        <v>28</v>
      </c>
      <c r="C18">
        <v>101188.65</v>
      </c>
    </row>
    <row r="19" spans="1:3" x14ac:dyDescent="0.25">
      <c r="A19" t="s">
        <v>124</v>
      </c>
      <c r="B19" t="s">
        <v>32</v>
      </c>
      <c r="C19">
        <v>64884.59</v>
      </c>
    </row>
    <row r="20" spans="1:3" x14ac:dyDescent="0.25">
      <c r="A20" t="s">
        <v>125</v>
      </c>
      <c r="B20" t="s">
        <v>29</v>
      </c>
      <c r="C20">
        <v>40127.589999999997</v>
      </c>
    </row>
    <row r="21" spans="1:3" x14ac:dyDescent="0.25">
      <c r="A21" t="s">
        <v>121</v>
      </c>
      <c r="B21" t="s">
        <v>29</v>
      </c>
      <c r="C21">
        <v>41289.550000000003</v>
      </c>
    </row>
    <row r="22" spans="1:3" x14ac:dyDescent="0.25">
      <c r="A22" t="s">
        <v>121</v>
      </c>
      <c r="B22" t="s">
        <v>32</v>
      </c>
      <c r="C22">
        <v>57303.13</v>
      </c>
    </row>
    <row r="23" spans="1:3" x14ac:dyDescent="0.25">
      <c r="A23" t="s">
        <v>112</v>
      </c>
      <c r="B23" t="s">
        <v>32</v>
      </c>
      <c r="C23">
        <v>58106.41</v>
      </c>
    </row>
    <row r="24" spans="1:3" x14ac:dyDescent="0.25">
      <c r="A24" t="s">
        <v>117</v>
      </c>
      <c r="B24" t="s">
        <v>33</v>
      </c>
      <c r="C24">
        <v>138727.5</v>
      </c>
    </row>
    <row r="25" spans="1:3" x14ac:dyDescent="0.25">
      <c r="A25" t="s">
        <v>115</v>
      </c>
      <c r="B25" t="s">
        <v>28</v>
      </c>
      <c r="C25">
        <v>72974.649999999994</v>
      </c>
    </row>
    <row r="26" spans="1:3" x14ac:dyDescent="0.25">
      <c r="A26" t="s">
        <v>126</v>
      </c>
      <c r="B26" t="s">
        <v>33</v>
      </c>
      <c r="C26">
        <v>55237.47</v>
      </c>
    </row>
    <row r="27" spans="1:3" x14ac:dyDescent="0.25">
      <c r="A27" t="s">
        <v>127</v>
      </c>
      <c r="B27" t="s">
        <v>32</v>
      </c>
      <c r="C27">
        <v>59033.98</v>
      </c>
    </row>
    <row r="28" spans="1:3" x14ac:dyDescent="0.25">
      <c r="A28" t="s">
        <v>114</v>
      </c>
      <c r="B28" t="s">
        <v>29</v>
      </c>
      <c r="C28">
        <v>64137</v>
      </c>
    </row>
    <row r="29" spans="1:3" x14ac:dyDescent="0.25">
      <c r="A29" t="s">
        <v>128</v>
      </c>
      <c r="B29" t="s">
        <v>33</v>
      </c>
      <c r="C29">
        <v>134691</v>
      </c>
    </row>
    <row r="30" spans="1:3" x14ac:dyDescent="0.25">
      <c r="A30" t="s">
        <v>118</v>
      </c>
      <c r="B30" t="s">
        <v>26</v>
      </c>
      <c r="C30">
        <v>37275.589999999997</v>
      </c>
    </row>
    <row r="31" spans="1:3" x14ac:dyDescent="0.25">
      <c r="A31" t="s">
        <v>129</v>
      </c>
      <c r="B31" t="s">
        <v>32</v>
      </c>
      <c r="C31">
        <v>60322.63</v>
      </c>
    </row>
    <row r="32" spans="1:3" x14ac:dyDescent="0.25">
      <c r="A32" t="s">
        <v>102</v>
      </c>
      <c r="B32" t="s">
        <v>22</v>
      </c>
      <c r="C32">
        <v>30726.639999999999</v>
      </c>
    </row>
    <row r="33" spans="1:3" x14ac:dyDescent="0.25">
      <c r="A33" t="s">
        <v>129</v>
      </c>
      <c r="B33" t="s">
        <v>31</v>
      </c>
      <c r="C33">
        <v>48748.7</v>
      </c>
    </row>
    <row r="34" spans="1:3" x14ac:dyDescent="0.25">
      <c r="A34" t="s">
        <v>74</v>
      </c>
      <c r="B34" t="s">
        <v>32</v>
      </c>
      <c r="C34">
        <v>64735.4</v>
      </c>
    </row>
    <row r="35" spans="1:3" x14ac:dyDescent="0.25">
      <c r="A35" t="s">
        <v>130</v>
      </c>
      <c r="B35" t="s">
        <v>24</v>
      </c>
      <c r="C35">
        <v>50723.37</v>
      </c>
    </row>
    <row r="36" spans="1:3" x14ac:dyDescent="0.25">
      <c r="A36" t="s">
        <v>131</v>
      </c>
      <c r="B36" t="s">
        <v>33</v>
      </c>
      <c r="C36">
        <v>76956.59</v>
      </c>
    </row>
    <row r="37" spans="1:3" x14ac:dyDescent="0.25">
      <c r="A37" t="s">
        <v>115</v>
      </c>
      <c r="B37" t="s">
        <v>29</v>
      </c>
      <c r="C37">
        <v>44223.09</v>
      </c>
    </row>
    <row r="38" spans="1:3" x14ac:dyDescent="0.25">
      <c r="A38" t="s">
        <v>119</v>
      </c>
      <c r="B38" t="s">
        <v>34</v>
      </c>
      <c r="C38">
        <v>54862.25</v>
      </c>
    </row>
    <row r="39" spans="1:3" x14ac:dyDescent="0.25">
      <c r="A39" t="s">
        <v>74</v>
      </c>
      <c r="B39" t="s">
        <v>23</v>
      </c>
      <c r="C39">
        <v>75071.509999999995</v>
      </c>
    </row>
    <row r="40" spans="1:3" x14ac:dyDescent="0.25">
      <c r="A40" t="s">
        <v>93</v>
      </c>
      <c r="B40" t="s">
        <v>34</v>
      </c>
      <c r="C40">
        <v>54320.61</v>
      </c>
    </row>
    <row r="41" spans="1:3" x14ac:dyDescent="0.25">
      <c r="A41" t="s">
        <v>132</v>
      </c>
      <c r="B41" t="s">
        <v>26</v>
      </c>
      <c r="C41">
        <v>44053.9</v>
      </c>
    </row>
    <row r="42" spans="1:3" x14ac:dyDescent="0.25">
      <c r="A42" t="s">
        <v>124</v>
      </c>
      <c r="B42" t="s">
        <v>23</v>
      </c>
      <c r="C42">
        <v>50106.400000000001</v>
      </c>
    </row>
    <row r="43" spans="1:3" x14ac:dyDescent="0.25">
      <c r="A43" t="s">
        <v>74</v>
      </c>
      <c r="B43" t="s">
        <v>34</v>
      </c>
      <c r="C43">
        <v>75808.75</v>
      </c>
    </row>
    <row r="44" spans="1:3" x14ac:dyDescent="0.25">
      <c r="A44" t="s">
        <v>133</v>
      </c>
      <c r="B44" t="s">
        <v>24</v>
      </c>
      <c r="C44">
        <v>43107.35</v>
      </c>
    </row>
    <row r="45" spans="1:3" x14ac:dyDescent="0.25">
      <c r="A45" t="s">
        <v>106</v>
      </c>
      <c r="B45" t="s">
        <v>26</v>
      </c>
      <c r="C45">
        <v>62338.1</v>
      </c>
    </row>
    <row r="46" spans="1:3" x14ac:dyDescent="0.25">
      <c r="A46" t="s">
        <v>122</v>
      </c>
      <c r="B46" t="s">
        <v>35</v>
      </c>
      <c r="C46">
        <v>70218.080000000002</v>
      </c>
    </row>
    <row r="47" spans="1:3" x14ac:dyDescent="0.25">
      <c r="A47" t="s">
        <v>134</v>
      </c>
      <c r="B47" t="s">
        <v>35</v>
      </c>
      <c r="C47">
        <v>46741.75</v>
      </c>
    </row>
    <row r="48" spans="1:3" x14ac:dyDescent="0.25">
      <c r="A48" t="s">
        <v>119</v>
      </c>
      <c r="B48" t="s">
        <v>35</v>
      </c>
      <c r="C48">
        <v>45182.53</v>
      </c>
    </row>
    <row r="49" spans="1:3" x14ac:dyDescent="0.25">
      <c r="A49" t="s">
        <v>93</v>
      </c>
      <c r="B49" t="s">
        <v>28</v>
      </c>
      <c r="C49">
        <v>60399.38</v>
      </c>
    </row>
    <row r="50" spans="1:3" x14ac:dyDescent="0.25">
      <c r="A50" t="s">
        <v>114</v>
      </c>
      <c r="B50" t="s">
        <v>32</v>
      </c>
      <c r="C50">
        <v>5293.18</v>
      </c>
    </row>
    <row r="51" spans="1:3" x14ac:dyDescent="0.25">
      <c r="A51" t="s">
        <v>102</v>
      </c>
      <c r="B51" t="s">
        <v>35</v>
      </c>
      <c r="C51">
        <v>62532.44</v>
      </c>
    </row>
    <row r="52" spans="1:3" x14ac:dyDescent="0.25">
      <c r="A52" t="s">
        <v>135</v>
      </c>
      <c r="B52" t="s">
        <v>34</v>
      </c>
      <c r="C52">
        <v>53133.03</v>
      </c>
    </row>
    <row r="53" spans="1:3" x14ac:dyDescent="0.25">
      <c r="A53" t="s">
        <v>131</v>
      </c>
      <c r="B53" t="s">
        <v>29</v>
      </c>
      <c r="C53">
        <v>89215.1</v>
      </c>
    </row>
    <row r="54" spans="1:3" x14ac:dyDescent="0.25">
      <c r="A54" t="s">
        <v>136</v>
      </c>
      <c r="B54" t="s">
        <v>32</v>
      </c>
      <c r="C54">
        <v>6241.31</v>
      </c>
    </row>
    <row r="55" spans="1:3" x14ac:dyDescent="0.25">
      <c r="A55" t="s">
        <v>124</v>
      </c>
      <c r="B55" t="s">
        <v>35</v>
      </c>
      <c r="C55">
        <v>44056.75</v>
      </c>
    </row>
    <row r="56" spans="1:3" x14ac:dyDescent="0.25">
      <c r="A56" t="s">
        <v>112</v>
      </c>
      <c r="B56" t="s">
        <v>34</v>
      </c>
      <c r="C56">
        <v>46804.97</v>
      </c>
    </row>
    <row r="57" spans="1:3" x14ac:dyDescent="0.25">
      <c r="A57" t="s">
        <v>137</v>
      </c>
      <c r="B57" t="s">
        <v>35</v>
      </c>
      <c r="C57">
        <v>36545.18</v>
      </c>
    </row>
    <row r="58" spans="1:3" x14ac:dyDescent="0.25">
      <c r="A58" t="s">
        <v>112</v>
      </c>
      <c r="B58" t="s">
        <v>26</v>
      </c>
      <c r="C58">
        <v>64963.44</v>
      </c>
    </row>
    <row r="59" spans="1:3" x14ac:dyDescent="0.25">
      <c r="A59" t="s">
        <v>74</v>
      </c>
      <c r="B59" t="s">
        <v>35</v>
      </c>
      <c r="C59">
        <v>51074.879999999997</v>
      </c>
    </row>
    <row r="60" spans="1:3" x14ac:dyDescent="0.25">
      <c r="A60" t="s">
        <v>121</v>
      </c>
      <c r="B60" t="s">
        <v>28</v>
      </c>
      <c r="C60">
        <v>91541.45</v>
      </c>
    </row>
    <row r="61" spans="1:3" x14ac:dyDescent="0.25">
      <c r="A61" t="s">
        <v>123</v>
      </c>
      <c r="B61" t="s">
        <v>35</v>
      </c>
      <c r="C61">
        <v>42743.26</v>
      </c>
    </row>
    <row r="62" spans="1:3" x14ac:dyDescent="0.25">
      <c r="A62" t="s">
        <v>74</v>
      </c>
      <c r="B62" t="s">
        <v>28</v>
      </c>
      <c r="C62">
        <v>47660.06</v>
      </c>
    </row>
    <row r="63" spans="1:3" x14ac:dyDescent="0.25">
      <c r="A63" t="s">
        <v>132</v>
      </c>
      <c r="B63" t="s">
        <v>28</v>
      </c>
      <c r="C63">
        <v>42772.28</v>
      </c>
    </row>
    <row r="64" spans="1:3" x14ac:dyDescent="0.25">
      <c r="A64" t="s">
        <v>120</v>
      </c>
      <c r="B64" t="s">
        <v>26</v>
      </c>
      <c r="C64">
        <v>69056.039999999994</v>
      </c>
    </row>
    <row r="65" spans="1:3" x14ac:dyDescent="0.25">
      <c r="A65" t="s">
        <v>113</v>
      </c>
      <c r="B65" t="s">
        <v>28</v>
      </c>
      <c r="C65">
        <v>88309.1</v>
      </c>
    </row>
    <row r="66" spans="1:3" x14ac:dyDescent="0.25">
      <c r="A66" t="s">
        <v>120</v>
      </c>
      <c r="B66" t="s">
        <v>35</v>
      </c>
      <c r="C66">
        <v>64850.78</v>
      </c>
    </row>
    <row r="67" spans="1:3" x14ac:dyDescent="0.25">
      <c r="A67" t="s">
        <v>121</v>
      </c>
      <c r="B67" t="s">
        <v>31</v>
      </c>
      <c r="C67">
        <v>64793.06</v>
      </c>
    </row>
    <row r="68" spans="1:3" x14ac:dyDescent="0.25">
      <c r="A68" t="s">
        <v>138</v>
      </c>
      <c r="B68" t="s">
        <v>35</v>
      </c>
      <c r="C68">
        <v>78059.149999999994</v>
      </c>
    </row>
    <row r="69" spans="1:3" x14ac:dyDescent="0.25">
      <c r="A69" t="s">
        <v>139</v>
      </c>
      <c r="B69" t="s">
        <v>28</v>
      </c>
      <c r="C69">
        <v>11086.35</v>
      </c>
    </row>
    <row r="70" spans="1:3" x14ac:dyDescent="0.25">
      <c r="A70" t="s">
        <v>124</v>
      </c>
      <c r="B70" t="s">
        <v>24</v>
      </c>
      <c r="C70">
        <v>44511.12</v>
      </c>
    </row>
    <row r="71" spans="1:3" x14ac:dyDescent="0.25">
      <c r="A71" t="s">
        <v>140</v>
      </c>
      <c r="B71" t="s">
        <v>24</v>
      </c>
      <c r="C71">
        <v>120358</v>
      </c>
    </row>
    <row r="72" spans="1:3" x14ac:dyDescent="0.25">
      <c r="A72" t="s">
        <v>122</v>
      </c>
      <c r="B72" t="s">
        <v>23</v>
      </c>
      <c r="C72">
        <v>44111.6</v>
      </c>
    </row>
    <row r="73" spans="1:3" x14ac:dyDescent="0.25">
      <c r="A73" t="s">
        <v>139</v>
      </c>
      <c r="B73" t="s">
        <v>29</v>
      </c>
      <c r="C73">
        <v>67141.02</v>
      </c>
    </row>
    <row r="74" spans="1:3" x14ac:dyDescent="0.25">
      <c r="A74" t="s">
        <v>134</v>
      </c>
      <c r="B74" t="s">
        <v>23</v>
      </c>
      <c r="C74">
        <v>55852.45</v>
      </c>
    </row>
    <row r="75" spans="1:3" x14ac:dyDescent="0.25">
      <c r="A75" t="s">
        <v>122</v>
      </c>
      <c r="B75" t="s">
        <v>24</v>
      </c>
      <c r="C75">
        <v>66337.7</v>
      </c>
    </row>
    <row r="76" spans="1:3" x14ac:dyDescent="0.25">
      <c r="A76" t="s">
        <v>118</v>
      </c>
      <c r="B76" t="s">
        <v>35</v>
      </c>
      <c r="C76">
        <v>56567.64</v>
      </c>
    </row>
    <row r="77" spans="1:3" x14ac:dyDescent="0.25">
      <c r="A77" t="s">
        <v>134</v>
      </c>
      <c r="B77" t="s">
        <v>33</v>
      </c>
      <c r="C77">
        <v>75677.83</v>
      </c>
    </row>
    <row r="78" spans="1:3" x14ac:dyDescent="0.25">
      <c r="A78" t="s">
        <v>114</v>
      </c>
      <c r="B78" t="s">
        <v>34</v>
      </c>
      <c r="C78">
        <v>48513.78</v>
      </c>
    </row>
    <row r="79" spans="1:3" x14ac:dyDescent="0.25">
      <c r="A79" t="s">
        <v>134</v>
      </c>
      <c r="B79" t="s">
        <v>29</v>
      </c>
      <c r="C79">
        <v>52198.21</v>
      </c>
    </row>
    <row r="80" spans="1:3" x14ac:dyDescent="0.25">
      <c r="A80" t="s">
        <v>129</v>
      </c>
      <c r="B80" t="s">
        <v>35</v>
      </c>
      <c r="C80">
        <v>70737.86</v>
      </c>
    </row>
    <row r="81" spans="1:3" x14ac:dyDescent="0.25">
      <c r="A81" t="s">
        <v>129</v>
      </c>
      <c r="B81" t="s">
        <v>23</v>
      </c>
      <c r="C81">
        <v>110115.5</v>
      </c>
    </row>
    <row r="82" spans="1:3" x14ac:dyDescent="0.25">
      <c r="A82" t="s">
        <v>118</v>
      </c>
      <c r="B82" t="s">
        <v>23</v>
      </c>
      <c r="C82">
        <v>66423.69</v>
      </c>
    </row>
    <row r="83" spans="1:3" x14ac:dyDescent="0.25">
      <c r="A83" t="s">
        <v>120</v>
      </c>
      <c r="B83" t="s">
        <v>29</v>
      </c>
      <c r="C83">
        <v>64748.58</v>
      </c>
    </row>
    <row r="84" spans="1:3" x14ac:dyDescent="0.25">
      <c r="A84" t="s">
        <v>131</v>
      </c>
      <c r="B84" t="s">
        <v>26</v>
      </c>
      <c r="C84">
        <v>46989.8</v>
      </c>
    </row>
    <row r="85" spans="1:3" x14ac:dyDescent="0.25">
      <c r="A85" t="s">
        <v>115</v>
      </c>
      <c r="B85" t="s">
        <v>35</v>
      </c>
      <c r="C85">
        <v>66125.149999999994</v>
      </c>
    </row>
    <row r="86" spans="1:3" x14ac:dyDescent="0.25">
      <c r="A86" t="s">
        <v>138</v>
      </c>
      <c r="B86" t="s">
        <v>26</v>
      </c>
      <c r="C86">
        <v>91371.520000000004</v>
      </c>
    </row>
    <row r="87" spans="1:3" x14ac:dyDescent="0.25">
      <c r="A87" t="s">
        <v>132</v>
      </c>
      <c r="B87" t="s">
        <v>35</v>
      </c>
      <c r="C87">
        <v>87501.62</v>
      </c>
    </row>
    <row r="88" spans="1:3" x14ac:dyDescent="0.25">
      <c r="A88" t="s">
        <v>112</v>
      </c>
      <c r="B88" t="s">
        <v>33</v>
      </c>
      <c r="C88">
        <v>26661.42</v>
      </c>
    </row>
    <row r="89" spans="1:3" x14ac:dyDescent="0.25">
      <c r="A89" t="s">
        <v>127</v>
      </c>
      <c r="B89" t="s">
        <v>33</v>
      </c>
      <c r="C89">
        <v>19479.5</v>
      </c>
    </row>
    <row r="90" spans="1:3" x14ac:dyDescent="0.25">
      <c r="A90" t="s">
        <v>118</v>
      </c>
      <c r="B90" t="s">
        <v>31</v>
      </c>
      <c r="C90">
        <v>95035.65</v>
      </c>
    </row>
    <row r="91" spans="1:3" x14ac:dyDescent="0.25">
      <c r="A91" t="s">
        <v>124</v>
      </c>
      <c r="B91" t="s">
        <v>26</v>
      </c>
      <c r="C91">
        <v>79828.399999999994</v>
      </c>
    </row>
    <row r="92" spans="1:3" x14ac:dyDescent="0.25">
      <c r="A92" t="s">
        <v>118</v>
      </c>
      <c r="B92" t="s">
        <v>22</v>
      </c>
      <c r="C92">
        <v>44053.68</v>
      </c>
    </row>
    <row r="93" spans="1:3" x14ac:dyDescent="0.25">
      <c r="A93" t="s">
        <v>133</v>
      </c>
      <c r="B93" t="s">
        <v>35</v>
      </c>
      <c r="C93">
        <v>26893.73</v>
      </c>
    </row>
    <row r="94" spans="1:3" x14ac:dyDescent="0.25">
      <c r="A94" t="s">
        <v>123</v>
      </c>
      <c r="B94" t="s">
        <v>32</v>
      </c>
      <c r="C94">
        <v>74287.02</v>
      </c>
    </row>
    <row r="95" spans="1:3" x14ac:dyDescent="0.25">
      <c r="A95" t="s">
        <v>106</v>
      </c>
      <c r="B95" t="s">
        <v>31</v>
      </c>
      <c r="C95">
        <v>62963.45</v>
      </c>
    </row>
    <row r="96" spans="1:3" x14ac:dyDescent="0.25">
      <c r="A96" t="s">
        <v>74</v>
      </c>
      <c r="B96" t="s">
        <v>22</v>
      </c>
      <c r="C96">
        <v>68184.84</v>
      </c>
    </row>
    <row r="97" spans="1:3" x14ac:dyDescent="0.25">
      <c r="A97" t="s">
        <v>127</v>
      </c>
      <c r="B97" t="s">
        <v>29</v>
      </c>
      <c r="C97">
        <v>97274</v>
      </c>
    </row>
    <row r="98" spans="1:3" x14ac:dyDescent="0.25">
      <c r="A98" t="s">
        <v>139</v>
      </c>
      <c r="B98" t="s">
        <v>24</v>
      </c>
      <c r="C98">
        <v>56769.18</v>
      </c>
    </row>
    <row r="99" spans="1:3" x14ac:dyDescent="0.25">
      <c r="A99" t="s">
        <v>74</v>
      </c>
      <c r="B99" t="s">
        <v>33</v>
      </c>
      <c r="C99">
        <v>68305.06</v>
      </c>
    </row>
    <row r="100" spans="1:3" x14ac:dyDescent="0.25">
      <c r="A100" t="s">
        <v>124</v>
      </c>
      <c r="B100" t="s">
        <v>29</v>
      </c>
      <c r="C100">
        <v>19182.95</v>
      </c>
    </row>
    <row r="101" spans="1:3" x14ac:dyDescent="0.25">
      <c r="A101" t="s">
        <v>125</v>
      </c>
      <c r="B101" t="s">
        <v>34</v>
      </c>
      <c r="C101">
        <v>91846.95</v>
      </c>
    </row>
    <row r="102" spans="1:3" x14ac:dyDescent="0.25">
      <c r="A102" t="s">
        <v>126</v>
      </c>
      <c r="B102" t="s">
        <v>32</v>
      </c>
      <c r="C102">
        <v>69681.88</v>
      </c>
    </row>
    <row r="103" spans="1:3" x14ac:dyDescent="0.25">
      <c r="A103" t="s">
        <v>112</v>
      </c>
      <c r="B103" t="s">
        <v>23</v>
      </c>
      <c r="C103">
        <v>14657.47</v>
      </c>
    </row>
    <row r="104" spans="1:3" x14ac:dyDescent="0.25">
      <c r="A104" t="s">
        <v>74</v>
      </c>
      <c r="B104" t="s">
        <v>26</v>
      </c>
      <c r="C104">
        <v>65960.19</v>
      </c>
    </row>
    <row r="105" spans="1:3" x14ac:dyDescent="0.25">
      <c r="A105" t="s">
        <v>141</v>
      </c>
      <c r="B105" t="s">
        <v>26</v>
      </c>
      <c r="C105">
        <v>66473.88</v>
      </c>
    </row>
    <row r="106" spans="1:3" x14ac:dyDescent="0.25">
      <c r="A106" t="s">
        <v>133</v>
      </c>
      <c r="B106" t="s">
        <v>23</v>
      </c>
      <c r="C106">
        <v>83131.41</v>
      </c>
    </row>
    <row r="107" spans="1:3" x14ac:dyDescent="0.25">
      <c r="A107" t="s">
        <v>120</v>
      </c>
      <c r="B107" t="s">
        <v>23</v>
      </c>
      <c r="C107">
        <v>65229.25</v>
      </c>
    </row>
    <row r="108" spans="1:3" x14ac:dyDescent="0.25">
      <c r="A108" t="s">
        <v>135</v>
      </c>
      <c r="B108" t="s">
        <v>32</v>
      </c>
      <c r="C108">
        <v>55829.8</v>
      </c>
    </row>
    <row r="109" spans="1:3" x14ac:dyDescent="0.25">
      <c r="A109" t="s">
        <v>127</v>
      </c>
      <c r="B109" t="s">
        <v>23</v>
      </c>
      <c r="C109">
        <v>69477.960000000006</v>
      </c>
    </row>
    <row r="110" spans="1:3" x14ac:dyDescent="0.25">
      <c r="A110" t="s">
        <v>118</v>
      </c>
      <c r="B110" t="s">
        <v>33</v>
      </c>
      <c r="C110">
        <v>62846.87</v>
      </c>
    </row>
    <row r="111" spans="1:3" x14ac:dyDescent="0.25">
      <c r="A111" t="s">
        <v>135</v>
      </c>
      <c r="B111" t="s">
        <v>22</v>
      </c>
      <c r="C111">
        <v>47241.9</v>
      </c>
    </row>
    <row r="112" spans="1:3" x14ac:dyDescent="0.25">
      <c r="A112" t="s">
        <v>134</v>
      </c>
      <c r="B112" t="s">
        <v>24</v>
      </c>
      <c r="C112">
        <v>74422.52</v>
      </c>
    </row>
    <row r="113" spans="1:3" x14ac:dyDescent="0.25">
      <c r="A113" t="s">
        <v>93</v>
      </c>
      <c r="B113" t="s">
        <v>29</v>
      </c>
      <c r="C113">
        <v>46063.63</v>
      </c>
    </row>
    <row r="114" spans="1:3" x14ac:dyDescent="0.25">
      <c r="A114" t="s">
        <v>119</v>
      </c>
      <c r="B114" t="s">
        <v>32</v>
      </c>
      <c r="C114">
        <v>111782.38</v>
      </c>
    </row>
    <row r="115" spans="1:3" x14ac:dyDescent="0.25">
      <c r="A115" t="s">
        <v>142</v>
      </c>
      <c r="B115" t="s">
        <v>35</v>
      </c>
      <c r="C115">
        <v>54697.21</v>
      </c>
    </row>
    <row r="116" spans="1:3" x14ac:dyDescent="0.25">
      <c r="A116" t="s">
        <v>137</v>
      </c>
      <c r="B116" t="s">
        <v>33</v>
      </c>
      <c r="C116">
        <v>45086.71</v>
      </c>
    </row>
    <row r="117" spans="1:3" x14ac:dyDescent="0.25">
      <c r="A117" t="s">
        <v>120</v>
      </c>
      <c r="B117" t="s">
        <v>32</v>
      </c>
      <c r="C117">
        <v>24961.54</v>
      </c>
    </row>
    <row r="118" spans="1:3" x14ac:dyDescent="0.25">
      <c r="A118" t="s">
        <v>143</v>
      </c>
      <c r="B118" t="s">
        <v>29</v>
      </c>
      <c r="C118">
        <v>110206.8</v>
      </c>
    </row>
    <row r="119" spans="1:3" x14ac:dyDescent="0.25">
      <c r="A119" t="s">
        <v>74</v>
      </c>
      <c r="B119" t="s">
        <v>31</v>
      </c>
      <c r="C119">
        <v>63780.23</v>
      </c>
    </row>
    <row r="120" spans="1:3" x14ac:dyDescent="0.25">
      <c r="A120" t="s">
        <v>74</v>
      </c>
      <c r="B120" t="s">
        <v>29</v>
      </c>
      <c r="C120">
        <v>56885.3</v>
      </c>
    </row>
    <row r="121" spans="1:3" x14ac:dyDescent="0.25">
      <c r="A121" t="s">
        <v>144</v>
      </c>
      <c r="B121" t="s">
        <v>35</v>
      </c>
      <c r="C121">
        <v>42439.3</v>
      </c>
    </row>
    <row r="122" spans="1:3" x14ac:dyDescent="0.25">
      <c r="A122" t="s">
        <v>131</v>
      </c>
      <c r="B122" t="s">
        <v>35</v>
      </c>
      <c r="C122">
        <v>29831.200000000001</v>
      </c>
    </row>
    <row r="123" spans="1:3" x14ac:dyDescent="0.25">
      <c r="A123" t="s">
        <v>134</v>
      </c>
      <c r="B123" t="s">
        <v>26</v>
      </c>
      <c r="C123">
        <v>67454.19</v>
      </c>
    </row>
    <row r="124" spans="1:3" x14ac:dyDescent="0.25">
      <c r="A124" t="s">
        <v>132</v>
      </c>
      <c r="B124" t="s">
        <v>24</v>
      </c>
      <c r="C124">
        <v>92862</v>
      </c>
    </row>
    <row r="125" spans="1:3" x14ac:dyDescent="0.25">
      <c r="A125" t="s">
        <v>113</v>
      </c>
      <c r="B125" t="s">
        <v>34</v>
      </c>
      <c r="C125">
        <v>59385.66</v>
      </c>
    </row>
    <row r="126" spans="1:3" x14ac:dyDescent="0.25">
      <c r="A126" t="s">
        <v>112</v>
      </c>
      <c r="B126" t="s">
        <v>35</v>
      </c>
      <c r="C126">
        <v>63642.99</v>
      </c>
    </row>
    <row r="127" spans="1:3" x14ac:dyDescent="0.25">
      <c r="A127" t="s">
        <v>141</v>
      </c>
      <c r="B127" t="s">
        <v>33</v>
      </c>
      <c r="C127">
        <v>66824.100000000006</v>
      </c>
    </row>
    <row r="128" spans="1:3" x14ac:dyDescent="0.25">
      <c r="A128" t="s">
        <v>106</v>
      </c>
      <c r="B128" t="s">
        <v>23</v>
      </c>
      <c r="C128">
        <v>32279.18</v>
      </c>
    </row>
    <row r="129" spans="1:3" x14ac:dyDescent="0.25">
      <c r="A129" t="s">
        <v>131</v>
      </c>
      <c r="B129" t="s">
        <v>24</v>
      </c>
      <c r="C129">
        <v>44197.09</v>
      </c>
    </row>
    <row r="130" spans="1:3" x14ac:dyDescent="0.25">
      <c r="A130" t="s">
        <v>125</v>
      </c>
      <c r="B130" t="s">
        <v>35</v>
      </c>
      <c r="C130">
        <v>62558.85</v>
      </c>
    </row>
    <row r="131" spans="1:3" x14ac:dyDescent="0.25">
      <c r="A131" t="s">
        <v>93</v>
      </c>
      <c r="B131" t="s">
        <v>32</v>
      </c>
      <c r="C131">
        <v>40026.199999999997</v>
      </c>
    </row>
    <row r="132" spans="1:3" x14ac:dyDescent="0.25">
      <c r="A132" t="s">
        <v>106</v>
      </c>
      <c r="B132" t="s">
        <v>24</v>
      </c>
      <c r="C132">
        <v>38082.76</v>
      </c>
    </row>
    <row r="133" spans="1:3" x14ac:dyDescent="0.25">
      <c r="A133" t="s">
        <v>106</v>
      </c>
      <c r="B133" t="s">
        <v>33</v>
      </c>
      <c r="C133">
        <v>123577.58</v>
      </c>
    </row>
    <row r="134" spans="1:3" x14ac:dyDescent="0.25">
      <c r="A134" t="s">
        <v>138</v>
      </c>
      <c r="B134" t="s">
        <v>33</v>
      </c>
      <c r="C134">
        <v>83713.3</v>
      </c>
    </row>
    <row r="135" spans="1:3" x14ac:dyDescent="0.25">
      <c r="A135" t="s">
        <v>121</v>
      </c>
      <c r="B135" t="s">
        <v>34</v>
      </c>
      <c r="C135">
        <v>112041.76</v>
      </c>
    </row>
    <row r="136" spans="1:3" x14ac:dyDescent="0.25">
      <c r="A136" t="s">
        <v>120</v>
      </c>
      <c r="B136" t="s">
        <v>33</v>
      </c>
      <c r="C136">
        <v>66415.05</v>
      </c>
    </row>
    <row r="137" spans="1:3" x14ac:dyDescent="0.25">
      <c r="A137" t="s">
        <v>125</v>
      </c>
      <c r="B137" t="s">
        <v>31</v>
      </c>
      <c r="C137">
        <v>35456.47</v>
      </c>
    </row>
    <row r="138" spans="1:3" x14ac:dyDescent="0.25">
      <c r="A138" t="s">
        <v>135</v>
      </c>
      <c r="B138" t="s">
        <v>35</v>
      </c>
      <c r="C138">
        <v>37254.89</v>
      </c>
    </row>
    <row r="139" spans="1:3" x14ac:dyDescent="0.25">
      <c r="A139" t="s">
        <v>123</v>
      </c>
      <c r="B139" t="s">
        <v>34</v>
      </c>
      <c r="C139">
        <v>75667.97</v>
      </c>
    </row>
    <row r="140" spans="1:3" x14ac:dyDescent="0.25">
      <c r="A140" t="s">
        <v>141</v>
      </c>
      <c r="B140" t="s">
        <v>28</v>
      </c>
      <c r="C140">
        <v>11201.57</v>
      </c>
    </row>
    <row r="141" spans="1:3" x14ac:dyDescent="0.25">
      <c r="A141" t="s">
        <v>102</v>
      </c>
      <c r="B141" t="s">
        <v>31</v>
      </c>
      <c r="C141">
        <v>61062.400000000001</v>
      </c>
    </row>
    <row r="142" spans="1:3" x14ac:dyDescent="0.25">
      <c r="A142" t="s">
        <v>131</v>
      </c>
      <c r="B142" t="s">
        <v>34</v>
      </c>
      <c r="C142">
        <v>7982.32</v>
      </c>
    </row>
    <row r="143" spans="1:3" x14ac:dyDescent="0.25">
      <c r="A143" t="s">
        <v>119</v>
      </c>
      <c r="B143" t="s">
        <v>29</v>
      </c>
      <c r="C143">
        <v>62999.43</v>
      </c>
    </row>
    <row r="144" spans="1:3" x14ac:dyDescent="0.25">
      <c r="A144" t="s">
        <v>127</v>
      </c>
      <c r="B144" t="s">
        <v>31</v>
      </c>
      <c r="C144">
        <v>55829.8</v>
      </c>
    </row>
    <row r="145" spans="1:3" x14ac:dyDescent="0.25">
      <c r="A145" t="s">
        <v>124</v>
      </c>
      <c r="B145" t="s">
        <v>33</v>
      </c>
      <c r="C145">
        <v>52597.53</v>
      </c>
    </row>
    <row r="146" spans="1:3" x14ac:dyDescent="0.25">
      <c r="A146" t="s">
        <v>113</v>
      </c>
      <c r="B146" t="s">
        <v>35</v>
      </c>
      <c r="C146">
        <v>71733.16</v>
      </c>
    </row>
    <row r="147" spans="1:3" x14ac:dyDescent="0.25">
      <c r="A147" t="s">
        <v>141</v>
      </c>
      <c r="B147" t="s">
        <v>24</v>
      </c>
      <c r="C147">
        <v>57096.22</v>
      </c>
    </row>
    <row r="148" spans="1:3" x14ac:dyDescent="0.25">
      <c r="A148" t="s">
        <v>127</v>
      </c>
      <c r="B148" t="s">
        <v>35</v>
      </c>
      <c r="C148">
        <v>64410.44</v>
      </c>
    </row>
    <row r="149" spans="1:3" x14ac:dyDescent="0.25">
      <c r="A149" t="s">
        <v>117</v>
      </c>
      <c r="B149" t="s">
        <v>23</v>
      </c>
      <c r="C149">
        <v>45273.14</v>
      </c>
    </row>
    <row r="150" spans="1:3" x14ac:dyDescent="0.25">
      <c r="A150" t="s">
        <v>142</v>
      </c>
      <c r="B150" t="s">
        <v>26</v>
      </c>
      <c r="C150">
        <v>24757.46</v>
      </c>
    </row>
    <row r="151" spans="1:3" x14ac:dyDescent="0.25">
      <c r="A151" t="s">
        <v>102</v>
      </c>
      <c r="B151" t="s">
        <v>29</v>
      </c>
      <c r="C151">
        <v>36293.519999999997</v>
      </c>
    </row>
    <row r="152" spans="1:3" x14ac:dyDescent="0.25">
      <c r="A152" t="s">
        <v>135</v>
      </c>
      <c r="B152" t="s">
        <v>29</v>
      </c>
      <c r="C152">
        <v>42248.81</v>
      </c>
    </row>
    <row r="153" spans="1:3" x14ac:dyDescent="0.25">
      <c r="A153" t="s">
        <v>133</v>
      </c>
      <c r="B153" t="s">
        <v>31</v>
      </c>
      <c r="C153">
        <v>6984.38</v>
      </c>
    </row>
    <row r="154" spans="1:3" x14ac:dyDescent="0.25">
      <c r="A154" t="s">
        <v>93</v>
      </c>
      <c r="B154" t="s">
        <v>26</v>
      </c>
      <c r="C154">
        <v>52744.52</v>
      </c>
    </row>
    <row r="155" spans="1:3" x14ac:dyDescent="0.25">
      <c r="A155" t="s">
        <v>118</v>
      </c>
      <c r="B155" t="s">
        <v>34</v>
      </c>
      <c r="C155">
        <v>30141.05</v>
      </c>
    </row>
    <row r="156" spans="1:3" x14ac:dyDescent="0.25">
      <c r="A156" t="s">
        <v>106</v>
      </c>
      <c r="B156" t="s">
        <v>35</v>
      </c>
      <c r="C156">
        <v>57705.16</v>
      </c>
    </row>
    <row r="157" spans="1:3" x14ac:dyDescent="0.25">
      <c r="A157" t="s">
        <v>119</v>
      </c>
      <c r="B157" t="s">
        <v>31</v>
      </c>
      <c r="C157">
        <v>84891.98</v>
      </c>
    </row>
    <row r="158" spans="1:3" x14ac:dyDescent="0.25">
      <c r="A158" t="s">
        <v>115</v>
      </c>
      <c r="B158" t="s">
        <v>34</v>
      </c>
      <c r="C158">
        <v>96011.66</v>
      </c>
    </row>
    <row r="159" spans="1:3" x14ac:dyDescent="0.25">
      <c r="A159" t="s">
        <v>112</v>
      </c>
      <c r="B159" t="s">
        <v>24</v>
      </c>
      <c r="C159">
        <v>38435.18</v>
      </c>
    </row>
    <row r="160" spans="1:3" x14ac:dyDescent="0.25">
      <c r="A160" t="s">
        <v>145</v>
      </c>
      <c r="B160" t="s">
        <v>22</v>
      </c>
      <c r="C160">
        <v>129598</v>
      </c>
    </row>
    <row r="161" spans="1:3" x14ac:dyDescent="0.25">
      <c r="A161" t="s">
        <v>93</v>
      </c>
      <c r="B161" t="s">
        <v>23</v>
      </c>
      <c r="C161">
        <v>51072.02</v>
      </c>
    </row>
    <row r="162" spans="1:3" x14ac:dyDescent="0.25">
      <c r="A162" t="s">
        <v>129</v>
      </c>
      <c r="B162" t="s">
        <v>34</v>
      </c>
      <c r="C162">
        <v>66425</v>
      </c>
    </row>
    <row r="163" spans="1:3" x14ac:dyDescent="0.25">
      <c r="A163" t="s">
        <v>130</v>
      </c>
      <c r="B163" t="s">
        <v>35</v>
      </c>
      <c r="C163">
        <v>39663.879999999997</v>
      </c>
    </row>
    <row r="164" spans="1:3" x14ac:dyDescent="0.25">
      <c r="A164" t="s">
        <v>138</v>
      </c>
      <c r="B164" t="s">
        <v>31</v>
      </c>
      <c r="C164">
        <v>17804</v>
      </c>
    </row>
    <row r="165" spans="1:3" x14ac:dyDescent="0.25">
      <c r="A165" t="s">
        <v>118</v>
      </c>
      <c r="B165" t="s">
        <v>24</v>
      </c>
      <c r="C165">
        <v>59033.38</v>
      </c>
    </row>
    <row r="166" spans="1:3" x14ac:dyDescent="0.25">
      <c r="A166" t="s">
        <v>131</v>
      </c>
      <c r="B166" t="s">
        <v>23</v>
      </c>
      <c r="C166">
        <v>70348.350000000006</v>
      </c>
    </row>
    <row r="167" spans="1:3" x14ac:dyDescent="0.25">
      <c r="A167" t="s">
        <v>133</v>
      </c>
      <c r="B167" t="s">
        <v>22</v>
      </c>
      <c r="C167">
        <v>88318.05</v>
      </c>
    </row>
    <row r="168" spans="1:3" x14ac:dyDescent="0.25">
      <c r="A168" t="s">
        <v>136</v>
      </c>
      <c r="B168" t="s">
        <v>35</v>
      </c>
      <c r="C168">
        <v>89247.4</v>
      </c>
    </row>
    <row r="169" spans="1:3" x14ac:dyDescent="0.25">
      <c r="A169" t="s">
        <v>113</v>
      </c>
      <c r="B169" t="s">
        <v>31</v>
      </c>
      <c r="C169">
        <v>77016.5</v>
      </c>
    </row>
    <row r="170" spans="1:3" x14ac:dyDescent="0.25">
      <c r="A170" t="s">
        <v>112</v>
      </c>
      <c r="B170" t="s">
        <v>28</v>
      </c>
      <c r="C170">
        <v>52265.32</v>
      </c>
    </row>
    <row r="171" spans="1:3" x14ac:dyDescent="0.25">
      <c r="A171" t="s">
        <v>146</v>
      </c>
      <c r="B171" t="s">
        <v>35</v>
      </c>
      <c r="C171">
        <v>38117.32</v>
      </c>
    </row>
    <row r="172" spans="1:3" x14ac:dyDescent="0.25">
      <c r="A172" t="s">
        <v>121</v>
      </c>
      <c r="B172" t="s">
        <v>24</v>
      </c>
      <c r="C172">
        <v>82123.97</v>
      </c>
    </row>
    <row r="173" spans="1:3" x14ac:dyDescent="0.25">
      <c r="A173" t="s">
        <v>134</v>
      </c>
      <c r="B173" t="s">
        <v>31</v>
      </c>
      <c r="C173">
        <v>10163.16</v>
      </c>
    </row>
    <row r="174" spans="1:3" x14ac:dyDescent="0.25">
      <c r="A174" t="s">
        <v>131</v>
      </c>
      <c r="B174" t="s">
        <v>22</v>
      </c>
      <c r="C174">
        <v>78233.7</v>
      </c>
    </row>
    <row r="175" spans="1:3" x14ac:dyDescent="0.25">
      <c r="A175" t="s">
        <v>106</v>
      </c>
      <c r="B175" t="s">
        <v>34</v>
      </c>
      <c r="C175">
        <v>91130.05</v>
      </c>
    </row>
    <row r="176" spans="1:3" x14ac:dyDescent="0.25">
      <c r="A176" t="s">
        <v>143</v>
      </c>
      <c r="B176" t="s">
        <v>35</v>
      </c>
      <c r="C176">
        <v>50596.32</v>
      </c>
    </row>
    <row r="177" spans="1:3" x14ac:dyDescent="0.25">
      <c r="A177" t="s">
        <v>128</v>
      </c>
      <c r="B177" t="s">
        <v>31</v>
      </c>
      <c r="C177">
        <v>1624.69</v>
      </c>
    </row>
    <row r="178" spans="1:3" x14ac:dyDescent="0.25">
      <c r="A178" t="s">
        <v>114</v>
      </c>
      <c r="B178" t="s">
        <v>22</v>
      </c>
      <c r="C178">
        <v>65758.55</v>
      </c>
    </row>
    <row r="179" spans="1:3" x14ac:dyDescent="0.25">
      <c r="A179" t="s">
        <v>131</v>
      </c>
      <c r="B179" t="s">
        <v>31</v>
      </c>
      <c r="C179">
        <v>16169.42</v>
      </c>
    </row>
    <row r="180" spans="1:3" x14ac:dyDescent="0.25">
      <c r="A180" t="s">
        <v>134</v>
      </c>
      <c r="B180" t="s">
        <v>28</v>
      </c>
      <c r="C180">
        <v>98842.73</v>
      </c>
    </row>
    <row r="181" spans="1:3" x14ac:dyDescent="0.25">
      <c r="A181" t="s">
        <v>113</v>
      </c>
      <c r="B181" t="s">
        <v>29</v>
      </c>
      <c r="C181">
        <v>27442.14</v>
      </c>
    </row>
    <row r="182" spans="1:3" x14ac:dyDescent="0.25">
      <c r="A182" t="s">
        <v>135</v>
      </c>
      <c r="B182" t="s">
        <v>26</v>
      </c>
      <c r="C182">
        <v>7790.39</v>
      </c>
    </row>
    <row r="183" spans="1:3" x14ac:dyDescent="0.25">
      <c r="A183" t="s">
        <v>113</v>
      </c>
      <c r="B183" t="s">
        <v>33</v>
      </c>
      <c r="C183">
        <v>54079.199999999997</v>
      </c>
    </row>
    <row r="184" spans="1:3" x14ac:dyDescent="0.25">
      <c r="A184" t="s">
        <v>119</v>
      </c>
      <c r="B184" t="s">
        <v>33</v>
      </c>
      <c r="C184">
        <v>48997.85</v>
      </c>
    </row>
    <row r="185" spans="1:3" x14ac:dyDescent="0.25">
      <c r="A185" t="s">
        <v>128</v>
      </c>
      <c r="B185" t="s">
        <v>35</v>
      </c>
      <c r="C185">
        <v>81165.350000000006</v>
      </c>
    </row>
    <row r="186" spans="1:3" x14ac:dyDescent="0.25">
      <c r="A186" t="s">
        <v>93</v>
      </c>
      <c r="B186" t="s">
        <v>24</v>
      </c>
      <c r="C186">
        <v>53774.720000000001</v>
      </c>
    </row>
    <row r="187" spans="1:3" x14ac:dyDescent="0.25">
      <c r="A187" t="s">
        <v>128</v>
      </c>
      <c r="B187" t="s">
        <v>29</v>
      </c>
      <c r="C187">
        <v>39043.32</v>
      </c>
    </row>
    <row r="188" spans="1:3" x14ac:dyDescent="0.25">
      <c r="A188" t="s">
        <v>142</v>
      </c>
      <c r="B188" t="s">
        <v>24</v>
      </c>
      <c r="C188">
        <v>140010.20000000001</v>
      </c>
    </row>
    <row r="189" spans="1:3" x14ac:dyDescent="0.25">
      <c r="A189" t="s">
        <v>137</v>
      </c>
      <c r="B189" t="s">
        <v>31</v>
      </c>
      <c r="C189">
        <v>46251.6</v>
      </c>
    </row>
    <row r="190" spans="1:3" x14ac:dyDescent="0.25">
      <c r="A190" t="s">
        <v>135</v>
      </c>
      <c r="B190" t="s">
        <v>33</v>
      </c>
      <c r="C190">
        <v>35816.620000000003</v>
      </c>
    </row>
    <row r="191" spans="1:3" x14ac:dyDescent="0.25">
      <c r="A191" t="s">
        <v>106</v>
      </c>
      <c r="B191" t="s">
        <v>28</v>
      </c>
      <c r="C191">
        <v>37187.800000000003</v>
      </c>
    </row>
    <row r="192" spans="1:3" x14ac:dyDescent="0.25">
      <c r="A192" t="s">
        <v>102</v>
      </c>
      <c r="B192" t="s">
        <v>26</v>
      </c>
      <c r="C192">
        <v>54896.18</v>
      </c>
    </row>
    <row r="193" spans="1:3" x14ac:dyDescent="0.25">
      <c r="A193" t="s">
        <v>139</v>
      </c>
      <c r="B193" t="s">
        <v>22</v>
      </c>
      <c r="C193">
        <v>41433.699999999997</v>
      </c>
    </row>
    <row r="194" spans="1:3" x14ac:dyDescent="0.25">
      <c r="A194" t="s">
        <v>130</v>
      </c>
      <c r="B194" t="s">
        <v>23</v>
      </c>
      <c r="C194">
        <v>53840</v>
      </c>
    </row>
    <row r="195" spans="1:3" x14ac:dyDescent="0.25">
      <c r="A195" t="s">
        <v>134</v>
      </c>
      <c r="B195" t="s">
        <v>34</v>
      </c>
      <c r="C195">
        <v>63006.6</v>
      </c>
    </row>
    <row r="196" spans="1:3" x14ac:dyDescent="0.25">
      <c r="A196" t="s">
        <v>142</v>
      </c>
      <c r="B196" t="s">
        <v>32</v>
      </c>
      <c r="C196">
        <v>97450.75</v>
      </c>
    </row>
    <row r="197" spans="1:3" x14ac:dyDescent="0.25">
      <c r="A197" t="s">
        <v>122</v>
      </c>
      <c r="B197" t="s">
        <v>26</v>
      </c>
      <c r="C197">
        <v>60987.72</v>
      </c>
    </row>
    <row r="198" spans="1:3" x14ac:dyDescent="0.25">
      <c r="A198" t="s">
        <v>137</v>
      </c>
      <c r="B198" t="s">
        <v>29</v>
      </c>
      <c r="C198">
        <v>21097.47</v>
      </c>
    </row>
    <row r="199" spans="1:3" x14ac:dyDescent="0.25">
      <c r="A199" t="s">
        <v>133</v>
      </c>
      <c r="B199" t="s">
        <v>26</v>
      </c>
      <c r="C199">
        <v>10988</v>
      </c>
    </row>
    <row r="200" spans="1:3" x14ac:dyDescent="0.25">
      <c r="A200" t="s">
        <v>106</v>
      </c>
      <c r="B200" t="s">
        <v>29</v>
      </c>
      <c r="C200">
        <v>38969.040000000001</v>
      </c>
    </row>
    <row r="201" spans="1:3" x14ac:dyDescent="0.25">
      <c r="A201" t="s">
        <v>138</v>
      </c>
      <c r="B201" t="s">
        <v>29</v>
      </c>
      <c r="C201">
        <v>63768.05</v>
      </c>
    </row>
    <row r="202" spans="1:3" x14ac:dyDescent="0.25">
      <c r="A202" t="s">
        <v>140</v>
      </c>
      <c r="B202" t="s">
        <v>22</v>
      </c>
      <c r="C202">
        <v>109121.25</v>
      </c>
    </row>
    <row r="203" spans="1:3" x14ac:dyDescent="0.25">
      <c r="A203" t="s">
        <v>118</v>
      </c>
      <c r="B203" t="s">
        <v>28</v>
      </c>
      <c r="C203">
        <v>73957.88</v>
      </c>
    </row>
    <row r="204" spans="1:3" x14ac:dyDescent="0.25">
      <c r="A204" t="s">
        <v>106</v>
      </c>
      <c r="B204" t="s">
        <v>22</v>
      </c>
      <c r="C204">
        <v>42714.34</v>
      </c>
    </row>
    <row r="205" spans="1:3" x14ac:dyDescent="0.25">
      <c r="A205" t="s">
        <v>141</v>
      </c>
      <c r="B205" t="s">
        <v>35</v>
      </c>
      <c r="C205">
        <v>102828.85</v>
      </c>
    </row>
    <row r="206" spans="1:3" x14ac:dyDescent="0.25">
      <c r="A206" t="s">
        <v>106</v>
      </c>
      <c r="B206" t="s">
        <v>32</v>
      </c>
      <c r="C206">
        <v>76895.41</v>
      </c>
    </row>
    <row r="207" spans="1:3" x14ac:dyDescent="0.25">
      <c r="A207" t="s">
        <v>114</v>
      </c>
      <c r="B207" t="s">
        <v>31</v>
      </c>
      <c r="C207">
        <v>49035.89</v>
      </c>
    </row>
    <row r="208" spans="1:3" x14ac:dyDescent="0.25">
      <c r="A208" t="s">
        <v>124</v>
      </c>
      <c r="B208" t="s">
        <v>31</v>
      </c>
      <c r="C208">
        <v>73737.899999999994</v>
      </c>
    </row>
    <row r="209" spans="1:3" x14ac:dyDescent="0.25">
      <c r="A209" t="s">
        <v>126</v>
      </c>
      <c r="B209" t="s">
        <v>22</v>
      </c>
      <c r="C209">
        <v>41951</v>
      </c>
    </row>
    <row r="210" spans="1:3" x14ac:dyDescent="0.25">
      <c r="A210" t="s">
        <v>136</v>
      </c>
      <c r="B210" t="s">
        <v>26</v>
      </c>
      <c r="C210">
        <v>11984.22</v>
      </c>
    </row>
    <row r="211" spans="1:3" x14ac:dyDescent="0.25">
      <c r="A211" t="s">
        <v>141</v>
      </c>
      <c r="B211" t="s">
        <v>23</v>
      </c>
      <c r="C211">
        <v>51710.05</v>
      </c>
    </row>
    <row r="212" spans="1:3" x14ac:dyDescent="0.25">
      <c r="A212" t="s">
        <v>93</v>
      </c>
      <c r="B212" t="s">
        <v>31</v>
      </c>
      <c r="C212">
        <v>84229.59</v>
      </c>
    </row>
    <row r="213" spans="1:3" x14ac:dyDescent="0.25">
      <c r="A213" t="s">
        <v>140</v>
      </c>
      <c r="B213" t="s">
        <v>31</v>
      </c>
      <c r="C213">
        <v>74454.600000000006</v>
      </c>
    </row>
    <row r="214" spans="1:3" x14ac:dyDescent="0.25">
      <c r="A214" t="s">
        <v>114</v>
      </c>
      <c r="B214" t="s">
        <v>24</v>
      </c>
      <c r="C214">
        <v>42266.69</v>
      </c>
    </row>
    <row r="215" spans="1:3" x14ac:dyDescent="0.25">
      <c r="A215" t="s">
        <v>120</v>
      </c>
      <c r="B215" t="s">
        <v>22</v>
      </c>
      <c r="C215">
        <v>74228.61</v>
      </c>
    </row>
    <row r="216" spans="1:3" x14ac:dyDescent="0.25">
      <c r="A216" t="s">
        <v>120</v>
      </c>
      <c r="B216" t="s">
        <v>24</v>
      </c>
      <c r="C216">
        <v>75886.83</v>
      </c>
    </row>
    <row r="217" spans="1:3" x14ac:dyDescent="0.25">
      <c r="A217" t="s">
        <v>135</v>
      </c>
      <c r="B217" t="s">
        <v>23</v>
      </c>
      <c r="C217">
        <v>69342.45</v>
      </c>
    </row>
    <row r="218" spans="1:3" x14ac:dyDescent="0.25">
      <c r="A218" t="s">
        <v>114</v>
      </c>
      <c r="B218" t="s">
        <v>28</v>
      </c>
      <c r="C218">
        <v>41603.75</v>
      </c>
    </row>
    <row r="219" spans="1:3" x14ac:dyDescent="0.25">
      <c r="A219" t="s">
        <v>140</v>
      </c>
      <c r="B219" t="s">
        <v>34</v>
      </c>
      <c r="C219">
        <v>77832.95</v>
      </c>
    </row>
    <row r="220" spans="1:3" x14ac:dyDescent="0.25">
      <c r="A220" t="s">
        <v>115</v>
      </c>
      <c r="B220" t="s">
        <v>22</v>
      </c>
      <c r="C220">
        <v>85473.7</v>
      </c>
    </row>
    <row r="221" spans="1:3" x14ac:dyDescent="0.25">
      <c r="A221" t="s">
        <v>125</v>
      </c>
      <c r="B221" t="s">
        <v>22</v>
      </c>
      <c r="C221">
        <v>64479.26</v>
      </c>
    </row>
    <row r="222" spans="1:3" x14ac:dyDescent="0.25">
      <c r="A222" t="s">
        <v>125</v>
      </c>
      <c r="B222" t="s">
        <v>26</v>
      </c>
      <c r="C222">
        <v>52331.34</v>
      </c>
    </row>
    <row r="223" spans="1:3" x14ac:dyDescent="0.25">
      <c r="A223" t="s">
        <v>127</v>
      </c>
      <c r="B223" t="s">
        <v>22</v>
      </c>
      <c r="C223">
        <v>91850.8</v>
      </c>
    </row>
    <row r="224" spans="1:3" x14ac:dyDescent="0.25">
      <c r="A224" t="s">
        <v>141</v>
      </c>
      <c r="B224" t="s">
        <v>22</v>
      </c>
      <c r="C224">
        <v>82874.070000000007</v>
      </c>
    </row>
    <row r="225" spans="1:3" x14ac:dyDescent="0.25">
      <c r="A225" t="s">
        <v>121</v>
      </c>
      <c r="B225" t="s">
        <v>33</v>
      </c>
      <c r="C225">
        <v>85760.35</v>
      </c>
    </row>
    <row r="226" spans="1:3" x14ac:dyDescent="0.25">
      <c r="A226" t="s">
        <v>147</v>
      </c>
      <c r="B226" t="s">
        <v>29</v>
      </c>
      <c r="C226">
        <v>124347.5</v>
      </c>
    </row>
    <row r="227" spans="1:3" x14ac:dyDescent="0.25">
      <c r="A227" t="s">
        <v>113</v>
      </c>
      <c r="B227" t="s">
        <v>22</v>
      </c>
      <c r="C227">
        <v>51287.76</v>
      </c>
    </row>
    <row r="228" spans="1:3" x14ac:dyDescent="0.25">
      <c r="A228" t="s">
        <v>135</v>
      </c>
      <c r="B228" t="s">
        <v>28</v>
      </c>
      <c r="C228">
        <v>47701.77</v>
      </c>
    </row>
    <row r="229" spans="1:3" x14ac:dyDescent="0.25">
      <c r="A229" t="s">
        <v>123</v>
      </c>
      <c r="B229" t="s">
        <v>31</v>
      </c>
      <c r="C229">
        <v>77660.56</v>
      </c>
    </row>
    <row r="230" spans="1:3" x14ac:dyDescent="0.25">
      <c r="A230" t="s">
        <v>132</v>
      </c>
      <c r="B230" t="s">
        <v>29</v>
      </c>
      <c r="C230">
        <v>81186.5</v>
      </c>
    </row>
    <row r="231" spans="1:3" x14ac:dyDescent="0.25">
      <c r="A231" t="s">
        <v>145</v>
      </c>
      <c r="B231" t="s">
        <v>35</v>
      </c>
      <c r="C231">
        <v>64741.599999999999</v>
      </c>
    </row>
    <row r="232" spans="1:3" x14ac:dyDescent="0.25">
      <c r="A232" t="s">
        <v>141</v>
      </c>
      <c r="B232" t="s">
        <v>29</v>
      </c>
      <c r="C232">
        <v>52434.85</v>
      </c>
    </row>
    <row r="233" spans="1:3" x14ac:dyDescent="0.25">
      <c r="A233" t="s">
        <v>102</v>
      </c>
      <c r="B233" t="s">
        <v>28</v>
      </c>
      <c r="C233">
        <v>49257.14</v>
      </c>
    </row>
    <row r="234" spans="1:3" x14ac:dyDescent="0.25">
      <c r="A234" t="s">
        <v>126</v>
      </c>
      <c r="B234" t="s">
        <v>26</v>
      </c>
      <c r="C234">
        <v>110378.65</v>
      </c>
    </row>
    <row r="235" spans="1:3" x14ac:dyDescent="0.25">
      <c r="A235" t="s">
        <v>117</v>
      </c>
      <c r="B235" t="s">
        <v>35</v>
      </c>
      <c r="C235">
        <v>79750.58</v>
      </c>
    </row>
    <row r="236" spans="1:3" x14ac:dyDescent="0.25">
      <c r="A236" t="s">
        <v>122</v>
      </c>
      <c r="B236" t="s">
        <v>32</v>
      </c>
      <c r="C236">
        <v>80573.97</v>
      </c>
    </row>
    <row r="237" spans="1:3" x14ac:dyDescent="0.25">
      <c r="A237" t="s">
        <v>115</v>
      </c>
      <c r="B237" t="s">
        <v>23</v>
      </c>
      <c r="C237">
        <v>68969</v>
      </c>
    </row>
    <row r="238" spans="1:3" x14ac:dyDescent="0.25">
      <c r="A238" t="s">
        <v>137</v>
      </c>
      <c r="B238" t="s">
        <v>26</v>
      </c>
      <c r="C238">
        <v>33915.120000000003</v>
      </c>
    </row>
    <row r="239" spans="1:3" x14ac:dyDescent="0.25">
      <c r="A239" t="s">
        <v>139</v>
      </c>
      <c r="B239" t="s">
        <v>34</v>
      </c>
      <c r="C239">
        <v>58675.21</v>
      </c>
    </row>
    <row r="240" spans="1:3" x14ac:dyDescent="0.25">
      <c r="A240" t="s">
        <v>134</v>
      </c>
      <c r="B240" t="s">
        <v>32</v>
      </c>
      <c r="C240">
        <v>109598.88</v>
      </c>
    </row>
    <row r="241" spans="1:3" x14ac:dyDescent="0.25">
      <c r="A241" t="s">
        <v>145</v>
      </c>
      <c r="B241" t="s">
        <v>33</v>
      </c>
      <c r="C241">
        <v>74287.5</v>
      </c>
    </row>
    <row r="242" spans="1:3" x14ac:dyDescent="0.25">
      <c r="A242" t="s">
        <v>113</v>
      </c>
      <c r="B242" t="s">
        <v>26</v>
      </c>
      <c r="C242">
        <v>46969.9</v>
      </c>
    </row>
    <row r="243" spans="1:3" x14ac:dyDescent="0.25">
      <c r="A243" t="s">
        <v>113</v>
      </c>
      <c r="B243" t="s">
        <v>24</v>
      </c>
      <c r="C243">
        <v>9508.7199999999993</v>
      </c>
    </row>
    <row r="244" spans="1:3" x14ac:dyDescent="0.25">
      <c r="A244" t="s">
        <v>132</v>
      </c>
      <c r="B244" t="s">
        <v>31</v>
      </c>
      <c r="C244">
        <v>84912.5</v>
      </c>
    </row>
    <row r="245" spans="1:3" x14ac:dyDescent="0.25">
      <c r="A245" t="s">
        <v>126</v>
      </c>
      <c r="B245" t="s">
        <v>35</v>
      </c>
      <c r="C245">
        <v>35359.71</v>
      </c>
    </row>
    <row r="246" spans="1:3" x14ac:dyDescent="0.25">
      <c r="A246" t="s">
        <v>121</v>
      </c>
      <c r="B246" t="s">
        <v>22</v>
      </c>
      <c r="C246">
        <v>69707</v>
      </c>
    </row>
    <row r="247" spans="1:3" x14ac:dyDescent="0.25">
      <c r="A247" t="s">
        <v>128</v>
      </c>
      <c r="B247" t="s">
        <v>24</v>
      </c>
      <c r="C247">
        <v>11169.24</v>
      </c>
    </row>
    <row r="248" spans="1:3" x14ac:dyDescent="0.25">
      <c r="A248" t="s">
        <v>123</v>
      </c>
      <c r="B248" t="s">
        <v>22</v>
      </c>
      <c r="C248">
        <v>70302.78</v>
      </c>
    </row>
    <row r="249" spans="1:3" x14ac:dyDescent="0.25">
      <c r="A249" t="s">
        <v>143</v>
      </c>
      <c r="B249" t="s">
        <v>23</v>
      </c>
      <c r="C249">
        <v>54187.17</v>
      </c>
    </row>
    <row r="250" spans="1:3" x14ac:dyDescent="0.25">
      <c r="A250" t="s">
        <v>132</v>
      </c>
      <c r="B250" t="s">
        <v>33</v>
      </c>
      <c r="C250">
        <v>35727.660000000003</v>
      </c>
    </row>
    <row r="251" spans="1:3" x14ac:dyDescent="0.25">
      <c r="A251" t="s">
        <v>123</v>
      </c>
      <c r="B251" t="s">
        <v>29</v>
      </c>
      <c r="C251">
        <v>61882.32</v>
      </c>
    </row>
    <row r="252" spans="1:3" x14ac:dyDescent="0.25">
      <c r="A252" t="s">
        <v>137</v>
      </c>
      <c r="B252" t="s">
        <v>34</v>
      </c>
      <c r="C252">
        <v>62472.52</v>
      </c>
    </row>
    <row r="253" spans="1:3" x14ac:dyDescent="0.25">
      <c r="A253" t="s">
        <v>134</v>
      </c>
      <c r="B253" t="s">
        <v>22</v>
      </c>
      <c r="C253">
        <v>60432.28</v>
      </c>
    </row>
    <row r="254" spans="1:3" x14ac:dyDescent="0.25">
      <c r="A254" t="s">
        <v>129</v>
      </c>
      <c r="B254" t="s">
        <v>33</v>
      </c>
      <c r="C254">
        <v>66821.2</v>
      </c>
    </row>
    <row r="255" spans="1:3" x14ac:dyDescent="0.25">
      <c r="A255" t="s">
        <v>102</v>
      </c>
      <c r="B255" t="s">
        <v>23</v>
      </c>
      <c r="C255">
        <v>62114.65</v>
      </c>
    </row>
    <row r="256" spans="1:3" x14ac:dyDescent="0.25">
      <c r="A256" t="s">
        <v>123</v>
      </c>
      <c r="B256" t="s">
        <v>26</v>
      </c>
      <c r="C256">
        <v>27399.38</v>
      </c>
    </row>
    <row r="257" spans="1:3" x14ac:dyDescent="0.25">
      <c r="A257" t="s">
        <v>102</v>
      </c>
      <c r="B257" t="s">
        <v>32</v>
      </c>
      <c r="C257">
        <v>92236.95</v>
      </c>
    </row>
    <row r="258" spans="1:3" x14ac:dyDescent="0.25">
      <c r="A258" t="s">
        <v>119</v>
      </c>
      <c r="B258" t="s">
        <v>24</v>
      </c>
      <c r="C258">
        <v>56072.55</v>
      </c>
    </row>
    <row r="259" spans="1:3" x14ac:dyDescent="0.25">
      <c r="A259" t="s">
        <v>129</v>
      </c>
      <c r="B259" t="s">
        <v>26</v>
      </c>
      <c r="C259">
        <v>22650.01</v>
      </c>
    </row>
    <row r="260" spans="1:3" x14ac:dyDescent="0.25">
      <c r="A260" t="s">
        <v>127</v>
      </c>
      <c r="B260" t="s">
        <v>34</v>
      </c>
      <c r="C260">
        <v>57575.64</v>
      </c>
    </row>
    <row r="261" spans="1:3" x14ac:dyDescent="0.25">
      <c r="A261" t="s">
        <v>119</v>
      </c>
      <c r="B261" t="s">
        <v>26</v>
      </c>
      <c r="C261">
        <v>126469.2</v>
      </c>
    </row>
    <row r="262" spans="1:3" x14ac:dyDescent="0.25">
      <c r="A262" t="s">
        <v>123</v>
      </c>
      <c r="B262" t="s">
        <v>24</v>
      </c>
      <c r="C262">
        <v>81701.33</v>
      </c>
    </row>
    <row r="263" spans="1:3" x14ac:dyDescent="0.25">
      <c r="A263" t="s">
        <v>127</v>
      </c>
      <c r="B263" t="s">
        <v>28</v>
      </c>
      <c r="C263">
        <v>62853.87</v>
      </c>
    </row>
    <row r="264" spans="1:3" x14ac:dyDescent="0.25">
      <c r="A264" t="s">
        <v>132</v>
      </c>
      <c r="B264" t="s">
        <v>23</v>
      </c>
      <c r="C264">
        <v>52024</v>
      </c>
    </row>
    <row r="265" spans="1:3" x14ac:dyDescent="0.25">
      <c r="A265" t="s">
        <v>115</v>
      </c>
      <c r="B265" t="s">
        <v>31</v>
      </c>
      <c r="C265">
        <v>161238.75</v>
      </c>
    </row>
    <row r="266" spans="1:3" x14ac:dyDescent="0.25">
      <c r="A266" t="s">
        <v>118</v>
      </c>
      <c r="B266" t="s">
        <v>32</v>
      </c>
      <c r="C266">
        <v>4408.5600000000004</v>
      </c>
    </row>
    <row r="267" spans="1:3" x14ac:dyDescent="0.25">
      <c r="A267" t="s">
        <v>137</v>
      </c>
      <c r="B267" t="s">
        <v>24</v>
      </c>
      <c r="C267">
        <v>69695.070000000007</v>
      </c>
    </row>
    <row r="268" spans="1:3" x14ac:dyDescent="0.25">
      <c r="A268" t="s">
        <v>137</v>
      </c>
      <c r="B268" t="s">
        <v>22</v>
      </c>
      <c r="C268">
        <v>71257.850000000006</v>
      </c>
    </row>
    <row r="269" spans="1:3" x14ac:dyDescent="0.25">
      <c r="A269" t="s">
        <v>115</v>
      </c>
      <c r="B269" t="s">
        <v>24</v>
      </c>
      <c r="C269">
        <v>88896.86</v>
      </c>
    </row>
    <row r="270" spans="1:3" x14ac:dyDescent="0.25">
      <c r="A270" t="s">
        <v>146</v>
      </c>
      <c r="B270" t="s">
        <v>24</v>
      </c>
      <c r="C270">
        <v>48762.54</v>
      </c>
    </row>
    <row r="271" spans="1:3" x14ac:dyDescent="0.25">
      <c r="A271" t="s">
        <v>114</v>
      </c>
      <c r="B271" t="s">
        <v>26</v>
      </c>
      <c r="C271">
        <v>61140.26</v>
      </c>
    </row>
    <row r="272" spans="1:3" x14ac:dyDescent="0.25">
      <c r="A272" t="s">
        <v>146</v>
      </c>
      <c r="B272" t="s">
        <v>29</v>
      </c>
      <c r="C272">
        <v>53003.06</v>
      </c>
    </row>
    <row r="273" spans="1:3" x14ac:dyDescent="0.25">
      <c r="A273" t="s">
        <v>145</v>
      </c>
      <c r="B273" t="s">
        <v>29</v>
      </c>
      <c r="C273">
        <v>67833.7</v>
      </c>
    </row>
    <row r="274" spans="1:3" x14ac:dyDescent="0.25">
      <c r="A274" t="s">
        <v>142</v>
      </c>
      <c r="B274" t="s">
        <v>28</v>
      </c>
      <c r="C274">
        <v>47750.95</v>
      </c>
    </row>
    <row r="275" spans="1:3" x14ac:dyDescent="0.25">
      <c r="A275" t="s">
        <v>125</v>
      </c>
      <c r="B275" t="s">
        <v>28</v>
      </c>
      <c r="C275">
        <v>71379.75</v>
      </c>
    </row>
    <row r="276" spans="1:3" x14ac:dyDescent="0.25">
      <c r="A276" t="s">
        <v>140</v>
      </c>
      <c r="B276" t="s">
        <v>33</v>
      </c>
      <c r="C276">
        <v>39294.449999999997</v>
      </c>
    </row>
    <row r="277" spans="1:3" x14ac:dyDescent="0.25">
      <c r="A277" t="s">
        <v>138</v>
      </c>
      <c r="B277" t="s">
        <v>32</v>
      </c>
      <c r="C277">
        <v>64828.480000000003</v>
      </c>
    </row>
    <row r="278" spans="1:3" x14ac:dyDescent="0.25">
      <c r="A278" t="s">
        <v>122</v>
      </c>
      <c r="B278" t="s">
        <v>34</v>
      </c>
      <c r="C278">
        <v>61771.45</v>
      </c>
    </row>
    <row r="279" spans="1:3" x14ac:dyDescent="0.25">
      <c r="A279" t="s">
        <v>144</v>
      </c>
      <c r="B279" t="s">
        <v>23</v>
      </c>
      <c r="C279">
        <v>88727</v>
      </c>
    </row>
    <row r="280" spans="1:3" x14ac:dyDescent="0.25">
      <c r="A280" t="s">
        <v>102</v>
      </c>
      <c r="B280" t="s">
        <v>34</v>
      </c>
      <c r="C280">
        <v>59480.3</v>
      </c>
    </row>
    <row r="281" spans="1:3" x14ac:dyDescent="0.25">
      <c r="A281" t="s">
        <v>140</v>
      </c>
      <c r="B281" t="s">
        <v>29</v>
      </c>
      <c r="C281">
        <v>38111.4</v>
      </c>
    </row>
    <row r="282" spans="1:3" x14ac:dyDescent="0.25">
      <c r="A282" t="s">
        <v>128</v>
      </c>
      <c r="B282" t="s">
        <v>28</v>
      </c>
      <c r="C282">
        <v>9729.0499999999993</v>
      </c>
    </row>
    <row r="283" spans="1:3" x14ac:dyDescent="0.25">
      <c r="A283" t="s">
        <v>125</v>
      </c>
      <c r="B283" t="s">
        <v>23</v>
      </c>
      <c r="C283">
        <v>71136.78</v>
      </c>
    </row>
    <row r="284" spans="1:3" x14ac:dyDescent="0.25">
      <c r="A284" t="s">
        <v>140</v>
      </c>
      <c r="B284" t="s">
        <v>28</v>
      </c>
      <c r="C284">
        <v>27784.9</v>
      </c>
    </row>
    <row r="285" spans="1:3" x14ac:dyDescent="0.25">
      <c r="A285" t="s">
        <v>133</v>
      </c>
      <c r="B285" t="s">
        <v>29</v>
      </c>
      <c r="C285">
        <v>47729.5</v>
      </c>
    </row>
    <row r="286" spans="1:3" x14ac:dyDescent="0.25">
      <c r="A286" t="s">
        <v>128</v>
      </c>
      <c r="B286" t="s">
        <v>34</v>
      </c>
      <c r="C286">
        <v>34510.19</v>
      </c>
    </row>
    <row r="287" spans="1:3" x14ac:dyDescent="0.25">
      <c r="A287" t="s">
        <v>145</v>
      </c>
      <c r="B287" t="s">
        <v>32</v>
      </c>
      <c r="C287">
        <v>62973.45</v>
      </c>
    </row>
    <row r="288" spans="1:3" x14ac:dyDescent="0.25">
      <c r="A288" t="s">
        <v>135</v>
      </c>
      <c r="B288" t="s">
        <v>24</v>
      </c>
      <c r="C288">
        <v>114175.6</v>
      </c>
    </row>
    <row r="289" spans="1:3" x14ac:dyDescent="0.25">
      <c r="A289" t="s">
        <v>132</v>
      </c>
      <c r="B289" t="s">
        <v>22</v>
      </c>
      <c r="C289">
        <v>114465.46</v>
      </c>
    </row>
    <row r="290" spans="1:3" x14ac:dyDescent="0.25">
      <c r="A290" t="s">
        <v>116</v>
      </c>
      <c r="B290" t="s">
        <v>31</v>
      </c>
      <c r="C290">
        <v>37876.620000000003</v>
      </c>
    </row>
    <row r="291" spans="1:3" x14ac:dyDescent="0.25">
      <c r="A291" t="s">
        <v>125</v>
      </c>
      <c r="B291" t="s">
        <v>32</v>
      </c>
      <c r="C291">
        <v>94135.03</v>
      </c>
    </row>
    <row r="292" spans="1:3" x14ac:dyDescent="0.25">
      <c r="A292" t="s">
        <v>142</v>
      </c>
      <c r="B292" t="s">
        <v>29</v>
      </c>
      <c r="C292">
        <v>53290.6</v>
      </c>
    </row>
    <row r="293" spans="1:3" x14ac:dyDescent="0.25">
      <c r="A293" t="s">
        <v>102</v>
      </c>
      <c r="B293" t="s">
        <v>33</v>
      </c>
      <c r="C293">
        <v>84946.72</v>
      </c>
    </row>
    <row r="294" spans="1:3" x14ac:dyDescent="0.25">
      <c r="A294" t="s">
        <v>147</v>
      </c>
      <c r="B294" t="s">
        <v>24</v>
      </c>
      <c r="C294">
        <v>1062.1300000000001</v>
      </c>
    </row>
    <row r="295" spans="1:3" x14ac:dyDescent="0.25">
      <c r="A295" t="s">
        <v>93</v>
      </c>
      <c r="B295" t="s">
        <v>33</v>
      </c>
      <c r="C295">
        <v>35561.58</v>
      </c>
    </row>
    <row r="296" spans="1:3" x14ac:dyDescent="0.25">
      <c r="A296" t="s">
        <v>132</v>
      </c>
      <c r="B296" t="s">
        <v>32</v>
      </c>
      <c r="C296">
        <v>27068.46</v>
      </c>
    </row>
    <row r="297" spans="1:3" x14ac:dyDescent="0.25">
      <c r="A297" t="s">
        <v>136</v>
      </c>
      <c r="B297" t="s">
        <v>29</v>
      </c>
      <c r="C297">
        <v>123998.47</v>
      </c>
    </row>
    <row r="298" spans="1:3" x14ac:dyDescent="0.25">
      <c r="A298" t="s">
        <v>137</v>
      </c>
      <c r="B298" t="s">
        <v>28</v>
      </c>
      <c r="C298">
        <v>68119.22</v>
      </c>
    </row>
    <row r="299" spans="1:3" x14ac:dyDescent="0.25">
      <c r="A299" t="s">
        <v>119</v>
      </c>
      <c r="B299" t="s">
        <v>28</v>
      </c>
      <c r="C299">
        <v>8841.5499999999993</v>
      </c>
    </row>
    <row r="300" spans="1:3" x14ac:dyDescent="0.25">
      <c r="A300" t="s">
        <v>122</v>
      </c>
      <c r="B300" t="s">
        <v>28</v>
      </c>
      <c r="C300">
        <v>41774.980000000003</v>
      </c>
    </row>
    <row r="301" spans="1:3" x14ac:dyDescent="0.25">
      <c r="A301" t="s">
        <v>102</v>
      </c>
      <c r="B301" t="s">
        <v>24</v>
      </c>
      <c r="C301">
        <v>95318</v>
      </c>
    </row>
    <row r="302" spans="1:3" x14ac:dyDescent="0.25">
      <c r="A302" t="s">
        <v>139</v>
      </c>
      <c r="B302" t="s">
        <v>35</v>
      </c>
      <c r="C302">
        <v>79091</v>
      </c>
    </row>
    <row r="303" spans="1:3" x14ac:dyDescent="0.25">
      <c r="A303" t="s">
        <v>136</v>
      </c>
      <c r="B303" t="s">
        <v>28</v>
      </c>
      <c r="C303">
        <v>105430</v>
      </c>
    </row>
    <row r="304" spans="1:3" x14ac:dyDescent="0.25">
      <c r="A304" t="s">
        <v>115</v>
      </c>
      <c r="B304" t="s">
        <v>33</v>
      </c>
      <c r="C304">
        <v>88201.03</v>
      </c>
    </row>
    <row r="305" spans="1:3" x14ac:dyDescent="0.25">
      <c r="A305" t="s">
        <v>120</v>
      </c>
      <c r="B305" t="s">
        <v>34</v>
      </c>
      <c r="C305">
        <v>87011.199999999997</v>
      </c>
    </row>
    <row r="306" spans="1:3" x14ac:dyDescent="0.25">
      <c r="A306" t="s">
        <v>126</v>
      </c>
      <c r="B306" t="s">
        <v>34</v>
      </c>
      <c r="C306">
        <v>9432.0499999999993</v>
      </c>
    </row>
    <row r="307" spans="1:3" x14ac:dyDescent="0.25">
      <c r="A307" t="s">
        <v>125</v>
      </c>
      <c r="B307" t="s">
        <v>24</v>
      </c>
      <c r="C307">
        <v>50683.75</v>
      </c>
    </row>
    <row r="308" spans="1:3" x14ac:dyDescent="0.25">
      <c r="A308" t="s">
        <v>147</v>
      </c>
      <c r="B308" t="s">
        <v>35</v>
      </c>
      <c r="C308">
        <v>17594.27</v>
      </c>
    </row>
    <row r="309" spans="1:3" x14ac:dyDescent="0.25">
      <c r="A309" t="s">
        <v>129</v>
      </c>
      <c r="B309" t="s">
        <v>29</v>
      </c>
      <c r="C309">
        <v>93149.1</v>
      </c>
    </row>
    <row r="310" spans="1:3" x14ac:dyDescent="0.25">
      <c r="A310" t="s">
        <v>130</v>
      </c>
      <c r="B310" t="s">
        <v>32</v>
      </c>
      <c r="C310">
        <v>41213.75</v>
      </c>
    </row>
    <row r="311" spans="1:3" x14ac:dyDescent="0.25">
      <c r="A311" t="s">
        <v>127</v>
      </c>
      <c r="B311" t="s">
        <v>24</v>
      </c>
      <c r="C311">
        <v>72441.850000000006</v>
      </c>
    </row>
    <row r="312" spans="1:3" x14ac:dyDescent="0.25">
      <c r="A312" t="s">
        <v>119</v>
      </c>
      <c r="B312" t="s">
        <v>22</v>
      </c>
      <c r="C312">
        <v>50609.38</v>
      </c>
    </row>
    <row r="313" spans="1:3" x14ac:dyDescent="0.25">
      <c r="A313" t="s">
        <v>144</v>
      </c>
      <c r="B313" t="s">
        <v>29</v>
      </c>
      <c r="C313">
        <v>6250</v>
      </c>
    </row>
    <row r="314" spans="1:3" x14ac:dyDescent="0.25">
      <c r="A314" t="s">
        <v>113</v>
      </c>
      <c r="B314" t="s">
        <v>32</v>
      </c>
      <c r="C314">
        <v>80739.820000000007</v>
      </c>
    </row>
    <row r="315" spans="1:3" x14ac:dyDescent="0.25">
      <c r="A315" t="s">
        <v>126</v>
      </c>
      <c r="B315" t="s">
        <v>31</v>
      </c>
      <c r="C315">
        <v>18555.71</v>
      </c>
    </row>
    <row r="316" spans="1:3" x14ac:dyDescent="0.25">
      <c r="A316" t="s">
        <v>126</v>
      </c>
      <c r="B316" t="s">
        <v>24</v>
      </c>
      <c r="C316">
        <v>41737.800000000003</v>
      </c>
    </row>
    <row r="317" spans="1:3" x14ac:dyDescent="0.25">
      <c r="A317" t="s">
        <v>146</v>
      </c>
      <c r="B317" t="s">
        <v>31</v>
      </c>
      <c r="C317">
        <v>27976.3</v>
      </c>
    </row>
    <row r="318" spans="1:3" x14ac:dyDescent="0.25">
      <c r="A318" t="s">
        <v>122</v>
      </c>
      <c r="B318" t="s">
        <v>33</v>
      </c>
      <c r="C318">
        <v>121483</v>
      </c>
    </row>
    <row r="319" spans="1:3" x14ac:dyDescent="0.25">
      <c r="A319" t="s">
        <v>142</v>
      </c>
      <c r="B319" t="s">
        <v>23</v>
      </c>
      <c r="C319">
        <v>42974.37</v>
      </c>
    </row>
    <row r="320" spans="1:3" x14ac:dyDescent="0.25">
      <c r="A320" t="s">
        <v>139</v>
      </c>
      <c r="B320" t="s">
        <v>33</v>
      </c>
      <c r="C320">
        <v>16364.86</v>
      </c>
    </row>
    <row r="321" spans="1:3" x14ac:dyDescent="0.25">
      <c r="A321" t="s">
        <v>146</v>
      </c>
      <c r="B321" t="s">
        <v>23</v>
      </c>
      <c r="C321">
        <v>7641.23</v>
      </c>
    </row>
    <row r="322" spans="1:3" x14ac:dyDescent="0.25">
      <c r="A322" t="s">
        <v>145</v>
      </c>
      <c r="B322" t="s">
        <v>24</v>
      </c>
      <c r="C322">
        <v>53981.25</v>
      </c>
    </row>
    <row r="323" spans="1:3" x14ac:dyDescent="0.25">
      <c r="A323" t="s">
        <v>93</v>
      </c>
      <c r="B323" t="s">
        <v>22</v>
      </c>
      <c r="C323">
        <v>29602.28</v>
      </c>
    </row>
    <row r="324" spans="1:3" x14ac:dyDescent="0.25">
      <c r="A324" t="s">
        <v>147</v>
      </c>
      <c r="B324" t="s">
        <v>31</v>
      </c>
      <c r="C324">
        <v>77359.56</v>
      </c>
    </row>
    <row r="325" spans="1:3" x14ac:dyDescent="0.25">
      <c r="A325" t="s">
        <v>129</v>
      </c>
      <c r="B325" t="s">
        <v>22</v>
      </c>
      <c r="C325">
        <v>15506.4</v>
      </c>
    </row>
    <row r="326" spans="1:3" x14ac:dyDescent="0.25">
      <c r="A326" t="s">
        <v>139</v>
      </c>
      <c r="B326" t="s">
        <v>26</v>
      </c>
      <c r="C326">
        <v>39740.800000000003</v>
      </c>
    </row>
    <row r="327" spans="1:3" x14ac:dyDescent="0.25">
      <c r="A327" t="s">
        <v>129</v>
      </c>
      <c r="B327" t="s">
        <v>28</v>
      </c>
      <c r="C327">
        <v>8115.97</v>
      </c>
    </row>
    <row r="328" spans="1:3" x14ac:dyDescent="0.25">
      <c r="A328" t="s">
        <v>144</v>
      </c>
      <c r="B328" t="s">
        <v>34</v>
      </c>
      <c r="C328">
        <v>24440.400000000001</v>
      </c>
    </row>
    <row r="329" spans="1:3" x14ac:dyDescent="0.25">
      <c r="A329" t="s">
        <v>121</v>
      </c>
      <c r="B329" t="s">
        <v>23</v>
      </c>
      <c r="C329">
        <v>83829.850000000006</v>
      </c>
    </row>
    <row r="330" spans="1:3" x14ac:dyDescent="0.25">
      <c r="A330" t="s">
        <v>144</v>
      </c>
      <c r="B330" t="s">
        <v>26</v>
      </c>
      <c r="C330">
        <v>99707.05</v>
      </c>
    </row>
    <row r="331" spans="1:3" x14ac:dyDescent="0.25">
      <c r="A331" t="s">
        <v>145</v>
      </c>
      <c r="B331" t="s">
        <v>34</v>
      </c>
      <c r="C331">
        <v>88858.75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A8A316-8D33-4D04-8D90-23E019D287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Uncleaned</vt:lpstr>
      <vt:lpstr>Cleaned</vt:lpstr>
      <vt:lpstr>PIVOT</vt:lpstr>
      <vt:lpstr>Dashboard</vt:lpstr>
      <vt:lpstr>Total_Salary_By_Job_Title</vt:lpstr>
      <vt:lpstr>Tot_Sal_By_Exp_Job</vt:lpstr>
      <vt:lpstr>Percetage_By_Gender</vt:lpstr>
      <vt:lpstr>Min_Max_Salary_By_Education</vt:lpstr>
      <vt:lpstr>Mid_Salary_By_Age_Gender</vt:lpstr>
      <vt:lpstr>Highest_Salary_By_Job_Title</vt:lpstr>
      <vt:lpstr>Exp_By_Industry</vt:lpstr>
      <vt:lpstr>AVG_Salary_By_Industry_Gender</vt:lpstr>
      <vt:lpstr>Avg_Sal_By_Edu_Level</vt:lpstr>
      <vt:lpstr>AVG_Sal_By_City_Industry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JANA</dc:creator>
  <cp:lastModifiedBy>Janarthanan Marimuthu</cp:lastModifiedBy>
  <dcterms:created xsi:type="dcterms:W3CDTF">2025-10-25T04:24:52Z</dcterms:created>
  <dcterms:modified xsi:type="dcterms:W3CDTF">2025-11-13T09:01:00Z</dcterms:modified>
</cp:coreProperties>
</file>